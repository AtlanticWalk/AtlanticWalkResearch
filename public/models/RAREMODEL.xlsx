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063F627C2EB15/Documents/"/>
    </mc:Choice>
  </mc:AlternateContent>
  <xr:revisionPtr revIDLastSave="6351" documentId="8_{B547ED75-E1D5-453D-96B8-B224B6952069}" xr6:coauthVersionLast="47" xr6:coauthVersionMax="47" xr10:uidLastSave="{1E25DD1C-D852-4A75-8DB7-B0802D216F16}"/>
  <bookViews>
    <workbookView xWindow="-110" yWindow="-110" windowWidth="19420" windowHeight="12220" firstSheet="1" activeTab="3" xr2:uid="{C5A30095-E266-4FAA-9A6C-974046D788B6}"/>
  </bookViews>
  <sheets>
    <sheet name="Cover" sheetId="13" r:id="rId1"/>
    <sheet name="Summary" sheetId="10" r:id="rId2"/>
    <sheet name="Graphs" sheetId="11" r:id="rId3"/>
    <sheet name="Model" sheetId="1" r:id="rId4"/>
    <sheet name="Drivers" sheetId="2" r:id="rId5"/>
    <sheet name="Q3" sheetId="9" r:id="rId6"/>
    <sheet name="rNPV" sheetId="3" r:id="rId7"/>
    <sheet name="WACC" sheetId="12" r:id="rId8"/>
    <sheet name="Valsum" sheetId="7" r:id="rId9"/>
    <sheet name="PubComps" sheetId="6" r:id="rId10"/>
    <sheet name="Pubcomps_Data" sheetId="5" r:id="rId11"/>
    <sheet name="PPT" sheetId="4" r:id="rId12"/>
  </sheets>
  <externalReferences>
    <externalReference r:id="rId13"/>
    <externalReference r:id="rId14"/>
  </externalReferences>
  <definedNames>
    <definedName name="COGS">rNPV!$D$45</definedName>
    <definedName name="Company_Name">Model!$F$5</definedName>
    <definedName name="Cost_of_Debt">WACC!$F$8</definedName>
    <definedName name="Cost_of_Preferred">WACC!$F$9</definedName>
    <definedName name="Diluted">Model!$F$8</definedName>
    <definedName name="Discount_Rate">rNPV!$G$19</definedName>
    <definedName name="Equity_Risk_Premium">WACC!$F$7</definedName>
    <definedName name="Forward_Year_1">Model!$L$12</definedName>
    <definedName name="Forward_Year_2">Model!$L$13</definedName>
    <definedName name="Forward_Year_3">Model!$L$14</definedName>
    <definedName name="Hist_Year">Model!$L$5</definedName>
    <definedName name="Legal">rNPV!$D$9</definedName>
    <definedName name="LTM">Model!$L$11</definedName>
    <definedName name="OpEx">rNPV!$D$5</definedName>
    <definedName name="Pub_Comps_Params">Pubcomps_Data!$C$3:$C$102</definedName>
    <definedName name="Pub_Comps_Range">Pubcomps_Data!$C$3:$AL$102</definedName>
    <definedName name="Pub_Comps_Tickers">Pubcomps_Data!$C$3:$AL$3</definedName>
    <definedName name="Risk_Free_Rate">WACC!$F$6</definedName>
    <definedName name="RoyaltyJ">rNPV!#REF!</definedName>
    <definedName name="Royaltyxw">rNPV!#REF!</definedName>
    <definedName name="Scenario">rNPV!$D$6</definedName>
    <definedName name="Share_Price">Model!$F$7</definedName>
    <definedName name="Tax_Rate">Model!$F$10</definedName>
    <definedName name="Terminal_Growth_Rate">rNPV!$Q$14</definedName>
    <definedName name="Ticker">Model!$F$6</definedName>
    <definedName name="Units">Model!$F$13</definedName>
    <definedName name="Vali">rNPV!$D$8</definedName>
    <definedName name="Valuation_Date">Model!$L$8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3" l="1"/>
  <c r="N48" i="3"/>
  <c r="O48" i="3"/>
  <c r="P48" i="3"/>
  <c r="M49" i="3"/>
  <c r="N49" i="3"/>
  <c r="O49" i="3"/>
  <c r="P49" i="3"/>
  <c r="M50" i="3"/>
  <c r="N50" i="3"/>
  <c r="O50" i="3"/>
  <c r="P50" i="3"/>
  <c r="L49" i="3"/>
  <c r="L50" i="3"/>
  <c r="L48" i="3"/>
  <c r="N12" i="2"/>
  <c r="O12" i="2"/>
  <c r="K13" i="2"/>
  <c r="K14" i="2"/>
  <c r="K12" i="2"/>
  <c r="L9" i="2"/>
  <c r="F11" i="1"/>
  <c r="D17" i="13"/>
  <c r="D16" i="13"/>
  <c r="D12" i="13"/>
  <c r="B2" i="13"/>
  <c r="B30" i="13"/>
  <c r="B29" i="13"/>
  <c r="B28" i="13"/>
  <c r="B27" i="13"/>
  <c r="B26" i="13"/>
  <c r="B25" i="13"/>
  <c r="B24" i="13"/>
  <c r="B34" i="13"/>
  <c r="B33" i="13"/>
  <c r="B32" i="13"/>
  <c r="B31" i="13"/>
  <c r="L51" i="3" l="1"/>
  <c r="H11" i="9"/>
  <c r="J11" i="9"/>
  <c r="J9" i="9"/>
  <c r="I32" i="9"/>
  <c r="J32" i="9"/>
  <c r="I28" i="9"/>
  <c r="J28" i="9"/>
  <c r="I21" i="9"/>
  <c r="J21" i="9"/>
  <c r="I15" i="9"/>
  <c r="J15" i="9"/>
  <c r="H15" i="9"/>
  <c r="D56" i="4"/>
  <c r="J42" i="11"/>
  <c r="K3" i="11"/>
  <c r="J33" i="11"/>
  <c r="B26" i="12"/>
  <c r="C24" i="12"/>
  <c r="C29" i="12" s="1"/>
  <c r="B24" i="12"/>
  <c r="K20" i="12"/>
  <c r="I20" i="12"/>
  <c r="G20" i="12"/>
  <c r="E20" i="12"/>
  <c r="D20" i="12"/>
  <c r="B20" i="12"/>
  <c r="K19" i="12"/>
  <c r="I19" i="12"/>
  <c r="G19" i="12"/>
  <c r="E19" i="12"/>
  <c r="D19" i="12"/>
  <c r="B19" i="12"/>
  <c r="K18" i="12"/>
  <c r="I18" i="12"/>
  <c r="G18" i="12"/>
  <c r="E18" i="12"/>
  <c r="D18" i="12"/>
  <c r="B18" i="12"/>
  <c r="K17" i="12"/>
  <c r="I17" i="12"/>
  <c r="G17" i="12"/>
  <c r="E17" i="12"/>
  <c r="D17" i="12"/>
  <c r="B17" i="12"/>
  <c r="K16" i="12"/>
  <c r="I16" i="12"/>
  <c r="G16" i="12"/>
  <c r="E16" i="12"/>
  <c r="D16" i="12"/>
  <c r="B16" i="12"/>
  <c r="K15" i="12"/>
  <c r="I15" i="12"/>
  <c r="G15" i="12"/>
  <c r="E15" i="12"/>
  <c r="D15" i="12"/>
  <c r="B15" i="12"/>
  <c r="B2" i="12"/>
  <c r="K17" i="11"/>
  <c r="H28" i="10"/>
  <c r="I28" i="10"/>
  <c r="J28" i="10"/>
  <c r="G28" i="10"/>
  <c r="H26" i="10"/>
  <c r="I26" i="10"/>
  <c r="J26" i="10"/>
  <c r="G26" i="10"/>
  <c r="H44" i="10"/>
  <c r="I44" i="10"/>
  <c r="J44" i="10"/>
  <c r="G44" i="10"/>
  <c r="H42" i="10"/>
  <c r="I42" i="10"/>
  <c r="J42" i="10"/>
  <c r="G42" i="10"/>
  <c r="H41" i="10"/>
  <c r="I41" i="10"/>
  <c r="J41" i="10"/>
  <c r="G41" i="10"/>
  <c r="H39" i="10"/>
  <c r="I39" i="10"/>
  <c r="J39" i="10"/>
  <c r="K39" i="10"/>
  <c r="G39" i="10"/>
  <c r="H38" i="10"/>
  <c r="I38" i="10"/>
  <c r="J38" i="10"/>
  <c r="G38" i="10"/>
  <c r="H37" i="10"/>
  <c r="I37" i="10"/>
  <c r="J37" i="10"/>
  <c r="G37" i="10"/>
  <c r="H34" i="10"/>
  <c r="I34" i="10"/>
  <c r="J34" i="10"/>
  <c r="G34" i="10"/>
  <c r="H32" i="10"/>
  <c r="I32" i="10"/>
  <c r="J32" i="10"/>
  <c r="G32" i="10"/>
  <c r="L86" i="1"/>
  <c r="M86" i="1"/>
  <c r="N86" i="1"/>
  <c r="O86" i="1"/>
  <c r="P86" i="1"/>
  <c r="K86" i="1"/>
  <c r="H31" i="10"/>
  <c r="I31" i="10"/>
  <c r="J31" i="10"/>
  <c r="G31" i="10"/>
  <c r="J29" i="10"/>
  <c r="I24" i="10"/>
  <c r="J24" i="10"/>
  <c r="H21" i="10"/>
  <c r="J21" i="10"/>
  <c r="H23" i="10"/>
  <c r="I23" i="10"/>
  <c r="J23" i="10"/>
  <c r="G23" i="10"/>
  <c r="H20" i="10"/>
  <c r="I20" i="10"/>
  <c r="J20" i="10"/>
  <c r="L20" i="10"/>
  <c r="G20" i="10"/>
  <c r="H16" i="10"/>
  <c r="I16" i="10"/>
  <c r="J16" i="10"/>
  <c r="G16" i="10"/>
  <c r="H13" i="10"/>
  <c r="I13" i="10"/>
  <c r="J13" i="10"/>
  <c r="G13" i="10"/>
  <c r="H10" i="10"/>
  <c r="H11" i="10" s="1"/>
  <c r="I10" i="10"/>
  <c r="J10" i="10"/>
  <c r="G10" i="10"/>
  <c r="H7" i="10"/>
  <c r="I7" i="10" s="1"/>
  <c r="J7" i="10" s="1"/>
  <c r="K7" i="10" s="1"/>
  <c r="L7" i="10" s="1"/>
  <c r="C60" i="10"/>
  <c r="C57" i="10"/>
  <c r="C55" i="10"/>
  <c r="C52" i="10"/>
  <c r="C50" i="10"/>
  <c r="C26" i="10"/>
  <c r="C3" i="10"/>
  <c r="G32" i="4"/>
  <c r="H32" i="4" s="1"/>
  <c r="I32" i="4" s="1"/>
  <c r="J32" i="4" s="1"/>
  <c r="K32" i="4" s="1"/>
  <c r="L32" i="4" s="1"/>
  <c r="M32" i="4" s="1"/>
  <c r="N32" i="4" s="1"/>
  <c r="O32" i="4" s="1"/>
  <c r="A32" i="4"/>
  <c r="B2" i="9"/>
  <c r="H28" i="9"/>
  <c r="H21" i="9"/>
  <c r="I11" i="9"/>
  <c r="I9" i="9"/>
  <c r="F17" i="12" l="1"/>
  <c r="L18" i="12"/>
  <c r="L19" i="12"/>
  <c r="F19" i="12"/>
  <c r="F20" i="12"/>
  <c r="H18" i="12"/>
  <c r="L15" i="12"/>
  <c r="I14" i="10"/>
  <c r="J14" i="10"/>
  <c r="H32" i="9"/>
  <c r="H19" i="12"/>
  <c r="H17" i="12"/>
  <c r="G22" i="12"/>
  <c r="H20" i="12"/>
  <c r="F18" i="12"/>
  <c r="L20" i="12"/>
  <c r="K22" i="12"/>
  <c r="L16" i="12"/>
  <c r="H16" i="12"/>
  <c r="J19" i="12"/>
  <c r="E22" i="12"/>
  <c r="L17" i="12"/>
  <c r="I22" i="12"/>
  <c r="J18" i="12"/>
  <c r="J16" i="12"/>
  <c r="F16" i="12"/>
  <c r="J17" i="12"/>
  <c r="J20" i="12"/>
  <c r="D24" i="12"/>
  <c r="F15" i="12"/>
  <c r="D22" i="12"/>
  <c r="H15" i="12"/>
  <c r="J15" i="12"/>
  <c r="I21" i="10"/>
  <c r="H24" i="10"/>
  <c r="H45" i="10"/>
  <c r="I45" i="10"/>
  <c r="J48" i="10"/>
  <c r="M7" i="10"/>
  <c r="N7" i="10" s="1"/>
  <c r="O7" i="10" s="1"/>
  <c r="P7" i="10" s="1"/>
  <c r="I48" i="10"/>
  <c r="I29" i="10"/>
  <c r="J45" i="10"/>
  <c r="I11" i="10"/>
  <c r="J11" i="10"/>
  <c r="H29" i="10"/>
  <c r="F22" i="12" l="1"/>
  <c r="F30" i="12" s="1"/>
  <c r="E30" i="12" s="1"/>
  <c r="H22" i="12"/>
  <c r="L22" i="12"/>
  <c r="D30" i="12" s="1"/>
  <c r="J22" i="12"/>
  <c r="J30" i="12" s="1"/>
  <c r="I30" i="12" s="1"/>
  <c r="L34" i="12"/>
  <c r="L38" i="12" s="1"/>
  <c r="L30" i="12" l="1"/>
  <c r="L33" i="12" s="1"/>
  <c r="L37" i="12" s="1"/>
  <c r="P20" i="2"/>
  <c r="Q20" i="2" s="1"/>
  <c r="R20" i="2" s="1"/>
  <c r="S20" i="2" s="1"/>
  <c r="T20" i="2" s="1"/>
  <c r="U20" i="2" s="1"/>
  <c r="V20" i="2" s="1"/>
  <c r="W20" i="2" s="1"/>
  <c r="X20" i="2" s="1"/>
  <c r="Y20" i="2" s="1"/>
  <c r="H83" i="1"/>
  <c r="I83" i="1"/>
  <c r="J83" i="1"/>
  <c r="G83" i="1"/>
  <c r="H16" i="5"/>
  <c r="E42" i="7"/>
  <c r="E39" i="7"/>
  <c r="E38" i="7"/>
  <c r="E37" i="7"/>
  <c r="E36" i="7"/>
  <c r="E35" i="7"/>
  <c r="E34" i="7"/>
  <c r="E33" i="7"/>
  <c r="M45" i="7"/>
  <c r="I45" i="7"/>
  <c r="B20" i="7"/>
  <c r="B19" i="7"/>
  <c r="B17" i="7"/>
  <c r="B16" i="7"/>
  <c r="B14" i="7"/>
  <c r="B13" i="7"/>
  <c r="B5" i="7"/>
  <c r="B2" i="7"/>
  <c r="C40" i="6"/>
  <c r="U26" i="6"/>
  <c r="T26" i="6"/>
  <c r="R26" i="6"/>
  <c r="Q26" i="6"/>
  <c r="O26" i="6"/>
  <c r="N26" i="6"/>
  <c r="D21" i="6"/>
  <c r="C21" i="6"/>
  <c r="Z8" i="6"/>
  <c r="Y8" i="6"/>
  <c r="U8" i="6"/>
  <c r="T8" i="6"/>
  <c r="R8" i="6"/>
  <c r="Q8" i="6"/>
  <c r="P8" i="6"/>
  <c r="V26" i="6" s="1"/>
  <c r="R13" i="5"/>
  <c r="R12" i="5"/>
  <c r="R11" i="5"/>
  <c r="R14" i="5" s="1"/>
  <c r="R9" i="5"/>
  <c r="R8" i="5"/>
  <c r="AI32" i="5"/>
  <c r="I76" i="3"/>
  <c r="J76" i="3"/>
  <c r="K76" i="3"/>
  <c r="H76" i="3"/>
  <c r="K44" i="7" l="1"/>
  <c r="J45" i="7"/>
  <c r="K45" i="7"/>
  <c r="I44" i="7"/>
  <c r="J44" i="7"/>
  <c r="M44" i="7"/>
  <c r="L44" i="7"/>
  <c r="L45" i="7"/>
  <c r="S8" i="6"/>
  <c r="V8" i="6"/>
  <c r="P26" i="6"/>
  <c r="AA8" i="6"/>
  <c r="S26" i="6"/>
  <c r="I21" i="6"/>
  <c r="C94" i="5"/>
  <c r="C92" i="5"/>
  <c r="AL85" i="5"/>
  <c r="AL83" i="5"/>
  <c r="AG83" i="5"/>
  <c r="AB83" i="5"/>
  <c r="W83" i="5"/>
  <c r="R83" i="5"/>
  <c r="M83" i="5"/>
  <c r="AL82" i="5"/>
  <c r="AG82" i="5"/>
  <c r="AB82" i="5"/>
  <c r="W82" i="5"/>
  <c r="R82" i="5"/>
  <c r="M82" i="5"/>
  <c r="AL81" i="5"/>
  <c r="AG81" i="5"/>
  <c r="AB81" i="5"/>
  <c r="W81" i="5"/>
  <c r="R81" i="5"/>
  <c r="M81" i="5"/>
  <c r="AL79" i="5"/>
  <c r="AG79" i="5"/>
  <c r="AB79" i="5"/>
  <c r="W79" i="5"/>
  <c r="R79" i="5"/>
  <c r="M79" i="5"/>
  <c r="AL78" i="5"/>
  <c r="AL90" i="5" s="1"/>
  <c r="AG78" i="5"/>
  <c r="AB78" i="5"/>
  <c r="W78" i="5"/>
  <c r="R78" i="5"/>
  <c r="M78" i="5"/>
  <c r="M86" i="5" s="1"/>
  <c r="AL77" i="5"/>
  <c r="AG77" i="5"/>
  <c r="AG90" i="5" s="1"/>
  <c r="AB77" i="5"/>
  <c r="W77" i="5"/>
  <c r="W90" i="5" s="1"/>
  <c r="R77" i="5"/>
  <c r="R90" i="5" s="1"/>
  <c r="M77" i="5"/>
  <c r="AL75" i="5"/>
  <c r="AG75" i="5"/>
  <c r="AB75" i="5"/>
  <c r="W75" i="5"/>
  <c r="R75" i="5"/>
  <c r="M75" i="5"/>
  <c r="AL74" i="5"/>
  <c r="AL89" i="5" s="1"/>
  <c r="AG74" i="5"/>
  <c r="AB74" i="5"/>
  <c r="AB86" i="5" s="1"/>
  <c r="W74" i="5"/>
  <c r="W86" i="5" s="1"/>
  <c r="R74" i="5"/>
  <c r="R89" i="5" s="1"/>
  <c r="M74" i="5"/>
  <c r="AL73" i="5"/>
  <c r="AG73" i="5"/>
  <c r="AB73" i="5"/>
  <c r="W73" i="5"/>
  <c r="R73" i="5"/>
  <c r="M73" i="5"/>
  <c r="M85" i="5" s="1"/>
  <c r="AI66" i="5"/>
  <c r="AD66" i="5"/>
  <c r="Y66" i="5"/>
  <c r="T66" i="5"/>
  <c r="O66" i="5"/>
  <c r="J66" i="5"/>
  <c r="E66" i="5"/>
  <c r="C93" i="5" s="1"/>
  <c r="AL57" i="5"/>
  <c r="AL61" i="5" s="1"/>
  <c r="AL55" i="5"/>
  <c r="AF55" i="5"/>
  <c r="AG55" i="5" s="1"/>
  <c r="AG57" i="5" s="1"/>
  <c r="AG61" i="5" s="1"/>
  <c r="AA55" i="5"/>
  <c r="AB55" i="5" s="1"/>
  <c r="AB57" i="5" s="1"/>
  <c r="AB61" i="5" s="1"/>
  <c r="W55" i="5"/>
  <c r="W57" i="5" s="1"/>
  <c r="W61" i="5" s="1"/>
  <c r="R55" i="5"/>
  <c r="R57" i="5" s="1"/>
  <c r="R61" i="5" s="1"/>
  <c r="M55" i="5"/>
  <c r="M57" i="5" s="1"/>
  <c r="M61" i="5" s="1"/>
  <c r="G55" i="5"/>
  <c r="H55" i="5" s="1"/>
  <c r="AL52" i="5"/>
  <c r="AG52" i="5"/>
  <c r="AB52" i="5"/>
  <c r="W52" i="5"/>
  <c r="R52" i="5"/>
  <c r="M52" i="5"/>
  <c r="H52" i="5"/>
  <c r="AL51" i="5"/>
  <c r="AG51" i="5"/>
  <c r="AB51" i="5"/>
  <c r="W51" i="5"/>
  <c r="R51" i="5"/>
  <c r="M51" i="5"/>
  <c r="H51" i="5"/>
  <c r="AL48" i="5"/>
  <c r="AG48" i="5"/>
  <c r="AB48" i="5"/>
  <c r="W48" i="5"/>
  <c r="R48" i="5"/>
  <c r="M48" i="5"/>
  <c r="H48" i="5"/>
  <c r="AL47" i="5"/>
  <c r="AG47" i="5"/>
  <c r="AB47" i="5"/>
  <c r="W47" i="5"/>
  <c r="R47" i="5"/>
  <c r="M47" i="5"/>
  <c r="H47" i="5"/>
  <c r="AL46" i="5"/>
  <c r="AG46" i="5"/>
  <c r="AB46" i="5"/>
  <c r="W46" i="5"/>
  <c r="R46" i="5"/>
  <c r="M46" i="5"/>
  <c r="H46" i="5"/>
  <c r="AL45" i="5"/>
  <c r="AG45" i="5"/>
  <c r="AB45" i="5"/>
  <c r="W45" i="5"/>
  <c r="R45" i="5"/>
  <c r="M45" i="5"/>
  <c r="H45" i="5"/>
  <c r="AL44" i="5"/>
  <c r="AG44" i="5"/>
  <c r="AB44" i="5"/>
  <c r="W44" i="5"/>
  <c r="R44" i="5"/>
  <c r="M44" i="5"/>
  <c r="H44" i="5"/>
  <c r="AL43" i="5"/>
  <c r="AG43" i="5"/>
  <c r="AB43" i="5"/>
  <c r="W43" i="5"/>
  <c r="R43" i="5"/>
  <c r="M43" i="5"/>
  <c r="H43" i="5"/>
  <c r="AL42" i="5"/>
  <c r="AG42" i="5"/>
  <c r="AB42" i="5"/>
  <c r="W42" i="5"/>
  <c r="R42" i="5"/>
  <c r="M42" i="5"/>
  <c r="H42" i="5"/>
  <c r="AL41" i="5"/>
  <c r="AG41" i="5"/>
  <c r="AB41" i="5"/>
  <c r="W41" i="5"/>
  <c r="R41" i="5"/>
  <c r="M41" i="5"/>
  <c r="H41" i="5"/>
  <c r="AL40" i="5"/>
  <c r="AG40" i="5"/>
  <c r="AB40" i="5"/>
  <c r="W40" i="5"/>
  <c r="R40" i="5"/>
  <c r="M40" i="5"/>
  <c r="H40" i="5"/>
  <c r="H37" i="5"/>
  <c r="H36" i="5"/>
  <c r="H27" i="5"/>
  <c r="H25" i="5"/>
  <c r="H24" i="5"/>
  <c r="G24" i="12" s="1"/>
  <c r="H23" i="5"/>
  <c r="E24" i="12" s="1"/>
  <c r="H22" i="5"/>
  <c r="H21" i="5"/>
  <c r="H20" i="5"/>
  <c r="H19" i="5"/>
  <c r="AL13" i="5"/>
  <c r="AG13" i="5"/>
  <c r="AB13" i="5"/>
  <c r="W13" i="5"/>
  <c r="H13" i="5"/>
  <c r="AL12" i="5"/>
  <c r="AG12" i="5"/>
  <c r="AB12" i="5"/>
  <c r="W12" i="5"/>
  <c r="M14" i="5"/>
  <c r="M88" i="5" s="1"/>
  <c r="H12" i="5"/>
  <c r="AL11" i="5"/>
  <c r="AG11" i="5"/>
  <c r="AB11" i="5"/>
  <c r="W11" i="5"/>
  <c r="AL9" i="5"/>
  <c r="AG9" i="5"/>
  <c r="AB9" i="5"/>
  <c r="W9" i="5"/>
  <c r="AL8" i="5"/>
  <c r="AG8" i="5"/>
  <c r="AB8" i="5"/>
  <c r="W8" i="5"/>
  <c r="H6" i="5"/>
  <c r="G6" i="5"/>
  <c r="H4" i="5"/>
  <c r="H3" i="5"/>
  <c r="J21" i="6" l="1"/>
  <c r="L21" i="6"/>
  <c r="K21" i="6"/>
  <c r="H57" i="5"/>
  <c r="J9" i="6"/>
  <c r="K10" i="6"/>
  <c r="G12" i="6"/>
  <c r="L13" i="6"/>
  <c r="Q14" i="6"/>
  <c r="D11" i="6"/>
  <c r="M28" i="6"/>
  <c r="F27" i="6"/>
  <c r="M13" i="6"/>
  <c r="D10" i="6"/>
  <c r="M29" i="6"/>
  <c r="F28" i="6"/>
  <c r="D27" i="6"/>
  <c r="M10" i="6"/>
  <c r="I12" i="6"/>
  <c r="E14" i="6"/>
  <c r="B10" i="6"/>
  <c r="M30" i="6"/>
  <c r="F29" i="6"/>
  <c r="D28" i="6"/>
  <c r="B27" i="6"/>
  <c r="F9" i="6"/>
  <c r="F11" i="6"/>
  <c r="T11" i="6"/>
  <c r="G14" i="6"/>
  <c r="M32" i="6"/>
  <c r="F31" i="6"/>
  <c r="B29" i="6"/>
  <c r="G11" i="6"/>
  <c r="Q13" i="6"/>
  <c r="H14" i="6"/>
  <c r="B13" i="6"/>
  <c r="F32" i="6"/>
  <c r="B30" i="6"/>
  <c r="D9" i="6"/>
  <c r="Q10" i="6"/>
  <c r="H11" i="6"/>
  <c r="M12" i="6"/>
  <c r="B14" i="6"/>
  <c r="D32" i="6"/>
  <c r="B31" i="6"/>
  <c r="Q9" i="6"/>
  <c r="B9" i="6"/>
  <c r="I9" i="6"/>
  <c r="L10" i="6"/>
  <c r="Q11" i="6"/>
  <c r="H12" i="6"/>
  <c r="H9" i="6"/>
  <c r="N13" i="6"/>
  <c r="G9" i="6"/>
  <c r="N10" i="6"/>
  <c r="E11" i="6"/>
  <c r="J12" i="6"/>
  <c r="F14" i="6"/>
  <c r="T14" i="6"/>
  <c r="B11" i="6"/>
  <c r="M31" i="6"/>
  <c r="F30" i="6"/>
  <c r="D29" i="6"/>
  <c r="B28" i="6"/>
  <c r="T9" i="6"/>
  <c r="K12" i="6"/>
  <c r="B12" i="6"/>
  <c r="D30" i="6"/>
  <c r="L12" i="6"/>
  <c r="D31" i="6"/>
  <c r="E9" i="6"/>
  <c r="I14" i="6"/>
  <c r="F10" i="6"/>
  <c r="L11" i="6"/>
  <c r="Q12" i="6"/>
  <c r="M11" i="6"/>
  <c r="D14" i="6"/>
  <c r="H13" i="6"/>
  <c r="N9" i="6"/>
  <c r="E12" i="6"/>
  <c r="K13" i="6"/>
  <c r="I11" i="6"/>
  <c r="T13" i="6"/>
  <c r="G10" i="6"/>
  <c r="H10" i="6"/>
  <c r="N11" i="6"/>
  <c r="D13" i="6"/>
  <c r="I10" i="6"/>
  <c r="T12" i="6"/>
  <c r="D12" i="6"/>
  <c r="M27" i="6"/>
  <c r="J10" i="6"/>
  <c r="E13" i="6"/>
  <c r="J14" i="6"/>
  <c r="G13" i="6"/>
  <c r="L14" i="6"/>
  <c r="M14" i="6"/>
  <c r="I13" i="6"/>
  <c r="N14" i="6"/>
  <c r="J13" i="6"/>
  <c r="M9" i="6"/>
  <c r="F12" i="6"/>
  <c r="L9" i="6"/>
  <c r="N12" i="6"/>
  <c r="B32" i="6"/>
  <c r="K9" i="6"/>
  <c r="B21" i="6"/>
  <c r="F13" i="6"/>
  <c r="K14" i="6"/>
  <c r="T10" i="6"/>
  <c r="E10" i="6"/>
  <c r="K11" i="6"/>
  <c r="J11" i="6"/>
  <c r="H21" i="6"/>
  <c r="G21" i="6"/>
  <c r="B40" i="6"/>
  <c r="AL14" i="5"/>
  <c r="AL88" i="5" s="1"/>
  <c r="AG14" i="5"/>
  <c r="AG88" i="5" s="1"/>
  <c r="W14" i="5"/>
  <c r="W88" i="5" s="1"/>
  <c r="AB14" i="5"/>
  <c r="AB88" i="5" s="1"/>
  <c r="AG89" i="5"/>
  <c r="AG85" i="5"/>
  <c r="AB90" i="5"/>
  <c r="AB85" i="5"/>
  <c r="W89" i="5"/>
  <c r="R88" i="5"/>
  <c r="M90" i="5"/>
  <c r="M89" i="5"/>
  <c r="M62" i="5"/>
  <c r="M69" i="5"/>
  <c r="L69" i="5"/>
  <c r="M102" i="5" s="1"/>
  <c r="K69" i="5"/>
  <c r="M98" i="5" s="1"/>
  <c r="J69" i="5"/>
  <c r="M94" i="5" s="1"/>
  <c r="Q69" i="5"/>
  <c r="R102" i="5" s="1"/>
  <c r="P69" i="5"/>
  <c r="R98" i="5" s="1"/>
  <c r="R62" i="5"/>
  <c r="O69" i="5"/>
  <c r="R94" i="5" s="1"/>
  <c r="R69" i="5"/>
  <c r="T69" i="5"/>
  <c r="W94" i="5" s="1"/>
  <c r="W62" i="5"/>
  <c r="U69" i="5"/>
  <c r="W98" i="5" s="1"/>
  <c r="V69" i="5"/>
  <c r="W102" i="5" s="1"/>
  <c r="W69" i="5"/>
  <c r="AB69" i="5"/>
  <c r="AA69" i="5"/>
  <c r="AB102" i="5" s="1"/>
  <c r="Z69" i="5"/>
  <c r="AB98" i="5" s="1"/>
  <c r="Y69" i="5"/>
  <c r="AB94" i="5" s="1"/>
  <c r="AB62" i="5"/>
  <c r="AK69" i="5"/>
  <c r="AL102" i="5" s="1"/>
  <c r="AG62" i="5"/>
  <c r="AG69" i="5"/>
  <c r="AJ69" i="5"/>
  <c r="AL98" i="5" s="1"/>
  <c r="AF69" i="5"/>
  <c r="AG102" i="5" s="1"/>
  <c r="AE69" i="5"/>
  <c r="AG98" i="5" s="1"/>
  <c r="AD69" i="5"/>
  <c r="AG94" i="5" s="1"/>
  <c r="AL69" i="5"/>
  <c r="AI69" i="5"/>
  <c r="AL94" i="5" s="1"/>
  <c r="AL62" i="5"/>
  <c r="AG86" i="5"/>
  <c r="AB89" i="5"/>
  <c r="AL86" i="5"/>
  <c r="R85" i="5"/>
  <c r="W85" i="5"/>
  <c r="R86" i="5"/>
  <c r="F19" i="6" l="1"/>
  <c r="F18" i="6"/>
  <c r="F16" i="6"/>
  <c r="F17" i="6"/>
  <c r="F15" i="6"/>
  <c r="F34" i="6"/>
  <c r="F35" i="6"/>
  <c r="F36" i="6"/>
  <c r="F37" i="6"/>
  <c r="F38" i="6"/>
  <c r="D19" i="6"/>
  <c r="D18" i="6"/>
  <c r="D16" i="6"/>
  <c r="D15" i="6"/>
  <c r="D17" i="6"/>
  <c r="N18" i="6"/>
  <c r="N17" i="6"/>
  <c r="N16" i="6"/>
  <c r="N19" i="6"/>
  <c r="N15" i="6"/>
  <c r="T16" i="6"/>
  <c r="T19" i="6"/>
  <c r="T15" i="6"/>
  <c r="T17" i="6"/>
  <c r="T18" i="6"/>
  <c r="M37" i="6"/>
  <c r="M38" i="6"/>
  <c r="M35" i="6"/>
  <c r="M36" i="6"/>
  <c r="M34" i="6"/>
  <c r="M17" i="6"/>
  <c r="M18" i="6"/>
  <c r="M15" i="6"/>
  <c r="M19" i="6"/>
  <c r="M16" i="6"/>
  <c r="Q19" i="6"/>
  <c r="Q18" i="6"/>
  <c r="Q15" i="6"/>
  <c r="Q16" i="6"/>
  <c r="Q17" i="6"/>
  <c r="H61" i="5"/>
  <c r="I24" i="12" s="1"/>
  <c r="E21" i="6"/>
  <c r="T68" i="5"/>
  <c r="W93" i="5" s="1"/>
  <c r="T67" i="5"/>
  <c r="W92" i="5" s="1"/>
  <c r="U67" i="5"/>
  <c r="W96" i="5" s="1"/>
  <c r="W68" i="5"/>
  <c r="W67" i="5"/>
  <c r="V68" i="5"/>
  <c r="W101" i="5" s="1"/>
  <c r="V67" i="5"/>
  <c r="W100" i="5" s="1"/>
  <c r="U68" i="5"/>
  <c r="W97" i="5" s="1"/>
  <c r="AB68" i="5"/>
  <c r="AB67" i="5"/>
  <c r="AA68" i="5"/>
  <c r="AB101" i="5" s="1"/>
  <c r="AA67" i="5"/>
  <c r="AB100" i="5" s="1"/>
  <c r="Z68" i="5"/>
  <c r="AB97" i="5" s="1"/>
  <c r="Z67" i="5"/>
  <c r="AB96" i="5" s="1"/>
  <c r="Y68" i="5"/>
  <c r="AB93" i="5" s="1"/>
  <c r="Y67" i="5"/>
  <c r="AB92" i="5" s="1"/>
  <c r="AI68" i="5"/>
  <c r="AL93" i="5" s="1"/>
  <c r="AI67" i="5"/>
  <c r="AL92" i="5" s="1"/>
  <c r="M68" i="5"/>
  <c r="M67" i="5"/>
  <c r="L68" i="5"/>
  <c r="M101" i="5" s="1"/>
  <c r="L67" i="5"/>
  <c r="M100" i="5" s="1"/>
  <c r="K68" i="5"/>
  <c r="M97" i="5" s="1"/>
  <c r="K67" i="5"/>
  <c r="M96" i="5" s="1"/>
  <c r="J68" i="5"/>
  <c r="M93" i="5" s="1"/>
  <c r="J67" i="5"/>
  <c r="M92" i="5" s="1"/>
  <c r="AK68" i="5"/>
  <c r="AL101" i="5" s="1"/>
  <c r="AK67" i="5"/>
  <c r="AL100" i="5" s="1"/>
  <c r="AG68" i="5"/>
  <c r="AG67" i="5"/>
  <c r="AF68" i="5"/>
  <c r="AG101" i="5" s="1"/>
  <c r="AF67" i="5"/>
  <c r="AG100" i="5" s="1"/>
  <c r="AL68" i="5"/>
  <c r="AE68" i="5"/>
  <c r="AG97" i="5" s="1"/>
  <c r="AE67" i="5"/>
  <c r="AG96" i="5" s="1"/>
  <c r="AD68" i="5"/>
  <c r="AG93" i="5" s="1"/>
  <c r="AD67" i="5"/>
  <c r="AG92" i="5" s="1"/>
  <c r="AL67" i="5"/>
  <c r="AJ68" i="5"/>
  <c r="AL97" i="5" s="1"/>
  <c r="AJ67" i="5"/>
  <c r="AL96" i="5" s="1"/>
  <c r="Q68" i="5"/>
  <c r="R101" i="5" s="1"/>
  <c r="Q67" i="5"/>
  <c r="R100" i="5" s="1"/>
  <c r="P68" i="5"/>
  <c r="R97" i="5" s="1"/>
  <c r="P67" i="5"/>
  <c r="R96" i="5" s="1"/>
  <c r="R68" i="5"/>
  <c r="O68" i="5"/>
  <c r="R93" i="5" s="1"/>
  <c r="O67" i="5"/>
  <c r="R92" i="5" s="1"/>
  <c r="R67" i="5"/>
  <c r="H24" i="12" l="1"/>
  <c r="F24" i="12"/>
  <c r="J24" i="12"/>
  <c r="L24" i="12"/>
  <c r="D29" i="12" s="1"/>
  <c r="L29" i="12" s="1"/>
  <c r="L32" i="12" s="1"/>
  <c r="L36" i="12" s="1"/>
  <c r="L40" i="12" s="1"/>
  <c r="F40" i="6"/>
  <c r="F21" i="6"/>
  <c r="H62" i="5"/>
  <c r="M21" i="6" l="1"/>
  <c r="M40" i="6"/>
  <c r="N14" i="4"/>
  <c r="N17" i="4" s="1"/>
  <c r="O14" i="4"/>
  <c r="O17" i="4" s="1"/>
  <c r="M14" i="4"/>
  <c r="M17" i="4" s="1"/>
  <c r="N7" i="4"/>
  <c r="N13" i="4" s="1"/>
  <c r="N16" i="4" s="1"/>
  <c r="O7" i="4"/>
  <c r="O13" i="4" s="1"/>
  <c r="O16" i="4" s="1"/>
  <c r="O18" i="4" s="1"/>
  <c r="M7" i="4"/>
  <c r="M13" i="4" s="1"/>
  <c r="M16" i="4" s="1"/>
  <c r="AE17" i="2"/>
  <c r="AE14" i="2" s="1"/>
  <c r="AD17" i="2"/>
  <c r="AD14" i="2" s="1"/>
  <c r="AC17" i="2"/>
  <c r="AC14" i="2" s="1"/>
  <c r="AB17" i="2"/>
  <c r="AB14" i="2" s="1"/>
  <c r="AA17" i="2"/>
  <c r="AA14" i="2" s="1"/>
  <c r="Z17" i="2"/>
  <c r="Z14" i="2" s="1"/>
  <c r="Y17" i="2"/>
  <c r="Y14" i="2" s="1"/>
  <c r="O17" i="2"/>
  <c r="N17" i="2"/>
  <c r="M17" i="2"/>
  <c r="L17" i="2"/>
  <c r="K17" i="2"/>
  <c r="P18" i="2"/>
  <c r="Q18" i="2" s="1"/>
  <c r="R18" i="2" s="1"/>
  <c r="S18" i="2" s="1"/>
  <c r="T18" i="2" s="1"/>
  <c r="P19" i="2"/>
  <c r="Q19" i="2" s="1"/>
  <c r="R19" i="2" l="1"/>
  <c r="Q17" i="2"/>
  <c r="Q14" i="2" s="1"/>
  <c r="P17" i="2"/>
  <c r="P14" i="2" s="1"/>
  <c r="M18" i="4"/>
  <c r="N18" i="4"/>
  <c r="Q36" i="3"/>
  <c r="Q32" i="3"/>
  <c r="Q31" i="3"/>
  <c r="Q30" i="3"/>
  <c r="Q29" i="3"/>
  <c r="Q28" i="3"/>
  <c r="Q27" i="3"/>
  <c r="Q11" i="3"/>
  <c r="S19" i="2" l="1"/>
  <c r="R17" i="2"/>
  <c r="R14" i="2" s="1"/>
  <c r="J54" i="3"/>
  <c r="K54" i="3"/>
  <c r="T19" i="2" l="1"/>
  <c r="S17" i="2"/>
  <c r="S14" i="2" s="1"/>
  <c r="H67" i="1"/>
  <c r="I67" i="1"/>
  <c r="J67" i="1"/>
  <c r="G67" i="1"/>
  <c r="I54" i="3"/>
  <c r="I55" i="3"/>
  <c r="J55" i="3"/>
  <c r="K55" i="3"/>
  <c r="L55" i="3"/>
  <c r="M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H56" i="3"/>
  <c r="H55" i="3"/>
  <c r="H54" i="3"/>
  <c r="V68" i="2"/>
  <c r="W68" i="2"/>
  <c r="U69" i="2"/>
  <c r="V69" i="2" s="1"/>
  <c r="W69" i="2" s="1"/>
  <c r="U70" i="2"/>
  <c r="V70" i="2" s="1"/>
  <c r="W70" i="2" s="1"/>
  <c r="U68" i="2"/>
  <c r="V137" i="2"/>
  <c r="W137" i="2" s="1"/>
  <c r="V136" i="2"/>
  <c r="W136" i="2" s="1"/>
  <c r="V135" i="2"/>
  <c r="W135" i="2" s="1"/>
  <c r="V131" i="2"/>
  <c r="W131" i="2" s="1"/>
  <c r="V132" i="2"/>
  <c r="W132" i="2" s="1"/>
  <c r="V130" i="2"/>
  <c r="W130" i="2" s="1"/>
  <c r="L70" i="2"/>
  <c r="M70" i="2" s="1"/>
  <c r="N70" i="2" s="1"/>
  <c r="O70" i="2" s="1"/>
  <c r="P70" i="2" s="1"/>
  <c r="Q70" i="2" s="1"/>
  <c r="R70" i="2" s="1"/>
  <c r="S70" i="2" s="1"/>
  <c r="L69" i="2"/>
  <c r="M69" i="2" s="1"/>
  <c r="N69" i="2" s="1"/>
  <c r="O69" i="2" s="1"/>
  <c r="P69" i="2" s="1"/>
  <c r="Q69" i="2" s="1"/>
  <c r="R69" i="2" s="1"/>
  <c r="S69" i="2" s="1"/>
  <c r="W141" i="2"/>
  <c r="W142" i="2"/>
  <c r="W140" i="2"/>
  <c r="T98" i="2"/>
  <c r="U98" i="2"/>
  <c r="R98" i="2"/>
  <c r="S98" i="2"/>
  <c r="N124" i="3"/>
  <c r="O124" i="3"/>
  <c r="P124" i="3"/>
  <c r="Q124" i="3"/>
  <c r="R124" i="3"/>
  <c r="S124" i="3"/>
  <c r="T124" i="3"/>
  <c r="U124" i="3"/>
  <c r="V124" i="3"/>
  <c r="W124" i="3"/>
  <c r="M124" i="3"/>
  <c r="U19" i="2" l="1"/>
  <c r="T17" i="2"/>
  <c r="T14" i="2" s="1"/>
  <c r="G16" i="3"/>
  <c r="G22" i="3"/>
  <c r="U38" i="3"/>
  <c r="U29" i="3"/>
  <c r="U20" i="3"/>
  <c r="V19" i="2" l="1"/>
  <c r="U17" i="2"/>
  <c r="U14" i="2" s="1"/>
  <c r="K101" i="3"/>
  <c r="J101" i="3"/>
  <c r="K169" i="3"/>
  <c r="J169" i="3"/>
  <c r="K164" i="3"/>
  <c r="K167" i="3" s="1"/>
  <c r="J164" i="3"/>
  <c r="J167" i="3" s="1"/>
  <c r="X132" i="3"/>
  <c r="K146" i="3"/>
  <c r="J146" i="3"/>
  <c r="K141" i="3"/>
  <c r="K144" i="3" s="1"/>
  <c r="J141" i="3"/>
  <c r="J144" i="3" s="1"/>
  <c r="K119" i="3"/>
  <c r="K122" i="3" s="1"/>
  <c r="J119" i="3"/>
  <c r="J122" i="3" s="1"/>
  <c r="K96" i="3"/>
  <c r="J96" i="3"/>
  <c r="M169" i="3"/>
  <c r="L169" i="3"/>
  <c r="I12" i="4"/>
  <c r="H12" i="4"/>
  <c r="I6" i="4" a="1"/>
  <c r="I6" i="4" s="1"/>
  <c r="H6" i="4" a="1"/>
  <c r="H6" i="4" s="1"/>
  <c r="H9" i="4"/>
  <c r="I9" i="4"/>
  <c r="K93" i="1"/>
  <c r="L93" i="1" s="1"/>
  <c r="L166" i="1"/>
  <c r="M166" i="1"/>
  <c r="N166" i="1"/>
  <c r="O166" i="1"/>
  <c r="P166" i="1"/>
  <c r="K197" i="1"/>
  <c r="K194" i="1"/>
  <c r="K166" i="1"/>
  <c r="H54" i="1"/>
  <c r="I54" i="1"/>
  <c r="J54" i="1"/>
  <c r="G54" i="1"/>
  <c r="H49" i="1"/>
  <c r="I49" i="1"/>
  <c r="J49" i="1"/>
  <c r="G49" i="1"/>
  <c r="H50" i="1"/>
  <c r="I50" i="1"/>
  <c r="J50" i="1"/>
  <c r="G50" i="1"/>
  <c r="H47" i="1"/>
  <c r="I47" i="1"/>
  <c r="J47" i="1"/>
  <c r="G47" i="1"/>
  <c r="H378" i="2"/>
  <c r="H385" i="2" s="1"/>
  <c r="I64" i="3" s="1"/>
  <c r="I378" i="2"/>
  <c r="I385" i="2" s="1"/>
  <c r="J64" i="3" s="1"/>
  <c r="J378" i="2"/>
  <c r="J385" i="2" s="1"/>
  <c r="K64" i="3" s="1"/>
  <c r="G378" i="2"/>
  <c r="G385" i="2" s="1"/>
  <c r="H64" i="3" s="1"/>
  <c r="H370" i="2"/>
  <c r="H371" i="2" s="1"/>
  <c r="I370" i="2"/>
  <c r="I371" i="2" s="1"/>
  <c r="J370" i="2"/>
  <c r="J371" i="2" s="1"/>
  <c r="G370" i="2"/>
  <c r="G371" i="2" s="1"/>
  <c r="H373" i="2"/>
  <c r="I373" i="2"/>
  <c r="J373" i="2"/>
  <c r="G373" i="2"/>
  <c r="I368" i="2"/>
  <c r="J368" i="2" s="1"/>
  <c r="K368" i="2" s="1"/>
  <c r="L368" i="2" s="1"/>
  <c r="M368" i="2" s="1"/>
  <c r="N368" i="2" s="1"/>
  <c r="O368" i="2" s="1"/>
  <c r="P368" i="2" s="1"/>
  <c r="B368" i="2"/>
  <c r="W19" i="2" l="1"/>
  <c r="V17" i="2"/>
  <c r="V14" i="2" s="1"/>
  <c r="J62" i="3"/>
  <c r="K62" i="3"/>
  <c r="I62" i="3"/>
  <c r="H62" i="3"/>
  <c r="J99" i="3"/>
  <c r="K99" i="3"/>
  <c r="K54" i="1"/>
  <c r="M93" i="1"/>
  <c r="N93" i="1" s="1"/>
  <c r="K50" i="1"/>
  <c r="L194" i="1"/>
  <c r="L54" i="1"/>
  <c r="K49" i="1"/>
  <c r="J375" i="2"/>
  <c r="I375" i="2"/>
  <c r="H375" i="2"/>
  <c r="G375" i="2"/>
  <c r="X19" i="2" l="1"/>
  <c r="X17" i="2" s="1"/>
  <c r="X14" i="2" s="1"/>
  <c r="W17" i="2"/>
  <c r="W14" i="2" s="1"/>
  <c r="O93" i="1"/>
  <c r="P93" i="1" s="1"/>
  <c r="M54" i="1"/>
  <c r="M194" i="1"/>
  <c r="L49" i="1"/>
  <c r="M49" i="1" s="1"/>
  <c r="K375" i="2"/>
  <c r="L375" i="2" s="1"/>
  <c r="M375" i="2" s="1"/>
  <c r="N375" i="2" s="1"/>
  <c r="O375" i="2" s="1"/>
  <c r="P375" i="2" s="1"/>
  <c r="N54" i="1" l="1"/>
  <c r="N194" i="1"/>
  <c r="O194" i="1" s="1"/>
  <c r="N49" i="1"/>
  <c r="K378" i="2"/>
  <c r="O54" i="1" l="1"/>
  <c r="P194" i="1"/>
  <c r="O49" i="1"/>
  <c r="P49" i="1" s="1"/>
  <c r="P54" i="1" l="1"/>
  <c r="H41" i="1"/>
  <c r="I41" i="1"/>
  <c r="J41" i="1"/>
  <c r="G41" i="1"/>
  <c r="K41" i="1" l="1"/>
  <c r="L41" i="1" s="1"/>
  <c r="M41" i="1" s="1"/>
  <c r="N41" i="1" s="1"/>
  <c r="O41" i="1" s="1"/>
  <c r="P41" i="1" s="1"/>
  <c r="H25" i="1"/>
  <c r="H29" i="1" l="1"/>
  <c r="I25" i="1" s="1"/>
  <c r="I29" i="1" s="1"/>
  <c r="J25" i="1" s="1"/>
  <c r="J29" i="1" s="1"/>
  <c r="K25" i="1" s="1"/>
  <c r="K101" i="1" l="1"/>
  <c r="K175" i="1" s="1"/>
  <c r="K71" i="1"/>
  <c r="I23" i="1"/>
  <c r="J23" i="1"/>
  <c r="H23" i="1"/>
  <c r="K75" i="1"/>
  <c r="I59" i="3"/>
  <c r="J59" i="3"/>
  <c r="K59" i="3"/>
  <c r="H59" i="3"/>
  <c r="H49" i="3"/>
  <c r="H72" i="3" s="1"/>
  <c r="I49" i="3"/>
  <c r="I72" i="3" s="1"/>
  <c r="J49" i="3"/>
  <c r="J72" i="3" s="1"/>
  <c r="K49" i="3"/>
  <c r="K72" i="3" s="1"/>
  <c r="L72" i="3"/>
  <c r="H50" i="3"/>
  <c r="H73" i="3" s="1"/>
  <c r="I50" i="3"/>
  <c r="I73" i="3" s="1"/>
  <c r="J50" i="3"/>
  <c r="J73" i="3" s="1"/>
  <c r="K50" i="3"/>
  <c r="K73" i="3" s="1"/>
  <c r="I48" i="3"/>
  <c r="J48" i="3"/>
  <c r="K48" i="3"/>
  <c r="H48" i="3"/>
  <c r="L73" i="3" l="1"/>
  <c r="L75" i="1"/>
  <c r="M75" i="1" s="1"/>
  <c r="L321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W98" i="2"/>
  <c r="V98" i="2"/>
  <c r="Q98" i="2"/>
  <c r="P98" i="2"/>
  <c r="O98" i="2"/>
  <c r="N98" i="2"/>
  <c r="M98" i="2"/>
  <c r="L98" i="2"/>
  <c r="K98" i="2"/>
  <c r="M146" i="3"/>
  <c r="N146" i="3"/>
  <c r="O146" i="3"/>
  <c r="P146" i="3"/>
  <c r="Q146" i="3"/>
  <c r="R146" i="3"/>
  <c r="S146" i="3"/>
  <c r="T146" i="3"/>
  <c r="U146" i="3"/>
  <c r="V146" i="3"/>
  <c r="W146" i="3"/>
  <c r="X146" i="3"/>
  <c r="L146" i="3"/>
  <c r="M159" i="3"/>
  <c r="L159" i="3"/>
  <c r="L114" i="3"/>
  <c r="L116" i="3" l="1"/>
  <c r="L161" i="3"/>
  <c r="M161" i="3"/>
  <c r="N75" i="1"/>
  <c r="O75" i="1" s="1"/>
  <c r="Q49" i="3"/>
  <c r="X7" i="2"/>
  <c r="Y7" i="2"/>
  <c r="Z7" i="2"/>
  <c r="AA7" i="2"/>
  <c r="AB7" i="2"/>
  <c r="AC7" i="2"/>
  <c r="AD7" i="2"/>
  <c r="AE7" i="2"/>
  <c r="K149" i="1"/>
  <c r="C81" i="2"/>
  <c r="C112" i="2"/>
  <c r="C161" i="2"/>
  <c r="J15" i="2"/>
  <c r="I15" i="2"/>
  <c r="H15" i="2"/>
  <c r="G15" i="2"/>
  <c r="K370" i="2" l="1"/>
  <c r="L62" i="3" s="1"/>
  <c r="K122" i="1"/>
  <c r="P75" i="1"/>
  <c r="R49" i="3"/>
  <c r="R72" i="3" s="1"/>
  <c r="B157" i="3"/>
  <c r="B134" i="3"/>
  <c r="B112" i="3"/>
  <c r="D25" i="4"/>
  <c r="D26" i="4" s="1"/>
  <c r="B3" i="4"/>
  <c r="I25" i="2"/>
  <c r="J25" i="2"/>
  <c r="H25" i="2"/>
  <c r="B89" i="3"/>
  <c r="L379" i="2" l="1"/>
  <c r="N379" i="2"/>
  <c r="M379" i="2"/>
  <c r="K115" i="1"/>
  <c r="K167" i="1" s="1"/>
  <c r="P379" i="2"/>
  <c r="K172" i="1"/>
  <c r="K379" i="2"/>
  <c r="K385" i="2" s="1"/>
  <c r="L64" i="3" s="1"/>
  <c r="O379" i="2"/>
  <c r="S49" i="3"/>
  <c r="S72" i="3" s="1"/>
  <c r="K179" i="1" l="1"/>
  <c r="K38" i="10" s="1"/>
  <c r="K34" i="10"/>
  <c r="K373" i="2"/>
  <c r="L378" i="2" s="1"/>
  <c r="K152" i="1"/>
  <c r="T49" i="3"/>
  <c r="T72" i="3" s="1"/>
  <c r="K99" i="1" l="1"/>
  <c r="K119" i="1" s="1"/>
  <c r="K164" i="1" s="1"/>
  <c r="U49" i="3"/>
  <c r="U72" i="3" s="1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O302" i="2"/>
  <c r="P302" i="2"/>
  <c r="Q302" i="2"/>
  <c r="R302" i="2"/>
  <c r="S302" i="2"/>
  <c r="T302" i="2"/>
  <c r="U302" i="2"/>
  <c r="V302" i="2"/>
  <c r="W302" i="2"/>
  <c r="X302" i="2"/>
  <c r="O303" i="2"/>
  <c r="O301" i="2" s="1"/>
  <c r="P303" i="2"/>
  <c r="P301" i="2" s="1"/>
  <c r="Q303" i="2"/>
  <c r="Q301" i="2" s="1"/>
  <c r="R303" i="2"/>
  <c r="R301" i="2" s="1"/>
  <c r="S303" i="2"/>
  <c r="S301" i="2" s="1"/>
  <c r="T303" i="2"/>
  <c r="T301" i="2" s="1"/>
  <c r="U303" i="2"/>
  <c r="U301" i="2" s="1"/>
  <c r="V303" i="2"/>
  <c r="V301" i="2" s="1"/>
  <c r="W303" i="2"/>
  <c r="W301" i="2" s="1"/>
  <c r="X303" i="2"/>
  <c r="X301" i="2" s="1"/>
  <c r="O304" i="2"/>
  <c r="P304" i="2"/>
  <c r="Q304" i="2"/>
  <c r="R304" i="2"/>
  <c r="S304" i="2"/>
  <c r="T304" i="2"/>
  <c r="U304" i="2"/>
  <c r="V304" i="2"/>
  <c r="W304" i="2"/>
  <c r="X304" i="2"/>
  <c r="N303" i="2"/>
  <c r="N301" i="2" s="1"/>
  <c r="N304" i="2"/>
  <c r="N302" i="2"/>
  <c r="O297" i="2"/>
  <c r="P297" i="2"/>
  <c r="Q297" i="2"/>
  <c r="R297" i="2"/>
  <c r="S297" i="2"/>
  <c r="T297" i="2"/>
  <c r="U297" i="2"/>
  <c r="V297" i="2"/>
  <c r="W297" i="2"/>
  <c r="X297" i="2"/>
  <c r="O298" i="2"/>
  <c r="O296" i="2" s="1"/>
  <c r="P298" i="2"/>
  <c r="P296" i="2" s="1"/>
  <c r="Q298" i="2"/>
  <c r="Q296" i="2" s="1"/>
  <c r="R298" i="2"/>
  <c r="R296" i="2" s="1"/>
  <c r="S298" i="2"/>
  <c r="S296" i="2" s="1"/>
  <c r="T298" i="2"/>
  <c r="T296" i="2" s="1"/>
  <c r="U298" i="2"/>
  <c r="U296" i="2" s="1"/>
  <c r="V298" i="2"/>
  <c r="V296" i="2" s="1"/>
  <c r="W298" i="2"/>
  <c r="W296" i="2" s="1"/>
  <c r="X298" i="2"/>
  <c r="X296" i="2" s="1"/>
  <c r="O299" i="2"/>
  <c r="P299" i="2"/>
  <c r="Q299" i="2"/>
  <c r="R299" i="2"/>
  <c r="S299" i="2"/>
  <c r="T299" i="2"/>
  <c r="U299" i="2"/>
  <c r="V299" i="2"/>
  <c r="W299" i="2"/>
  <c r="X299" i="2"/>
  <c r="N298" i="2"/>
  <c r="N296" i="2" s="1"/>
  <c r="N299" i="2"/>
  <c r="N297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K259" i="2" s="1"/>
  <c r="V238" i="2"/>
  <c r="U238" i="2"/>
  <c r="T238" i="2"/>
  <c r="S238" i="2"/>
  <c r="R238" i="2"/>
  <c r="Q238" i="2"/>
  <c r="P238" i="2"/>
  <c r="O238" i="2"/>
  <c r="N238" i="2"/>
  <c r="M238" i="2"/>
  <c r="L238" i="2"/>
  <c r="K238" i="2"/>
  <c r="K258" i="2" s="1"/>
  <c r="L225" i="2"/>
  <c r="M225" i="2" s="1"/>
  <c r="N225" i="2" s="1"/>
  <c r="O225" i="2" s="1"/>
  <c r="P225" i="2" s="1"/>
  <c r="Q225" i="2" s="1"/>
  <c r="R225" i="2" s="1"/>
  <c r="S225" i="2" s="1"/>
  <c r="L221" i="2"/>
  <c r="L251" i="2" s="1"/>
  <c r="U194" i="2"/>
  <c r="T194" i="2"/>
  <c r="S194" i="2"/>
  <c r="R194" i="2"/>
  <c r="Q194" i="2"/>
  <c r="P194" i="2"/>
  <c r="O194" i="2"/>
  <c r="N194" i="2"/>
  <c r="M194" i="2"/>
  <c r="L194" i="2"/>
  <c r="K194" i="2"/>
  <c r="U189" i="2"/>
  <c r="T189" i="2"/>
  <c r="S189" i="2"/>
  <c r="R189" i="2"/>
  <c r="Q189" i="2"/>
  <c r="P189" i="2"/>
  <c r="O189" i="2"/>
  <c r="N189" i="2"/>
  <c r="M189" i="2"/>
  <c r="L189" i="2"/>
  <c r="K189" i="2"/>
  <c r="K206" i="2"/>
  <c r="K204" i="2" s="1"/>
  <c r="K207" i="2"/>
  <c r="K205" i="2"/>
  <c r="K201" i="2"/>
  <c r="K199" i="2" s="1"/>
  <c r="K202" i="2"/>
  <c r="K200" i="2"/>
  <c r="L176" i="2"/>
  <c r="M176" i="2" s="1"/>
  <c r="N176" i="2" s="1"/>
  <c r="O176" i="2" s="1"/>
  <c r="P176" i="2" s="1"/>
  <c r="Q176" i="2" s="1"/>
  <c r="R176" i="2" s="1"/>
  <c r="S176" i="2" s="1"/>
  <c r="T176" i="2" s="1"/>
  <c r="U176" i="2" s="1"/>
  <c r="U207" i="2" s="1"/>
  <c r="L172" i="2"/>
  <c r="M172" i="2" s="1"/>
  <c r="N172" i="2" s="1"/>
  <c r="O172" i="2" s="1"/>
  <c r="P172" i="2" s="1"/>
  <c r="Q172" i="2" s="1"/>
  <c r="R172" i="2" s="1"/>
  <c r="S172" i="2" s="1"/>
  <c r="T172" i="2" s="1"/>
  <c r="U172" i="2" s="1"/>
  <c r="U202" i="2" s="1"/>
  <c r="M321" i="2"/>
  <c r="N321" i="2" s="1"/>
  <c r="L317" i="2"/>
  <c r="M317" i="2" s="1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T225" i="2" l="1"/>
  <c r="U225" i="2" s="1"/>
  <c r="V225" i="2" s="1"/>
  <c r="V256" i="2" s="1"/>
  <c r="V49" i="3"/>
  <c r="V72" i="3" s="1"/>
  <c r="W307" i="2"/>
  <c r="V307" i="2"/>
  <c r="R307" i="2"/>
  <c r="U307" i="2"/>
  <c r="U306" i="2"/>
  <c r="T306" i="2"/>
  <c r="P307" i="2"/>
  <c r="X306" i="2"/>
  <c r="X307" i="2"/>
  <c r="W306" i="2"/>
  <c r="T307" i="2"/>
  <c r="K209" i="2"/>
  <c r="K214" i="2" s="1"/>
  <c r="S307" i="2"/>
  <c r="V306" i="2"/>
  <c r="N306" i="2"/>
  <c r="S306" i="2"/>
  <c r="Q306" i="2"/>
  <c r="N307" i="2"/>
  <c r="O306" i="2"/>
  <c r="R306" i="2"/>
  <c r="O307" i="2"/>
  <c r="P306" i="2"/>
  <c r="Q307" i="2"/>
  <c r="N255" i="2"/>
  <c r="N253" i="2" s="1"/>
  <c r="N259" i="2" s="1"/>
  <c r="M254" i="2"/>
  <c r="R202" i="2"/>
  <c r="P202" i="2"/>
  <c r="N202" i="2"/>
  <c r="M202" i="2"/>
  <c r="M201" i="2"/>
  <c r="M199" i="2" s="1"/>
  <c r="M209" i="2" s="1"/>
  <c r="M214" i="2" s="1"/>
  <c r="L201" i="2"/>
  <c r="L199" i="2" s="1"/>
  <c r="L209" i="2" s="1"/>
  <c r="L214" i="2" s="1"/>
  <c r="S200" i="2"/>
  <c r="S256" i="2"/>
  <c r="R200" i="2"/>
  <c r="R256" i="2"/>
  <c r="Q200" i="2"/>
  <c r="Q255" i="2"/>
  <c r="Q253" i="2" s="1"/>
  <c r="Q259" i="2" s="1"/>
  <c r="T202" i="2"/>
  <c r="P255" i="2"/>
  <c r="P253" i="2" s="1"/>
  <c r="P259" i="2" s="1"/>
  <c r="S202" i="2"/>
  <c r="O255" i="2"/>
  <c r="O253" i="2" s="1"/>
  <c r="O259" i="2" s="1"/>
  <c r="Q256" i="2"/>
  <c r="M255" i="2"/>
  <c r="M253" i="2" s="1"/>
  <c r="M259" i="2" s="1"/>
  <c r="K210" i="2"/>
  <c r="K215" i="2" s="1"/>
  <c r="P256" i="2"/>
  <c r="L250" i="2"/>
  <c r="L248" i="2" s="1"/>
  <c r="L258" i="2" s="1"/>
  <c r="N256" i="2"/>
  <c r="O202" i="2"/>
  <c r="M256" i="2"/>
  <c r="S254" i="2"/>
  <c r="M221" i="2"/>
  <c r="O256" i="2"/>
  <c r="L254" i="2"/>
  <c r="Q254" i="2"/>
  <c r="L256" i="2"/>
  <c r="T255" i="2"/>
  <c r="T253" i="2" s="1"/>
  <c r="T259" i="2" s="1"/>
  <c r="P254" i="2"/>
  <c r="O201" i="2"/>
  <c r="O199" i="2" s="1"/>
  <c r="O209" i="2" s="1"/>
  <c r="O214" i="2" s="1"/>
  <c r="L255" i="2"/>
  <c r="L253" i="2" s="1"/>
  <c r="L259" i="2" s="1"/>
  <c r="S255" i="2"/>
  <c r="S253" i="2" s="1"/>
  <c r="S259" i="2" s="1"/>
  <c r="O254" i="2"/>
  <c r="L249" i="2"/>
  <c r="R254" i="2"/>
  <c r="N201" i="2"/>
  <c r="N199" i="2" s="1"/>
  <c r="N209" i="2" s="1"/>
  <c r="N214" i="2" s="1"/>
  <c r="R255" i="2"/>
  <c r="R253" i="2" s="1"/>
  <c r="R259" i="2" s="1"/>
  <c r="N254" i="2"/>
  <c r="S205" i="2"/>
  <c r="R205" i="2"/>
  <c r="Q202" i="2"/>
  <c r="Q207" i="2"/>
  <c r="Q205" i="2"/>
  <c r="T206" i="2"/>
  <c r="T204" i="2" s="1"/>
  <c r="T210" i="2" s="1"/>
  <c r="T215" i="2" s="1"/>
  <c r="S206" i="2"/>
  <c r="S204" i="2" s="1"/>
  <c r="S210" i="2" s="1"/>
  <c r="S215" i="2" s="1"/>
  <c r="M206" i="2"/>
  <c r="M204" i="2" s="1"/>
  <c r="M210" i="2" s="1"/>
  <c r="M215" i="2" s="1"/>
  <c r="L206" i="2"/>
  <c r="L204" i="2" s="1"/>
  <c r="L210" i="2" s="1"/>
  <c r="L215" i="2" s="1"/>
  <c r="U205" i="2"/>
  <c r="T205" i="2"/>
  <c r="P207" i="2"/>
  <c r="P205" i="2"/>
  <c r="O207" i="2"/>
  <c r="O205" i="2"/>
  <c r="N207" i="2"/>
  <c r="M207" i="2"/>
  <c r="U206" i="2"/>
  <c r="U204" i="2" s="1"/>
  <c r="U210" i="2" s="1"/>
  <c r="U215" i="2" s="1"/>
  <c r="U200" i="2"/>
  <c r="Q201" i="2"/>
  <c r="Q199" i="2" s="1"/>
  <c r="Q209" i="2" s="1"/>
  <c r="Q214" i="2" s="1"/>
  <c r="T200" i="2"/>
  <c r="P201" i="2"/>
  <c r="P199" i="2" s="1"/>
  <c r="P209" i="2" s="1"/>
  <c r="P214" i="2" s="1"/>
  <c r="L207" i="2"/>
  <c r="P200" i="2"/>
  <c r="L202" i="2"/>
  <c r="M350" i="2"/>
  <c r="O200" i="2"/>
  <c r="R206" i="2"/>
  <c r="R204" i="2" s="1"/>
  <c r="R210" i="2" s="1"/>
  <c r="R215" i="2" s="1"/>
  <c r="N205" i="2"/>
  <c r="N200" i="2"/>
  <c r="U201" i="2"/>
  <c r="U199" i="2" s="1"/>
  <c r="U209" i="2" s="1"/>
  <c r="U214" i="2" s="1"/>
  <c r="Q206" i="2"/>
  <c r="Q204" i="2" s="1"/>
  <c r="Q210" i="2" s="1"/>
  <c r="Q215" i="2" s="1"/>
  <c r="M205" i="2"/>
  <c r="M200" i="2"/>
  <c r="T201" i="2"/>
  <c r="T199" i="2" s="1"/>
  <c r="T209" i="2" s="1"/>
  <c r="T214" i="2" s="1"/>
  <c r="T207" i="2"/>
  <c r="P206" i="2"/>
  <c r="P204" i="2" s="1"/>
  <c r="P210" i="2" s="1"/>
  <c r="P215" i="2" s="1"/>
  <c r="L205" i="2"/>
  <c r="L200" i="2"/>
  <c r="S201" i="2"/>
  <c r="S199" i="2" s="1"/>
  <c r="S209" i="2" s="1"/>
  <c r="S214" i="2" s="1"/>
  <c r="S207" i="2"/>
  <c r="O206" i="2"/>
  <c r="O204" i="2" s="1"/>
  <c r="O210" i="2" s="1"/>
  <c r="O215" i="2" s="1"/>
  <c r="R201" i="2"/>
  <c r="R199" i="2" s="1"/>
  <c r="R209" i="2" s="1"/>
  <c r="R214" i="2" s="1"/>
  <c r="R207" i="2"/>
  <c r="N206" i="2"/>
  <c r="N204" i="2" s="1"/>
  <c r="N210" i="2" s="1"/>
  <c r="N215" i="2" s="1"/>
  <c r="M352" i="2"/>
  <c r="M351" i="2"/>
  <c r="M349" i="2" s="1"/>
  <c r="M347" i="2"/>
  <c r="M345" i="2"/>
  <c r="N317" i="2"/>
  <c r="M346" i="2"/>
  <c r="M344" i="2" s="1"/>
  <c r="M354" i="2" s="1"/>
  <c r="M356" i="2" s="1"/>
  <c r="O321" i="2"/>
  <c r="N350" i="2"/>
  <c r="N351" i="2"/>
  <c r="N349" i="2" s="1"/>
  <c r="N355" i="2" s="1"/>
  <c r="N352" i="2"/>
  <c r="U254" i="2" l="1"/>
  <c r="U255" i="2"/>
  <c r="U253" i="2" s="1"/>
  <c r="U259" i="2" s="1"/>
  <c r="T256" i="2"/>
  <c r="U308" i="2"/>
  <c r="V255" i="2"/>
  <c r="V253" i="2" s="1"/>
  <c r="V259" i="2" s="1"/>
  <c r="V254" i="2"/>
  <c r="U256" i="2"/>
  <c r="N159" i="3"/>
  <c r="M360" i="2"/>
  <c r="M359" i="2"/>
  <c r="T101" i="3"/>
  <c r="O101" i="3"/>
  <c r="U101" i="3"/>
  <c r="P101" i="3"/>
  <c r="V101" i="3"/>
  <c r="M101" i="3"/>
  <c r="L101" i="3"/>
  <c r="Q101" i="3"/>
  <c r="R101" i="3"/>
  <c r="S101" i="3"/>
  <c r="N101" i="3"/>
  <c r="W49" i="3"/>
  <c r="W72" i="3" s="1"/>
  <c r="T254" i="2"/>
  <c r="T308" i="2"/>
  <c r="W308" i="2"/>
  <c r="R308" i="2"/>
  <c r="X308" i="2"/>
  <c r="V308" i="2"/>
  <c r="P308" i="2"/>
  <c r="S308" i="2"/>
  <c r="N308" i="2"/>
  <c r="K211" i="2"/>
  <c r="R211" i="2"/>
  <c r="Q308" i="2"/>
  <c r="N211" i="2"/>
  <c r="O308" i="2"/>
  <c r="M211" i="2"/>
  <c r="L211" i="2"/>
  <c r="L260" i="2"/>
  <c r="M250" i="2"/>
  <c r="M248" i="2" s="1"/>
  <c r="M258" i="2" s="1"/>
  <c r="M260" i="2" s="1"/>
  <c r="N114" i="3" s="1"/>
  <c r="M251" i="2"/>
  <c r="M249" i="2"/>
  <c r="N221" i="2"/>
  <c r="Q211" i="2"/>
  <c r="T211" i="2"/>
  <c r="U211" i="2"/>
  <c r="P211" i="2"/>
  <c r="S211" i="2"/>
  <c r="O211" i="2"/>
  <c r="O351" i="2"/>
  <c r="O349" i="2" s="1"/>
  <c r="O355" i="2" s="1"/>
  <c r="O352" i="2"/>
  <c r="O350" i="2"/>
  <c r="P321" i="2"/>
  <c r="N347" i="2"/>
  <c r="O317" i="2"/>
  <c r="N346" i="2"/>
  <c r="N344" i="2" s="1"/>
  <c r="N354" i="2" s="1"/>
  <c r="N356" i="2" s="1"/>
  <c r="N345" i="2"/>
  <c r="B167" i="2"/>
  <c r="B2" i="2"/>
  <c r="L61" i="1"/>
  <c r="L16" i="10" s="1"/>
  <c r="M61" i="1"/>
  <c r="M16" i="10" s="1"/>
  <c r="N61" i="1"/>
  <c r="N16" i="10" s="1"/>
  <c r="O61" i="1"/>
  <c r="O16" i="10" s="1"/>
  <c r="P61" i="1"/>
  <c r="P16" i="10" s="1"/>
  <c r="K61" i="1"/>
  <c r="K16" i="10" s="1"/>
  <c r="W7" i="2"/>
  <c r="H157" i="2"/>
  <c r="I157" i="2"/>
  <c r="J157" i="2"/>
  <c r="G157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L146" i="2"/>
  <c r="L144" i="2" s="1"/>
  <c r="L154" i="2" s="1"/>
  <c r="M146" i="2"/>
  <c r="M144" i="2" s="1"/>
  <c r="M154" i="2" s="1"/>
  <c r="N146" i="2"/>
  <c r="N144" i="2" s="1"/>
  <c r="N154" i="2" s="1"/>
  <c r="O146" i="2"/>
  <c r="O144" i="2" s="1"/>
  <c r="O154" i="2" s="1"/>
  <c r="P146" i="2"/>
  <c r="P144" i="2" s="1"/>
  <c r="P154" i="2" s="1"/>
  <c r="Q146" i="2"/>
  <c r="Q144" i="2" s="1"/>
  <c r="Q154" i="2" s="1"/>
  <c r="R146" i="2"/>
  <c r="R144" i="2" s="1"/>
  <c r="R154" i="2" s="1"/>
  <c r="S146" i="2"/>
  <c r="S144" i="2" s="1"/>
  <c r="S154" i="2" s="1"/>
  <c r="T146" i="2"/>
  <c r="T144" i="2" s="1"/>
  <c r="T154" i="2" s="1"/>
  <c r="U146" i="2"/>
  <c r="U144" i="2" s="1"/>
  <c r="U154" i="2" s="1"/>
  <c r="V146" i="2"/>
  <c r="V144" i="2" s="1"/>
  <c r="V154" i="2" s="1"/>
  <c r="W146" i="2"/>
  <c r="W144" i="2" s="1"/>
  <c r="W154" i="2" s="1"/>
  <c r="L147" i="2"/>
  <c r="M147" i="2"/>
  <c r="N147" i="2"/>
  <c r="O147" i="2"/>
  <c r="P147" i="2"/>
  <c r="Q147" i="2"/>
  <c r="R147" i="2"/>
  <c r="S147" i="2"/>
  <c r="T147" i="2"/>
  <c r="U147" i="2"/>
  <c r="V147" i="2"/>
  <c r="W147" i="2"/>
  <c r="K146" i="2"/>
  <c r="K144" i="2" s="1"/>
  <c r="K147" i="2"/>
  <c r="K145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L151" i="2"/>
  <c r="L149" i="2" s="1"/>
  <c r="L157" i="2" s="1"/>
  <c r="M151" i="2"/>
  <c r="M149" i="2" s="1"/>
  <c r="M157" i="2" s="1"/>
  <c r="N151" i="2"/>
  <c r="N149" i="2" s="1"/>
  <c r="N157" i="2" s="1"/>
  <c r="O151" i="2"/>
  <c r="O149" i="2" s="1"/>
  <c r="O157" i="2" s="1"/>
  <c r="P151" i="2"/>
  <c r="P149" i="2" s="1"/>
  <c r="P157" i="2" s="1"/>
  <c r="Q151" i="2"/>
  <c r="Q149" i="2" s="1"/>
  <c r="Q157" i="2" s="1"/>
  <c r="R151" i="2"/>
  <c r="R149" i="2" s="1"/>
  <c r="R157" i="2" s="1"/>
  <c r="S151" i="2"/>
  <c r="S149" i="2" s="1"/>
  <c r="S157" i="2" s="1"/>
  <c r="T151" i="2"/>
  <c r="T149" i="2" s="1"/>
  <c r="T157" i="2" s="1"/>
  <c r="U151" i="2"/>
  <c r="U149" i="2" s="1"/>
  <c r="U157" i="2" s="1"/>
  <c r="V151" i="2"/>
  <c r="V149" i="2" s="1"/>
  <c r="V157" i="2" s="1"/>
  <c r="W151" i="2"/>
  <c r="W149" i="2" s="1"/>
  <c r="W157" i="2" s="1"/>
  <c r="L152" i="2"/>
  <c r="M152" i="2"/>
  <c r="N152" i="2"/>
  <c r="O152" i="2"/>
  <c r="P152" i="2"/>
  <c r="Q152" i="2"/>
  <c r="R152" i="2"/>
  <c r="S152" i="2"/>
  <c r="T152" i="2"/>
  <c r="U152" i="2"/>
  <c r="V152" i="2"/>
  <c r="W152" i="2"/>
  <c r="K151" i="2"/>
  <c r="K149" i="2" s="1"/>
  <c r="K152" i="2"/>
  <c r="K150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K73" i="2"/>
  <c r="N169" i="3" l="1"/>
  <c r="V309" i="2"/>
  <c r="U309" i="2"/>
  <c r="N161" i="3"/>
  <c r="O117" i="3"/>
  <c r="N116" i="3"/>
  <c r="O159" i="3"/>
  <c r="O162" i="3" s="1"/>
  <c r="N359" i="2"/>
  <c r="N360" i="2"/>
  <c r="M361" i="2"/>
  <c r="M364" i="2" s="1"/>
  <c r="G160" i="2"/>
  <c r="H79" i="3" s="1"/>
  <c r="J160" i="2"/>
  <c r="J161" i="2" s="1"/>
  <c r="M91" i="3"/>
  <c r="L216" i="2"/>
  <c r="I160" i="2"/>
  <c r="I161" i="2" s="1"/>
  <c r="H160" i="2"/>
  <c r="I79" i="3" s="1"/>
  <c r="L160" i="2"/>
  <c r="L161" i="2" s="1"/>
  <c r="P91" i="3"/>
  <c r="O216" i="2"/>
  <c r="S160" i="2"/>
  <c r="S161" i="2" s="1"/>
  <c r="R160" i="2"/>
  <c r="R161" i="2" s="1"/>
  <c r="Q160" i="2"/>
  <c r="Q161" i="2" s="1"/>
  <c r="P160" i="2"/>
  <c r="P161" i="2" s="1"/>
  <c r="M160" i="2"/>
  <c r="M161" i="2" s="1"/>
  <c r="O160" i="2"/>
  <c r="O161" i="2" s="1"/>
  <c r="N160" i="2"/>
  <c r="N161" i="2" s="1"/>
  <c r="N91" i="3"/>
  <c r="M216" i="2"/>
  <c r="O91" i="3"/>
  <c r="N216" i="2"/>
  <c r="T91" i="3"/>
  <c r="S216" i="2"/>
  <c r="Q91" i="3"/>
  <c r="P216" i="2"/>
  <c r="S91" i="3"/>
  <c r="R216" i="2"/>
  <c r="W160" i="2"/>
  <c r="W161" i="2" s="1"/>
  <c r="V91" i="3"/>
  <c r="U216" i="2"/>
  <c r="L91" i="3"/>
  <c r="K216" i="2"/>
  <c r="K160" i="2"/>
  <c r="K161" i="2" s="1"/>
  <c r="V160" i="2"/>
  <c r="V161" i="2" s="1"/>
  <c r="U91" i="3"/>
  <c r="T216" i="2"/>
  <c r="U160" i="2"/>
  <c r="U161" i="2" s="1"/>
  <c r="R91" i="3"/>
  <c r="Q216" i="2"/>
  <c r="T160" i="2"/>
  <c r="T161" i="2" s="1"/>
  <c r="H69" i="3"/>
  <c r="I69" i="3"/>
  <c r="X49" i="3"/>
  <c r="M261" i="2"/>
  <c r="M114" i="3"/>
  <c r="T309" i="2"/>
  <c r="P309" i="2"/>
  <c r="W309" i="2"/>
  <c r="X309" i="2"/>
  <c r="Q309" i="2"/>
  <c r="S309" i="2"/>
  <c r="R309" i="2"/>
  <c r="R212" i="2"/>
  <c r="U212" i="2"/>
  <c r="N212" i="2"/>
  <c r="S212" i="2"/>
  <c r="O309" i="2"/>
  <c r="M212" i="2"/>
  <c r="O212" i="2"/>
  <c r="O221" i="2"/>
  <c r="N250" i="2"/>
  <c r="N248" i="2" s="1"/>
  <c r="N258" i="2" s="1"/>
  <c r="N260" i="2" s="1"/>
  <c r="N251" i="2"/>
  <c r="N249" i="2"/>
  <c r="P212" i="2"/>
  <c r="Q212" i="2"/>
  <c r="T212" i="2"/>
  <c r="O347" i="2"/>
  <c r="O345" i="2"/>
  <c r="P317" i="2"/>
  <c r="O346" i="2"/>
  <c r="O344" i="2" s="1"/>
  <c r="O354" i="2" s="1"/>
  <c r="O356" i="2" s="1"/>
  <c r="P351" i="2"/>
  <c r="P349" i="2" s="1"/>
  <c r="P355" i="2" s="1"/>
  <c r="P352" i="2"/>
  <c r="P350" i="2"/>
  <c r="Q321" i="2"/>
  <c r="H71" i="3" l="1"/>
  <c r="H74" i="3" s="1"/>
  <c r="G161" i="2"/>
  <c r="H161" i="2"/>
  <c r="I162" i="2" s="1"/>
  <c r="I71" i="3"/>
  <c r="I74" i="3" s="1"/>
  <c r="O161" i="3"/>
  <c r="I60" i="3"/>
  <c r="H60" i="3"/>
  <c r="N94" i="3"/>
  <c r="N55" i="3" s="1"/>
  <c r="M93" i="3"/>
  <c r="V93" i="3"/>
  <c r="S93" i="3"/>
  <c r="R93" i="3"/>
  <c r="Q93" i="3"/>
  <c r="P93" i="3"/>
  <c r="T93" i="3"/>
  <c r="U93" i="3"/>
  <c r="O94" i="3"/>
  <c r="O169" i="3"/>
  <c r="N117" i="3"/>
  <c r="M116" i="3"/>
  <c r="N361" i="2"/>
  <c r="N364" i="2" s="1"/>
  <c r="N93" i="3"/>
  <c r="O93" i="3"/>
  <c r="P159" i="3"/>
  <c r="O360" i="2"/>
  <c r="O359" i="2"/>
  <c r="P169" i="3" s="1"/>
  <c r="J162" i="2"/>
  <c r="W162" i="2"/>
  <c r="O114" i="3"/>
  <c r="N261" i="2"/>
  <c r="K162" i="2"/>
  <c r="H162" i="2"/>
  <c r="R162" i="2"/>
  <c r="V162" i="2"/>
  <c r="N162" i="2"/>
  <c r="T162" i="2"/>
  <c r="P162" i="2"/>
  <c r="L162" i="2"/>
  <c r="Q162" i="2"/>
  <c r="O162" i="2"/>
  <c r="U162" i="2"/>
  <c r="S162" i="2"/>
  <c r="M162" i="2"/>
  <c r="P221" i="2"/>
  <c r="O251" i="2"/>
  <c r="O250" i="2"/>
  <c r="O248" i="2" s="1"/>
  <c r="O258" i="2" s="1"/>
  <c r="O260" i="2" s="1"/>
  <c r="O249" i="2"/>
  <c r="R321" i="2"/>
  <c r="Q351" i="2"/>
  <c r="Q349" i="2" s="1"/>
  <c r="Q355" i="2" s="1"/>
  <c r="Q352" i="2"/>
  <c r="Q350" i="2"/>
  <c r="P345" i="2"/>
  <c r="P347" i="2"/>
  <c r="Q317" i="2"/>
  <c r="P346" i="2"/>
  <c r="P344" i="2" s="1"/>
  <c r="P354" i="2" s="1"/>
  <c r="P356" i="2" s="1"/>
  <c r="J108" i="2"/>
  <c r="I108" i="2"/>
  <c r="K90" i="2"/>
  <c r="I78" i="2"/>
  <c r="J78" i="2"/>
  <c r="H78" i="2"/>
  <c r="K74" i="2"/>
  <c r="K72" i="2" s="1"/>
  <c r="L74" i="2"/>
  <c r="L72" i="2" s="1"/>
  <c r="M74" i="2"/>
  <c r="M72" i="2" s="1"/>
  <c r="N74" i="2"/>
  <c r="N72" i="2" s="1"/>
  <c r="O74" i="2"/>
  <c r="O72" i="2" s="1"/>
  <c r="P74" i="2"/>
  <c r="P72" i="2" s="1"/>
  <c r="Q74" i="2"/>
  <c r="Q72" i="2" s="1"/>
  <c r="R74" i="2"/>
  <c r="R72" i="2" s="1"/>
  <c r="S74" i="2"/>
  <c r="S72" i="2" s="1"/>
  <c r="T74" i="2"/>
  <c r="T72" i="2" s="1"/>
  <c r="U74" i="2"/>
  <c r="U72" i="2" s="1"/>
  <c r="V74" i="2"/>
  <c r="V72" i="2" s="1"/>
  <c r="W74" i="2"/>
  <c r="W72" i="2" s="1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L73" i="2"/>
  <c r="M73" i="2"/>
  <c r="N73" i="2"/>
  <c r="O73" i="2"/>
  <c r="P73" i="2"/>
  <c r="Q73" i="2"/>
  <c r="R73" i="2"/>
  <c r="S73" i="2"/>
  <c r="T73" i="2"/>
  <c r="U73" i="2"/>
  <c r="V73" i="2"/>
  <c r="W73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K77" i="2" l="1"/>
  <c r="K80" i="2" s="1"/>
  <c r="H77" i="3"/>
  <c r="I77" i="3"/>
  <c r="P161" i="3"/>
  <c r="O116" i="3"/>
  <c r="Y49" i="3"/>
  <c r="Q159" i="3"/>
  <c r="P360" i="2"/>
  <c r="P359" i="2"/>
  <c r="O361" i="2"/>
  <c r="O364" i="2" s="1"/>
  <c r="J69" i="3"/>
  <c r="I111" i="2"/>
  <c r="J79" i="3" s="1"/>
  <c r="K69" i="3"/>
  <c r="J111" i="2"/>
  <c r="K79" i="3" s="1"/>
  <c r="P114" i="3"/>
  <c r="O261" i="2"/>
  <c r="Q221" i="2"/>
  <c r="P250" i="2"/>
  <c r="P248" i="2" s="1"/>
  <c r="P258" i="2" s="1"/>
  <c r="P260" i="2" s="1"/>
  <c r="P249" i="2"/>
  <c r="P251" i="2"/>
  <c r="Q347" i="2"/>
  <c r="Q345" i="2"/>
  <c r="R317" i="2"/>
  <c r="Q346" i="2"/>
  <c r="Q344" i="2" s="1"/>
  <c r="Q354" i="2" s="1"/>
  <c r="Q356" i="2" s="1"/>
  <c r="R350" i="2"/>
  <c r="S321" i="2"/>
  <c r="R351" i="2"/>
  <c r="R349" i="2" s="1"/>
  <c r="R355" i="2" s="1"/>
  <c r="R352" i="2"/>
  <c r="L90" i="2"/>
  <c r="L104" i="2" s="1"/>
  <c r="R77" i="2"/>
  <c r="K106" i="2"/>
  <c r="K104" i="2"/>
  <c r="K105" i="2"/>
  <c r="K103" i="2" s="1"/>
  <c r="J109" i="2"/>
  <c r="S77" i="2"/>
  <c r="O77" i="2"/>
  <c r="M77" i="2"/>
  <c r="L77" i="2"/>
  <c r="U77" i="2"/>
  <c r="T77" i="2"/>
  <c r="P77" i="2"/>
  <c r="Q77" i="2"/>
  <c r="W77" i="2"/>
  <c r="V77" i="2"/>
  <c r="N77" i="2"/>
  <c r="K60" i="2"/>
  <c r="N200" i="3"/>
  <c r="N201" i="3" s="1"/>
  <c r="N202" i="3" s="1"/>
  <c r="N203" i="3" s="1"/>
  <c r="N204" i="3" s="1"/>
  <c r="N205" i="3" s="1"/>
  <c r="N206" i="3" s="1"/>
  <c r="N207" i="3" s="1"/>
  <c r="N208" i="3" s="1"/>
  <c r="N209" i="3" s="1"/>
  <c r="P198" i="3"/>
  <c r="Q198" i="3" s="1"/>
  <c r="R198" i="3" s="1"/>
  <c r="S198" i="3" s="1"/>
  <c r="T198" i="3" s="1"/>
  <c r="U198" i="3" s="1"/>
  <c r="V198" i="3" s="1"/>
  <c r="W198" i="3" s="1"/>
  <c r="X198" i="3" s="1"/>
  <c r="Y198" i="3" s="1"/>
  <c r="N185" i="3"/>
  <c r="N186" i="3" s="1"/>
  <c r="N187" i="3" s="1"/>
  <c r="N188" i="3" s="1"/>
  <c r="N189" i="3" s="1"/>
  <c r="N190" i="3" s="1"/>
  <c r="N191" i="3" s="1"/>
  <c r="N192" i="3" s="1"/>
  <c r="N193" i="3" s="1"/>
  <c r="N194" i="3" s="1"/>
  <c r="P183" i="3"/>
  <c r="Q183" i="3" s="1"/>
  <c r="R183" i="3" s="1"/>
  <c r="S183" i="3" s="1"/>
  <c r="T183" i="3" s="1"/>
  <c r="U183" i="3" s="1"/>
  <c r="V183" i="3" s="1"/>
  <c r="W183" i="3" s="1"/>
  <c r="X183" i="3" s="1"/>
  <c r="Y183" i="3" s="1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L93" i="3"/>
  <c r="P42" i="3"/>
  <c r="O42" i="3"/>
  <c r="N42" i="3"/>
  <c r="M42" i="3"/>
  <c r="L42" i="3"/>
  <c r="K42" i="3"/>
  <c r="J42" i="3"/>
  <c r="I42" i="3"/>
  <c r="H42" i="3"/>
  <c r="B42" i="3"/>
  <c r="L36" i="3"/>
  <c r="L32" i="3"/>
  <c r="L31" i="3"/>
  <c r="L30" i="3"/>
  <c r="L29" i="3"/>
  <c r="L28" i="3"/>
  <c r="L27" i="3"/>
  <c r="L26" i="3"/>
  <c r="Q26" i="3" s="1"/>
  <c r="U11" i="3"/>
  <c r="G21" i="3"/>
  <c r="E32" i="7" s="1"/>
  <c r="E40" i="7" s="1"/>
  <c r="E44" i="7" s="1"/>
  <c r="E45" i="7" s="1"/>
  <c r="G14" i="3"/>
  <c r="G13" i="3"/>
  <c r="L11" i="3"/>
  <c r="L9" i="3"/>
  <c r="L8" i="3"/>
  <c r="Q3" i="3"/>
  <c r="Q42" i="3" s="1"/>
  <c r="B3" i="3"/>
  <c r="K81" i="2" l="1"/>
  <c r="K71" i="3"/>
  <c r="I112" i="2"/>
  <c r="J71" i="3"/>
  <c r="J112" i="2"/>
  <c r="J113" i="2" s="1"/>
  <c r="K78" i="2"/>
  <c r="Q169" i="3"/>
  <c r="J60" i="3"/>
  <c r="K60" i="3"/>
  <c r="V138" i="3"/>
  <c r="W138" i="3"/>
  <c r="X138" i="3"/>
  <c r="M138" i="3"/>
  <c r="M54" i="3" s="1"/>
  <c r="Q161" i="3"/>
  <c r="N138" i="3"/>
  <c r="N54" i="3" s="1"/>
  <c r="S138" i="3"/>
  <c r="P116" i="3"/>
  <c r="T138" i="3"/>
  <c r="L138" i="3"/>
  <c r="L54" i="3" s="1"/>
  <c r="R138" i="3"/>
  <c r="U138" i="3"/>
  <c r="K74" i="3"/>
  <c r="J74" i="3"/>
  <c r="Z49" i="3"/>
  <c r="R159" i="3"/>
  <c r="Q360" i="2"/>
  <c r="Q359" i="2"/>
  <c r="P361" i="2"/>
  <c r="P364" i="2" s="1"/>
  <c r="L80" i="2"/>
  <c r="R80" i="2"/>
  <c r="M80" i="2"/>
  <c r="K111" i="2"/>
  <c r="L79" i="3" s="1"/>
  <c r="N80" i="2"/>
  <c r="V80" i="2"/>
  <c r="O80" i="2"/>
  <c r="S80" i="2"/>
  <c r="W80" i="2"/>
  <c r="Q80" i="2"/>
  <c r="P80" i="2"/>
  <c r="T80" i="2"/>
  <c r="U80" i="2"/>
  <c r="K109" i="2"/>
  <c r="L69" i="3"/>
  <c r="K115" i="2"/>
  <c r="Q114" i="3"/>
  <c r="P261" i="2"/>
  <c r="O139" i="3"/>
  <c r="O55" i="3" s="1"/>
  <c r="O138" i="3"/>
  <c r="O54" i="3" s="1"/>
  <c r="P138" i="3"/>
  <c r="P139" i="3"/>
  <c r="P55" i="3" s="1"/>
  <c r="Q138" i="3"/>
  <c r="Q139" i="3"/>
  <c r="Q55" i="3" s="1"/>
  <c r="Q72" i="3" s="1"/>
  <c r="G29" i="3"/>
  <c r="U96" i="3"/>
  <c r="S96" i="3"/>
  <c r="R221" i="2"/>
  <c r="Q251" i="2"/>
  <c r="Q250" i="2"/>
  <c r="Q248" i="2" s="1"/>
  <c r="Q258" i="2" s="1"/>
  <c r="Q260" i="2" s="1"/>
  <c r="Q249" i="2"/>
  <c r="S350" i="2"/>
  <c r="S351" i="2"/>
  <c r="S349" i="2" s="1"/>
  <c r="S355" i="2" s="1"/>
  <c r="S352" i="2"/>
  <c r="T321" i="2"/>
  <c r="R347" i="2"/>
  <c r="R346" i="2"/>
  <c r="R344" i="2" s="1"/>
  <c r="R354" i="2" s="1"/>
  <c r="R356" i="2" s="1"/>
  <c r="R345" i="2"/>
  <c r="S317" i="2"/>
  <c r="L105" i="2"/>
  <c r="L103" i="2" s="1"/>
  <c r="L108" i="2" s="1"/>
  <c r="L106" i="2"/>
  <c r="M90" i="2"/>
  <c r="S78" i="2"/>
  <c r="V78" i="2"/>
  <c r="Q78" i="2"/>
  <c r="T78" i="2"/>
  <c r="N78" i="2"/>
  <c r="P78" i="2"/>
  <c r="M78" i="2"/>
  <c r="R78" i="2"/>
  <c r="L78" i="2"/>
  <c r="O78" i="2"/>
  <c r="U78" i="2"/>
  <c r="W78" i="2"/>
  <c r="O119" i="3"/>
  <c r="R3" i="3"/>
  <c r="L96" i="3"/>
  <c r="Q96" i="3"/>
  <c r="R96" i="3"/>
  <c r="N164" i="3"/>
  <c r="N96" i="3"/>
  <c r="O96" i="3"/>
  <c r="T96" i="3"/>
  <c r="P54" i="3" l="1"/>
  <c r="L71" i="3"/>
  <c r="S98" i="3"/>
  <c r="S99" i="3" s="1"/>
  <c r="U98" i="3"/>
  <c r="U99" i="3" s="1"/>
  <c r="J77" i="3"/>
  <c r="K77" i="3"/>
  <c r="R161" i="3"/>
  <c r="R164" i="3" s="1"/>
  <c r="R166" i="3" s="1"/>
  <c r="R167" i="3" s="1"/>
  <c r="Q116" i="3"/>
  <c r="Q54" i="3" s="1"/>
  <c r="R169" i="3"/>
  <c r="Q81" i="2"/>
  <c r="N81" i="2"/>
  <c r="K112" i="2"/>
  <c r="K113" i="2" s="1"/>
  <c r="M81" i="2"/>
  <c r="R81" i="2"/>
  <c r="L81" i="2"/>
  <c r="L82" i="2" s="1"/>
  <c r="U81" i="2"/>
  <c r="T81" i="2"/>
  <c r="P81" i="2"/>
  <c r="W81" i="2"/>
  <c r="S81" i="2"/>
  <c r="O81" i="2"/>
  <c r="V81" i="2"/>
  <c r="AA49" i="3"/>
  <c r="L119" i="3"/>
  <c r="S159" i="3"/>
  <c r="R360" i="2"/>
  <c r="R359" i="2"/>
  <c r="Q361" i="2"/>
  <c r="Q364" i="2" s="1"/>
  <c r="L111" i="2"/>
  <c r="L112" i="2" s="1"/>
  <c r="L115" i="2"/>
  <c r="L109" i="2"/>
  <c r="R114" i="3"/>
  <c r="Q261" i="2"/>
  <c r="N141" i="3"/>
  <c r="L164" i="3"/>
  <c r="U141" i="3"/>
  <c r="U143" i="3" s="1"/>
  <c r="U144" i="3" s="1"/>
  <c r="W141" i="3"/>
  <c r="W143" i="3" s="1"/>
  <c r="W144" i="3" s="1"/>
  <c r="N119" i="3"/>
  <c r="L141" i="3"/>
  <c r="V96" i="3"/>
  <c r="Q141" i="3"/>
  <c r="V141" i="3"/>
  <c r="V143" i="3" s="1"/>
  <c r="V144" i="3" s="1"/>
  <c r="S221" i="2"/>
  <c r="T221" i="2" s="1"/>
  <c r="R251" i="2"/>
  <c r="R249" i="2"/>
  <c r="R250" i="2"/>
  <c r="R248" i="2" s="1"/>
  <c r="R258" i="2" s="1"/>
  <c r="R260" i="2" s="1"/>
  <c r="S347" i="2"/>
  <c r="S346" i="2"/>
  <c r="S344" i="2" s="1"/>
  <c r="S354" i="2" s="1"/>
  <c r="S356" i="2" s="1"/>
  <c r="T317" i="2"/>
  <c r="S345" i="2"/>
  <c r="T350" i="2"/>
  <c r="U321" i="2"/>
  <c r="T351" i="2"/>
  <c r="T349" i="2" s="1"/>
  <c r="T355" i="2" s="1"/>
  <c r="T352" i="2"/>
  <c r="M164" i="3"/>
  <c r="Q164" i="3"/>
  <c r="M141" i="3"/>
  <c r="M96" i="3"/>
  <c r="N90" i="2"/>
  <c r="M104" i="2"/>
  <c r="M106" i="2"/>
  <c r="M105" i="2"/>
  <c r="M103" i="2" s="1"/>
  <c r="T98" i="3"/>
  <c r="T99" i="3" s="1"/>
  <c r="S3" i="3"/>
  <c r="R42" i="3"/>
  <c r="R141" i="3"/>
  <c r="O164" i="3"/>
  <c r="X141" i="3"/>
  <c r="R98" i="3"/>
  <c r="R99" i="3" s="1"/>
  <c r="P164" i="3"/>
  <c r="P141" i="3"/>
  <c r="O141" i="3"/>
  <c r="T141" i="3"/>
  <c r="S141" i="3"/>
  <c r="P96" i="3"/>
  <c r="M79" i="3" l="1"/>
  <c r="R82" i="2"/>
  <c r="V98" i="3"/>
  <c r="V99" i="3" s="1"/>
  <c r="Q119" i="3"/>
  <c r="M82" i="2"/>
  <c r="S161" i="3"/>
  <c r="S164" i="3" s="1"/>
  <c r="S166" i="3" s="1"/>
  <c r="S167" i="3" s="1"/>
  <c r="S82" i="2"/>
  <c r="R116" i="3"/>
  <c r="R54" i="3" s="1"/>
  <c r="Q82" i="2"/>
  <c r="S169" i="3"/>
  <c r="L113" i="2"/>
  <c r="P82" i="2"/>
  <c r="N82" i="2"/>
  <c r="V82" i="2"/>
  <c r="O82" i="2"/>
  <c r="W82" i="2"/>
  <c r="T82" i="2"/>
  <c r="U82" i="2"/>
  <c r="M108" i="2"/>
  <c r="M111" i="2" s="1"/>
  <c r="N79" i="3" s="1"/>
  <c r="AB49" i="3"/>
  <c r="P119" i="3"/>
  <c r="M119" i="3"/>
  <c r="T159" i="3"/>
  <c r="S360" i="2"/>
  <c r="S359" i="2"/>
  <c r="R361" i="2"/>
  <c r="R364" i="2" s="1"/>
  <c r="S114" i="3"/>
  <c r="R261" i="2"/>
  <c r="S251" i="2"/>
  <c r="S249" i="2"/>
  <c r="S250" i="2"/>
  <c r="S248" i="2" s="1"/>
  <c r="S258" i="2" s="1"/>
  <c r="S260" i="2" s="1"/>
  <c r="U350" i="2"/>
  <c r="U351" i="2"/>
  <c r="U349" i="2" s="1"/>
  <c r="U355" i="2" s="1"/>
  <c r="U352" i="2"/>
  <c r="V321" i="2"/>
  <c r="T347" i="2"/>
  <c r="T346" i="2"/>
  <c r="T344" i="2" s="1"/>
  <c r="T354" i="2" s="1"/>
  <c r="T356" i="2" s="1"/>
  <c r="U317" i="2"/>
  <c r="T345" i="2"/>
  <c r="O90" i="2"/>
  <c r="N106" i="2"/>
  <c r="N104" i="2"/>
  <c r="N105" i="2"/>
  <c r="X143" i="3"/>
  <c r="X144" i="3" s="1"/>
  <c r="T143" i="3"/>
  <c r="T144" i="3" s="1"/>
  <c r="R143" i="3"/>
  <c r="R144" i="3" s="1"/>
  <c r="S42" i="3"/>
  <c r="T3" i="3"/>
  <c r="S143" i="3"/>
  <c r="S144" i="3" s="1"/>
  <c r="R119" i="3" l="1"/>
  <c r="R121" i="3" s="1"/>
  <c r="R122" i="3" s="1"/>
  <c r="S116" i="3"/>
  <c r="S54" i="3" s="1"/>
  <c r="T161" i="3"/>
  <c r="T164" i="3" s="1"/>
  <c r="T166" i="3" s="1"/>
  <c r="T167" i="3" s="1"/>
  <c r="T169" i="3"/>
  <c r="M109" i="2"/>
  <c r="M115" i="2"/>
  <c r="M112" i="2"/>
  <c r="M113" i="2" s="1"/>
  <c r="N103" i="2"/>
  <c r="N108" i="2" s="1"/>
  <c r="N115" i="2" s="1"/>
  <c r="AC49" i="3"/>
  <c r="S361" i="2"/>
  <c r="S364" i="2" s="1"/>
  <c r="U159" i="3"/>
  <c r="T360" i="2"/>
  <c r="T359" i="2"/>
  <c r="T114" i="3"/>
  <c r="S261" i="2"/>
  <c r="U221" i="2"/>
  <c r="T251" i="2"/>
  <c r="T249" i="2"/>
  <c r="T250" i="2"/>
  <c r="T248" i="2" s="1"/>
  <c r="T258" i="2" s="1"/>
  <c r="T260" i="2" s="1"/>
  <c r="U346" i="2"/>
  <c r="U344" i="2" s="1"/>
  <c r="U354" i="2" s="1"/>
  <c r="U356" i="2" s="1"/>
  <c r="U345" i="2"/>
  <c r="V317" i="2"/>
  <c r="U347" i="2"/>
  <c r="V350" i="2"/>
  <c r="V351" i="2"/>
  <c r="V349" i="2" s="1"/>
  <c r="V355" i="2" s="1"/>
  <c r="V352" i="2"/>
  <c r="W321" i="2"/>
  <c r="P90" i="2"/>
  <c r="O106" i="2"/>
  <c r="O105" i="2"/>
  <c r="O103" i="2" s="1"/>
  <c r="O108" i="2" s="1"/>
  <c r="O104" i="2"/>
  <c r="T42" i="3"/>
  <c r="U3" i="3"/>
  <c r="T116" i="3" l="1"/>
  <c r="T54" i="3" s="1"/>
  <c r="U161" i="3"/>
  <c r="U164" i="3" s="1"/>
  <c r="U166" i="3" s="1"/>
  <c r="U167" i="3" s="1"/>
  <c r="U169" i="3"/>
  <c r="N109" i="2"/>
  <c r="N111" i="2"/>
  <c r="O79" i="3" s="1"/>
  <c r="AD49" i="3"/>
  <c r="T361" i="2"/>
  <c r="T364" i="2" s="1"/>
  <c r="S119" i="3"/>
  <c r="S121" i="3" s="1"/>
  <c r="S122" i="3" s="1"/>
  <c r="V159" i="3"/>
  <c r="U360" i="2"/>
  <c r="U359" i="2"/>
  <c r="O111" i="2"/>
  <c r="P79" i="3" s="1"/>
  <c r="U114" i="3"/>
  <c r="T261" i="2"/>
  <c r="O115" i="2"/>
  <c r="O109" i="2"/>
  <c r="V221" i="2"/>
  <c r="U251" i="2"/>
  <c r="U249" i="2"/>
  <c r="U250" i="2"/>
  <c r="U248" i="2" s="1"/>
  <c r="U258" i="2" s="1"/>
  <c r="U260" i="2" s="1"/>
  <c r="W350" i="2"/>
  <c r="W351" i="2"/>
  <c r="W349" i="2" s="1"/>
  <c r="W355" i="2" s="1"/>
  <c r="W352" i="2"/>
  <c r="X321" i="2"/>
  <c r="V346" i="2"/>
  <c r="V344" i="2" s="1"/>
  <c r="V354" i="2" s="1"/>
  <c r="V356" i="2" s="1"/>
  <c r="V345" i="2"/>
  <c r="W317" i="2"/>
  <c r="V347" i="2"/>
  <c r="Q90" i="2"/>
  <c r="P104" i="2"/>
  <c r="P105" i="2"/>
  <c r="P103" i="2" s="1"/>
  <c r="P108" i="2" s="1"/>
  <c r="P106" i="2"/>
  <c r="V3" i="3"/>
  <c r="U42" i="3"/>
  <c r="V169" i="3" l="1"/>
  <c r="U116" i="3"/>
  <c r="U54" i="3" s="1"/>
  <c r="V161" i="3"/>
  <c r="V164" i="3" s="1"/>
  <c r="V166" i="3" s="1"/>
  <c r="V167" i="3" s="1"/>
  <c r="T119" i="3"/>
  <c r="T121" i="3" s="1"/>
  <c r="T122" i="3" s="1"/>
  <c r="N112" i="2"/>
  <c r="N113" i="2" s="1"/>
  <c r="O112" i="2"/>
  <c r="AE49" i="3"/>
  <c r="AF49" i="3"/>
  <c r="U361" i="2"/>
  <c r="U364" i="2" s="1"/>
  <c r="W159" i="3"/>
  <c r="V360" i="2"/>
  <c r="V359" i="2"/>
  <c r="P111" i="2"/>
  <c r="Q79" i="3" s="1"/>
  <c r="V114" i="3"/>
  <c r="U261" i="2"/>
  <c r="P115" i="2"/>
  <c r="P109" i="2"/>
  <c r="V249" i="2"/>
  <c r="V251" i="2"/>
  <c r="V250" i="2"/>
  <c r="V248" i="2" s="1"/>
  <c r="V258" i="2" s="1"/>
  <c r="V260" i="2" s="1"/>
  <c r="W346" i="2"/>
  <c r="W344" i="2" s="1"/>
  <c r="W354" i="2" s="1"/>
  <c r="W356" i="2" s="1"/>
  <c r="X317" i="2"/>
  <c r="W345" i="2"/>
  <c r="W347" i="2"/>
  <c r="X352" i="2"/>
  <c r="X351" i="2"/>
  <c r="X349" i="2" s="1"/>
  <c r="X355" i="2" s="1"/>
  <c r="Y321" i="2"/>
  <c r="X350" i="2"/>
  <c r="Q104" i="2"/>
  <c r="Q106" i="2"/>
  <c r="Q105" i="2"/>
  <c r="Q103" i="2" s="1"/>
  <c r="Q108" i="2" s="1"/>
  <c r="W3" i="3"/>
  <c r="V42" i="3"/>
  <c r="V116" i="3" l="1"/>
  <c r="V54" i="3" s="1"/>
  <c r="W161" i="3"/>
  <c r="W164" i="3" s="1"/>
  <c r="W166" i="3" s="1"/>
  <c r="W167" i="3" s="1"/>
  <c r="O113" i="2"/>
  <c r="W169" i="3"/>
  <c r="P112" i="2"/>
  <c r="P113" i="2" s="1"/>
  <c r="V361" i="2"/>
  <c r="V364" i="2" s="1"/>
  <c r="U119" i="3"/>
  <c r="U121" i="3" s="1"/>
  <c r="U122" i="3" s="1"/>
  <c r="X159" i="3"/>
  <c r="W360" i="2"/>
  <c r="W359" i="2"/>
  <c r="Q111" i="2"/>
  <c r="R79" i="3" s="1"/>
  <c r="W114" i="3"/>
  <c r="V261" i="2"/>
  <c r="Q115" i="2"/>
  <c r="Q109" i="2"/>
  <c r="Y350" i="2"/>
  <c r="Y351" i="2"/>
  <c r="Y349" i="2" s="1"/>
  <c r="Y355" i="2" s="1"/>
  <c r="Z321" i="2"/>
  <c r="Y352" i="2"/>
  <c r="X346" i="2"/>
  <c r="X344" i="2" s="1"/>
  <c r="X354" i="2" s="1"/>
  <c r="X356" i="2" s="1"/>
  <c r="Y317" i="2"/>
  <c r="X345" i="2"/>
  <c r="X347" i="2"/>
  <c r="S90" i="2"/>
  <c r="R104" i="2"/>
  <c r="R105" i="2"/>
  <c r="R103" i="2" s="1"/>
  <c r="R108" i="2" s="1"/>
  <c r="R106" i="2"/>
  <c r="X3" i="3"/>
  <c r="W42" i="3"/>
  <c r="X161" i="3" l="1"/>
  <c r="X54" i="3" s="1"/>
  <c r="W116" i="3"/>
  <c r="W54" i="3" s="1"/>
  <c r="X169" i="3"/>
  <c r="Q112" i="2"/>
  <c r="Q113" i="2" s="1"/>
  <c r="V119" i="3"/>
  <c r="V121" i="3" s="1"/>
  <c r="V122" i="3" s="1"/>
  <c r="Y159" i="3"/>
  <c r="X360" i="2"/>
  <c r="X359" i="2"/>
  <c r="W361" i="2"/>
  <c r="W364" i="2" s="1"/>
  <c r="R111" i="2"/>
  <c r="S79" i="3" s="1"/>
  <c r="R115" i="2"/>
  <c r="R109" i="2"/>
  <c r="X42" i="3"/>
  <c r="Y42" i="3" s="1"/>
  <c r="Z42" i="3" s="1"/>
  <c r="AA42" i="3" s="1"/>
  <c r="AB42" i="3" s="1"/>
  <c r="AC42" i="3" s="1"/>
  <c r="AD42" i="3" s="1"/>
  <c r="AE42" i="3" s="1"/>
  <c r="AF42" i="3" s="1"/>
  <c r="Y3" i="3"/>
  <c r="Z3" i="3" s="1"/>
  <c r="AA3" i="3" s="1"/>
  <c r="AB3" i="3" s="1"/>
  <c r="AC3" i="3" s="1"/>
  <c r="AD3" i="3" s="1"/>
  <c r="AE3" i="3" s="1"/>
  <c r="AF3" i="3" s="1"/>
  <c r="Y345" i="2"/>
  <c r="Z317" i="2"/>
  <c r="Y347" i="2"/>
  <c r="Y346" i="2"/>
  <c r="Y344" i="2" s="1"/>
  <c r="Y354" i="2" s="1"/>
  <c r="Y356" i="2" s="1"/>
  <c r="Z352" i="2"/>
  <c r="Z351" i="2"/>
  <c r="Z349" i="2" s="1"/>
  <c r="Z355" i="2" s="1"/>
  <c r="AA321" i="2"/>
  <c r="Z350" i="2"/>
  <c r="T90" i="2"/>
  <c r="S106" i="2"/>
  <c r="S105" i="2"/>
  <c r="S103" i="2" s="1"/>
  <c r="S108" i="2" s="1"/>
  <c r="S104" i="2"/>
  <c r="Y169" i="3" l="1"/>
  <c r="Y161" i="3"/>
  <c r="Y54" i="3" s="1"/>
  <c r="X164" i="3"/>
  <c r="X166" i="3" s="1"/>
  <c r="X167" i="3" s="1"/>
  <c r="R112" i="2"/>
  <c r="R113" i="2" s="1"/>
  <c r="W119" i="3"/>
  <c r="W121" i="3" s="1"/>
  <c r="W122" i="3" s="1"/>
  <c r="Z159" i="3"/>
  <c r="Y359" i="2"/>
  <c r="Y360" i="2"/>
  <c r="X361" i="2"/>
  <c r="S111" i="2"/>
  <c r="T79" i="3" s="1"/>
  <c r="S115" i="2"/>
  <c r="S109" i="2"/>
  <c r="AB321" i="2"/>
  <c r="AA351" i="2"/>
  <c r="AA349" i="2" s="1"/>
  <c r="AA355" i="2" s="1"/>
  <c r="AA352" i="2"/>
  <c r="AA350" i="2"/>
  <c r="AA317" i="2"/>
  <c r="Z346" i="2"/>
  <c r="Z344" i="2" s="1"/>
  <c r="Z354" i="2" s="1"/>
  <c r="Z356" i="2" s="1"/>
  <c r="Z347" i="2"/>
  <c r="Z345" i="2"/>
  <c r="U90" i="2"/>
  <c r="T104" i="2"/>
  <c r="T106" i="2"/>
  <c r="T105" i="2"/>
  <c r="T103" i="2" s="1"/>
  <c r="T108" i="2" s="1"/>
  <c r="Y164" i="3" l="1"/>
  <c r="Y166" i="3" s="1"/>
  <c r="Y167" i="3" s="1"/>
  <c r="Z161" i="3"/>
  <c r="Z54" i="3" s="1"/>
  <c r="Z169" i="3"/>
  <c r="S112" i="2"/>
  <c r="S113" i="2" s="1"/>
  <c r="Y361" i="2"/>
  <c r="Y364" i="2" s="1"/>
  <c r="X6" i="2"/>
  <c r="X364" i="2"/>
  <c r="AA159" i="3"/>
  <c r="Z359" i="2"/>
  <c r="Z360" i="2"/>
  <c r="T111" i="2"/>
  <c r="U79" i="3" s="1"/>
  <c r="T115" i="2"/>
  <c r="T109" i="2"/>
  <c r="AA345" i="2"/>
  <c r="AA346" i="2"/>
  <c r="AA344" i="2" s="1"/>
  <c r="AA354" i="2" s="1"/>
  <c r="AA356" i="2" s="1"/>
  <c r="AB317" i="2"/>
  <c r="AA347" i="2"/>
  <c r="AB352" i="2"/>
  <c r="AC321" i="2"/>
  <c r="AB351" i="2"/>
  <c r="AB349" i="2" s="1"/>
  <c r="AB355" i="2" s="1"/>
  <c r="AB350" i="2"/>
  <c r="V90" i="2"/>
  <c r="U106" i="2"/>
  <c r="U104" i="2"/>
  <c r="U105" i="2"/>
  <c r="U103" i="2" s="1"/>
  <c r="U108" i="2" s="1"/>
  <c r="Y6" i="2" l="1"/>
  <c r="Y9" i="2" s="1"/>
  <c r="Z164" i="3"/>
  <c r="Z166" i="3" s="1"/>
  <c r="Z167" i="3" s="1"/>
  <c r="AA161" i="3"/>
  <c r="AA54" i="3" s="1"/>
  <c r="AA169" i="3"/>
  <c r="X9" i="2"/>
  <c r="T112" i="2"/>
  <c r="T113" i="2" s="1"/>
  <c r="X12" i="2"/>
  <c r="Y59" i="3"/>
  <c r="Z361" i="2"/>
  <c r="Z6" i="2" s="1"/>
  <c r="AB159" i="3"/>
  <c r="AA359" i="2"/>
  <c r="AA360" i="2"/>
  <c r="U111" i="2"/>
  <c r="V79" i="3" s="1"/>
  <c r="U115" i="2"/>
  <c r="U109" i="2"/>
  <c r="AD321" i="2"/>
  <c r="AC351" i="2"/>
  <c r="AC349" i="2" s="1"/>
  <c r="AC355" i="2" s="1"/>
  <c r="AC352" i="2"/>
  <c r="AC350" i="2"/>
  <c r="AB346" i="2"/>
  <c r="AB344" i="2" s="1"/>
  <c r="AB354" i="2" s="1"/>
  <c r="AB356" i="2" s="1"/>
  <c r="AB347" i="2"/>
  <c r="AC317" i="2"/>
  <c r="AB345" i="2"/>
  <c r="W90" i="2"/>
  <c r="V104" i="2"/>
  <c r="V106" i="2"/>
  <c r="V105" i="2"/>
  <c r="V103" i="2" s="1"/>
  <c r="V108" i="2" s="1"/>
  <c r="Y12" i="2" l="1"/>
  <c r="Z48" i="3" s="1"/>
  <c r="Z59" i="3"/>
  <c r="Z170" i="3" s="1"/>
  <c r="AA164" i="3"/>
  <c r="AA166" i="3" s="1"/>
  <c r="AA167" i="3" s="1"/>
  <c r="AB161" i="3"/>
  <c r="AB54" i="3" s="1"/>
  <c r="Y48" i="3"/>
  <c r="AB169" i="3"/>
  <c r="Z9" i="2"/>
  <c r="U112" i="2"/>
  <c r="U113" i="2" s="1"/>
  <c r="Z364" i="2"/>
  <c r="AA361" i="2"/>
  <c r="AA6" i="2" s="1"/>
  <c r="AC159" i="3"/>
  <c r="AB359" i="2"/>
  <c r="AB360" i="2"/>
  <c r="V111" i="2"/>
  <c r="W79" i="3" s="1"/>
  <c r="V115" i="2"/>
  <c r="V109" i="2"/>
  <c r="AC347" i="2"/>
  <c r="AC346" i="2"/>
  <c r="AC344" i="2" s="1"/>
  <c r="AC354" i="2" s="1"/>
  <c r="AC356" i="2" s="1"/>
  <c r="AD317" i="2"/>
  <c r="AC345" i="2"/>
  <c r="AD351" i="2"/>
  <c r="AD349" i="2" s="1"/>
  <c r="AD355" i="2" s="1"/>
  <c r="AD352" i="2"/>
  <c r="AD350" i="2"/>
  <c r="W106" i="2"/>
  <c r="W104" i="2"/>
  <c r="W105" i="2"/>
  <c r="W103" i="2" s="1"/>
  <c r="W108" i="2" s="1"/>
  <c r="AB164" i="3" l="1"/>
  <c r="AB166" i="3" s="1"/>
  <c r="AB167" i="3" s="1"/>
  <c r="AA59" i="3"/>
  <c r="AA170" i="3" s="1"/>
  <c r="Z12" i="2"/>
  <c r="AC161" i="3"/>
  <c r="AC54" i="3" s="1"/>
  <c r="AC169" i="3"/>
  <c r="AA9" i="2"/>
  <c r="V112" i="2"/>
  <c r="V113" i="2" s="1"/>
  <c r="AB361" i="2"/>
  <c r="AB6" i="2" s="1"/>
  <c r="AA364" i="2"/>
  <c r="AD159" i="3"/>
  <c r="AC360" i="2"/>
  <c r="AC359" i="2"/>
  <c r="W111" i="2"/>
  <c r="W109" i="2"/>
  <c r="W115" i="2"/>
  <c r="AE351" i="2"/>
  <c r="AE349" i="2" s="1"/>
  <c r="AE355" i="2" s="1"/>
  <c r="AE350" i="2"/>
  <c r="AE352" i="2"/>
  <c r="AD346" i="2"/>
  <c r="AD344" i="2" s="1"/>
  <c r="AD354" i="2" s="1"/>
  <c r="AD356" i="2" s="1"/>
  <c r="AE317" i="2"/>
  <c r="AD347" i="2"/>
  <c r="AD345" i="2"/>
  <c r="V35" i="2"/>
  <c r="I32" i="2"/>
  <c r="J32" i="2"/>
  <c r="I30" i="2"/>
  <c r="J30" i="2"/>
  <c r="H30" i="2"/>
  <c r="I28" i="2"/>
  <c r="J28" i="2"/>
  <c r="H28" i="2"/>
  <c r="H32" i="2"/>
  <c r="H41" i="2"/>
  <c r="I41" i="2"/>
  <c r="J41" i="2"/>
  <c r="G41" i="2"/>
  <c r="H35" i="2"/>
  <c r="I35" i="2"/>
  <c r="J35" i="2"/>
  <c r="G35" i="2"/>
  <c r="H36" i="2"/>
  <c r="I36" i="2"/>
  <c r="J36" i="2"/>
  <c r="G36" i="2"/>
  <c r="J42" i="2"/>
  <c r="K42" i="2" s="1"/>
  <c r="K155" i="1" s="1"/>
  <c r="G32" i="2"/>
  <c r="H6" i="2"/>
  <c r="I6" i="2"/>
  <c r="J6" i="2"/>
  <c r="H7" i="2"/>
  <c r="I7" i="2"/>
  <c r="J7" i="2"/>
  <c r="H8" i="2"/>
  <c r="I8" i="2"/>
  <c r="J8" i="2"/>
  <c r="G7" i="2"/>
  <c r="G8" i="2"/>
  <c r="G6" i="2"/>
  <c r="G3" i="2"/>
  <c r="H192" i="1"/>
  <c r="I192" i="1"/>
  <c r="J192" i="1"/>
  <c r="G192" i="1"/>
  <c r="H179" i="1"/>
  <c r="I179" i="1"/>
  <c r="J179" i="1"/>
  <c r="G179" i="1"/>
  <c r="G144" i="1"/>
  <c r="H144" i="1" s="1"/>
  <c r="I144" i="1" s="1"/>
  <c r="J144" i="1" s="1"/>
  <c r="K144" i="1" s="1"/>
  <c r="L144" i="1" s="1"/>
  <c r="M144" i="1" s="1"/>
  <c r="N144" i="1" s="1"/>
  <c r="O144" i="1" s="1"/>
  <c r="P144" i="1" s="1"/>
  <c r="B144" i="1"/>
  <c r="H137" i="1"/>
  <c r="I137" i="1"/>
  <c r="J137" i="1"/>
  <c r="G137" i="1"/>
  <c r="H116" i="1"/>
  <c r="H123" i="1" s="1"/>
  <c r="I116" i="1"/>
  <c r="I123" i="1" s="1"/>
  <c r="J116" i="1"/>
  <c r="J123" i="1" s="1"/>
  <c r="G116" i="1"/>
  <c r="G123" i="1" s="1"/>
  <c r="H97" i="1"/>
  <c r="H106" i="1" s="1"/>
  <c r="I97" i="1"/>
  <c r="I106" i="1" s="1"/>
  <c r="J97" i="1"/>
  <c r="J106" i="1" s="1"/>
  <c r="G97" i="1"/>
  <c r="G106" i="1" s="1"/>
  <c r="G89" i="1"/>
  <c r="B89" i="1"/>
  <c r="H76" i="1"/>
  <c r="I76" i="1"/>
  <c r="J76" i="1"/>
  <c r="G76" i="1"/>
  <c r="H45" i="1"/>
  <c r="I45" i="1"/>
  <c r="J45" i="1"/>
  <c r="G45" i="1"/>
  <c r="H62" i="1"/>
  <c r="I62" i="1"/>
  <c r="J62" i="1"/>
  <c r="G8" i="5" s="1"/>
  <c r="H8" i="5" s="1"/>
  <c r="G62" i="1"/>
  <c r="G57" i="1"/>
  <c r="G17" i="1"/>
  <c r="H17" i="1" s="1"/>
  <c r="I17" i="1" s="1"/>
  <c r="J17" i="1" s="1"/>
  <c r="K17" i="1" s="1"/>
  <c r="L17" i="1" s="1"/>
  <c r="M17" i="1" s="1"/>
  <c r="N17" i="1" s="1"/>
  <c r="O17" i="1" s="1"/>
  <c r="P17" i="1" s="1"/>
  <c r="B57" i="1"/>
  <c r="B17" i="1"/>
  <c r="L12" i="1"/>
  <c r="L6" i="1"/>
  <c r="H3" i="1"/>
  <c r="B3" i="1"/>
  <c r="N21" i="6" l="1"/>
  <c r="E67" i="5"/>
  <c r="H92" i="5" s="1"/>
  <c r="L13" i="1"/>
  <c r="E30" i="5"/>
  <c r="F66" i="5" s="1"/>
  <c r="AI30" i="5"/>
  <c r="AJ66" i="5" s="1"/>
  <c r="C75" i="5"/>
  <c r="J30" i="5"/>
  <c r="K66" i="5" s="1"/>
  <c r="C97" i="5"/>
  <c r="C96" i="5"/>
  <c r="C73" i="5"/>
  <c r="AD30" i="5"/>
  <c r="AE66" i="5" s="1"/>
  <c r="Y30" i="5"/>
  <c r="Z66" i="5" s="1"/>
  <c r="C89" i="5"/>
  <c r="C74" i="5"/>
  <c r="T30" i="5"/>
  <c r="U66" i="5" s="1"/>
  <c r="C98" i="5"/>
  <c r="O30" i="5"/>
  <c r="P66" i="5" s="1"/>
  <c r="G44" i="1"/>
  <c r="AD169" i="3"/>
  <c r="AA48" i="3"/>
  <c r="AC164" i="3"/>
  <c r="AC166" i="3" s="1"/>
  <c r="AC167" i="3" s="1"/>
  <c r="AD161" i="3"/>
  <c r="AD54" i="3" s="1"/>
  <c r="AB59" i="3"/>
  <c r="AB170" i="3" s="1"/>
  <c r="AB9" i="2"/>
  <c r="AA12" i="2"/>
  <c r="W112" i="2"/>
  <c r="W113" i="2" s="1"/>
  <c r="K45" i="1"/>
  <c r="L45" i="1" s="1"/>
  <c r="AB364" i="2"/>
  <c r="G39" i="1"/>
  <c r="G42" i="1"/>
  <c r="I39" i="1"/>
  <c r="I42" i="1"/>
  <c r="H39" i="1"/>
  <c r="H42" i="1"/>
  <c r="J39" i="1"/>
  <c r="J42" i="1"/>
  <c r="H57" i="1"/>
  <c r="H44" i="1" s="1"/>
  <c r="G37" i="1"/>
  <c r="G38" i="1"/>
  <c r="I3" i="1"/>
  <c r="H89" i="1"/>
  <c r="L42" i="2"/>
  <c r="L155" i="1" s="1"/>
  <c r="K73" i="1"/>
  <c r="K76" i="1" s="1"/>
  <c r="AE159" i="3"/>
  <c r="AD360" i="2"/>
  <c r="AD359" i="2"/>
  <c r="AC361" i="2"/>
  <c r="G9" i="2"/>
  <c r="H81" i="3" s="1"/>
  <c r="G20" i="1"/>
  <c r="G21" i="1"/>
  <c r="J9" i="2"/>
  <c r="K81" i="3" s="1"/>
  <c r="J20" i="1"/>
  <c r="J21" i="1"/>
  <c r="I9" i="2"/>
  <c r="J81" i="3" s="1"/>
  <c r="I20" i="1"/>
  <c r="I21" i="1"/>
  <c r="H9" i="2"/>
  <c r="I81" i="3" s="1"/>
  <c r="H21" i="1"/>
  <c r="H20" i="1"/>
  <c r="AE345" i="2"/>
  <c r="AE347" i="2"/>
  <c r="AE346" i="2"/>
  <c r="AE344" i="2" s="1"/>
  <c r="AE354" i="2" s="1"/>
  <c r="AE356" i="2" s="1"/>
  <c r="H3" i="2"/>
  <c r="G168" i="2"/>
  <c r="L27" i="2"/>
  <c r="L6" i="2" s="1"/>
  <c r="K6" i="2"/>
  <c r="K30" i="2"/>
  <c r="K29" i="2" s="1"/>
  <c r="L29" i="2" s="1"/>
  <c r="I37" i="2"/>
  <c r="J37" i="2"/>
  <c r="G37" i="2"/>
  <c r="G43" i="2"/>
  <c r="H39" i="2" s="1"/>
  <c r="H43" i="2" s="1"/>
  <c r="I39" i="2" s="1"/>
  <c r="I43" i="2" s="1"/>
  <c r="J39" i="2" s="1"/>
  <c r="J43" i="2" s="1"/>
  <c r="K39" i="2" s="1"/>
  <c r="K32" i="2" s="1"/>
  <c r="H37" i="2"/>
  <c r="J139" i="1"/>
  <c r="J141" i="1" s="1"/>
  <c r="H139" i="1"/>
  <c r="H141" i="1" s="1"/>
  <c r="G139" i="1"/>
  <c r="G141" i="1" s="1"/>
  <c r="I139" i="1"/>
  <c r="I141" i="1" s="1"/>
  <c r="J69" i="1"/>
  <c r="I69" i="1"/>
  <c r="I78" i="1" s="1"/>
  <c r="I81" i="1" s="1"/>
  <c r="I147" i="1" s="1"/>
  <c r="I168" i="1" s="1"/>
  <c r="I196" i="1" s="1"/>
  <c r="I198" i="1" s="1"/>
  <c r="G69" i="1"/>
  <c r="G78" i="1" s="1"/>
  <c r="G81" i="1" s="1"/>
  <c r="G147" i="1" s="1"/>
  <c r="G168" i="1" s="1"/>
  <c r="G196" i="1" s="1"/>
  <c r="G198" i="1" s="1"/>
  <c r="H197" i="1" s="1"/>
  <c r="H69" i="1"/>
  <c r="H78" i="1" s="1"/>
  <c r="H81" i="1" s="1"/>
  <c r="H147" i="1" s="1"/>
  <c r="H168" i="1" s="1"/>
  <c r="H196" i="1" s="1"/>
  <c r="M29" i="2" l="1"/>
  <c r="L7" i="2"/>
  <c r="L60" i="1" s="1"/>
  <c r="L13" i="10" s="1"/>
  <c r="K59" i="1"/>
  <c r="K10" i="10" s="1"/>
  <c r="K11" i="10"/>
  <c r="J78" i="1"/>
  <c r="J81" i="1" s="1"/>
  <c r="G11" i="5"/>
  <c r="H11" i="5" s="1"/>
  <c r="H14" i="5" s="1"/>
  <c r="U12" i="6"/>
  <c r="R14" i="6"/>
  <c r="R11" i="6"/>
  <c r="O10" i="6"/>
  <c r="U14" i="6"/>
  <c r="U11" i="6"/>
  <c r="R13" i="6"/>
  <c r="R10" i="6"/>
  <c r="V12" i="6"/>
  <c r="U9" i="6"/>
  <c r="O13" i="6"/>
  <c r="R9" i="6"/>
  <c r="R12" i="6"/>
  <c r="U10" i="6"/>
  <c r="O9" i="6"/>
  <c r="O14" i="6"/>
  <c r="O11" i="6"/>
  <c r="V10" i="6"/>
  <c r="O12" i="6"/>
  <c r="S10" i="6"/>
  <c r="U13" i="6"/>
  <c r="L14" i="1"/>
  <c r="F30" i="5"/>
  <c r="G66" i="5" s="1"/>
  <c r="C101" i="5"/>
  <c r="AJ30" i="5"/>
  <c r="AK66" i="5" s="1"/>
  <c r="C100" i="5"/>
  <c r="K30" i="5"/>
  <c r="L66" i="5" s="1"/>
  <c r="C78" i="5"/>
  <c r="AE30" i="5"/>
  <c r="AF66" i="5" s="1"/>
  <c r="C79" i="5"/>
  <c r="C77" i="5"/>
  <c r="V13" i="6" s="1"/>
  <c r="U30" i="5"/>
  <c r="V66" i="5" s="1"/>
  <c r="P30" i="5"/>
  <c r="Q66" i="5" s="1"/>
  <c r="Z30" i="5"/>
  <c r="AA66" i="5" s="1"/>
  <c r="C90" i="5"/>
  <c r="C102" i="5"/>
  <c r="J47" i="2"/>
  <c r="J48" i="2" s="1"/>
  <c r="K148" i="3"/>
  <c r="K103" i="3"/>
  <c r="K171" i="3"/>
  <c r="K126" i="3"/>
  <c r="K149" i="3"/>
  <c r="K104" i="3"/>
  <c r="K172" i="3"/>
  <c r="K127" i="3"/>
  <c r="K147" i="3"/>
  <c r="K125" i="3"/>
  <c r="K128" i="3" s="1"/>
  <c r="K132" i="3" s="1"/>
  <c r="K170" i="3"/>
  <c r="K102" i="3"/>
  <c r="K105" i="3" s="1"/>
  <c r="K109" i="3" s="1"/>
  <c r="K82" i="3"/>
  <c r="K86" i="3" s="1"/>
  <c r="K87" i="3" s="1"/>
  <c r="K80" i="3"/>
  <c r="G164" i="2"/>
  <c r="G165" i="2" s="1"/>
  <c r="H82" i="3"/>
  <c r="H86" i="3" s="1"/>
  <c r="H87" i="3" s="1"/>
  <c r="H80" i="3"/>
  <c r="H164" i="2"/>
  <c r="H165" i="2" s="1"/>
  <c r="I82" i="3"/>
  <c r="I86" i="3" s="1"/>
  <c r="I87" i="3" s="1"/>
  <c r="I80" i="3"/>
  <c r="I83" i="3" s="1"/>
  <c r="I84" i="3" s="1"/>
  <c r="I115" i="2"/>
  <c r="I116" i="2" s="1"/>
  <c r="J104" i="3"/>
  <c r="J126" i="3"/>
  <c r="J149" i="3"/>
  <c r="J127" i="3"/>
  <c r="J103" i="3"/>
  <c r="J171" i="3"/>
  <c r="J148" i="3"/>
  <c r="J172" i="3"/>
  <c r="J102" i="3"/>
  <c r="J147" i="3"/>
  <c r="J125" i="3"/>
  <c r="J170" i="3"/>
  <c r="J82" i="3"/>
  <c r="J86" i="3" s="1"/>
  <c r="J87" i="3" s="1"/>
  <c r="J80" i="3"/>
  <c r="J83" i="3" s="1"/>
  <c r="J84" i="3" s="1"/>
  <c r="AC59" i="3"/>
  <c r="AC170" i="3" s="1"/>
  <c r="AE161" i="3"/>
  <c r="AE54" i="3" s="1"/>
  <c r="AD164" i="3"/>
  <c r="AD166" i="3" s="1"/>
  <c r="AD167" i="3" s="1"/>
  <c r="AB12" i="2"/>
  <c r="AC48" i="3" s="1"/>
  <c r="W6" i="2"/>
  <c r="W9" i="2" s="1"/>
  <c r="AE169" i="3"/>
  <c r="AB48" i="3"/>
  <c r="L73" i="1"/>
  <c r="M45" i="1"/>
  <c r="K42" i="1"/>
  <c r="I57" i="1"/>
  <c r="I44" i="1" s="1"/>
  <c r="H38" i="1"/>
  <c r="H37" i="1"/>
  <c r="M42" i="2"/>
  <c r="M155" i="1" s="1"/>
  <c r="J3" i="1"/>
  <c r="I89" i="1"/>
  <c r="AC6" i="2"/>
  <c r="AC364" i="2"/>
  <c r="AF159" i="3"/>
  <c r="AE360" i="2"/>
  <c r="AE359" i="2"/>
  <c r="AD361" i="2"/>
  <c r="J164" i="2"/>
  <c r="J165" i="2" s="1"/>
  <c r="J115" i="2"/>
  <c r="J116" i="2" s="1"/>
  <c r="G47" i="2"/>
  <c r="G48" i="2" s="1"/>
  <c r="J10" i="2"/>
  <c r="G84" i="2"/>
  <c r="G85" i="2" s="1"/>
  <c r="J84" i="2"/>
  <c r="J85" i="2" s="1"/>
  <c r="H84" i="2"/>
  <c r="H85" i="2" s="1"/>
  <c r="I84" i="2"/>
  <c r="I85" i="2" s="1"/>
  <c r="I47" i="2"/>
  <c r="I48" i="2" s="1"/>
  <c r="H47" i="2"/>
  <c r="H48" i="2" s="1"/>
  <c r="H10" i="2"/>
  <c r="K21" i="1"/>
  <c r="I164" i="2"/>
  <c r="I165" i="2" s="1"/>
  <c r="K20" i="1"/>
  <c r="I10" i="2"/>
  <c r="H198" i="1"/>
  <c r="M27" i="2"/>
  <c r="L24" i="2"/>
  <c r="M69" i="3" s="1"/>
  <c r="L59" i="1"/>
  <c r="L10" i="10" s="1"/>
  <c r="I3" i="2"/>
  <c r="H168" i="2"/>
  <c r="K25" i="2"/>
  <c r="K7" i="2"/>
  <c r="K60" i="1" s="1"/>
  <c r="K13" i="10" s="1"/>
  <c r="K14" i="10" s="1"/>
  <c r="K40" i="2"/>
  <c r="N29" i="2" l="1"/>
  <c r="M7" i="2"/>
  <c r="M60" i="1" s="1"/>
  <c r="M13" i="10" s="1"/>
  <c r="M14" i="10" s="1"/>
  <c r="K9" i="2"/>
  <c r="L14" i="10"/>
  <c r="L11" i="10"/>
  <c r="K150" i="3"/>
  <c r="K154" i="3" s="1"/>
  <c r="P9" i="6"/>
  <c r="P10" i="6"/>
  <c r="P11" i="6"/>
  <c r="P14" i="6"/>
  <c r="L30" i="5"/>
  <c r="M66" i="5" s="1"/>
  <c r="C83" i="5"/>
  <c r="C81" i="5"/>
  <c r="R27" i="6" s="1"/>
  <c r="AF30" i="5"/>
  <c r="AG66" i="5" s="1"/>
  <c r="G30" i="5"/>
  <c r="H66" i="5" s="1"/>
  <c r="AA30" i="5"/>
  <c r="AB66" i="5" s="1"/>
  <c r="V30" i="5"/>
  <c r="W66" i="5" s="1"/>
  <c r="C82" i="5"/>
  <c r="Q30" i="5"/>
  <c r="R66" i="5" s="1"/>
  <c r="AK30" i="5"/>
  <c r="AL66" i="5" s="1"/>
  <c r="R17" i="6"/>
  <c r="R16" i="6"/>
  <c r="R19" i="6"/>
  <c r="R18" i="6"/>
  <c r="R15" i="6"/>
  <c r="P13" i="6"/>
  <c r="S13" i="6"/>
  <c r="V9" i="6"/>
  <c r="H88" i="5"/>
  <c r="Q21" i="6"/>
  <c r="E68" i="5"/>
  <c r="H93" i="5" s="1"/>
  <c r="O17" i="6"/>
  <c r="O19" i="6"/>
  <c r="O18" i="6"/>
  <c r="O16" i="6"/>
  <c r="O15" i="6"/>
  <c r="V14" i="6"/>
  <c r="S12" i="6"/>
  <c r="S9" i="6"/>
  <c r="S14" i="6"/>
  <c r="P12" i="6"/>
  <c r="S11" i="6"/>
  <c r="U16" i="6"/>
  <c r="U19" i="6"/>
  <c r="U18" i="6"/>
  <c r="U17" i="6"/>
  <c r="U15" i="6"/>
  <c r="V11" i="6"/>
  <c r="J147" i="1"/>
  <c r="J168" i="1" s="1"/>
  <c r="J196" i="1" s="1"/>
  <c r="G9" i="5"/>
  <c r="H9" i="5" s="1"/>
  <c r="H83" i="3"/>
  <c r="H84" i="3" s="1"/>
  <c r="M71" i="3"/>
  <c r="K173" i="3"/>
  <c r="K177" i="3" s="1"/>
  <c r="J173" i="3"/>
  <c r="J177" i="3" s="1"/>
  <c r="J150" i="3"/>
  <c r="J154" i="3" s="1"/>
  <c r="J128" i="3"/>
  <c r="J132" i="3" s="1"/>
  <c r="J105" i="3"/>
  <c r="J109" i="3" s="1"/>
  <c r="K83" i="3"/>
  <c r="K84" i="3" s="1"/>
  <c r="AE164" i="3"/>
  <c r="AE166" i="3" s="1"/>
  <c r="AE167" i="3" s="1"/>
  <c r="X59" i="3"/>
  <c r="Y170" i="3" s="1"/>
  <c r="AF161" i="3"/>
  <c r="AF54" i="3" s="1"/>
  <c r="W12" i="2"/>
  <c r="AF169" i="3"/>
  <c r="AC9" i="2"/>
  <c r="N42" i="2"/>
  <c r="N155" i="1" s="1"/>
  <c r="M73" i="1"/>
  <c r="N45" i="1"/>
  <c r="J57" i="1"/>
  <c r="J44" i="1" s="1"/>
  <c r="K44" i="1" s="1"/>
  <c r="I37" i="1"/>
  <c r="I38" i="1"/>
  <c r="K3" i="1"/>
  <c r="J89" i="1"/>
  <c r="AD6" i="2"/>
  <c r="AD364" i="2"/>
  <c r="AE361" i="2"/>
  <c r="K165" i="2"/>
  <c r="K164" i="2" s="1"/>
  <c r="K48" i="2"/>
  <c r="L48" i="2" s="1"/>
  <c r="L47" i="2" s="1"/>
  <c r="K85" i="2"/>
  <c r="L85" i="2" s="1"/>
  <c r="M85" i="2" s="1"/>
  <c r="M6" i="2"/>
  <c r="M9" i="2" s="1"/>
  <c r="L25" i="2"/>
  <c r="N27" i="2"/>
  <c r="M24" i="2"/>
  <c r="N69" i="3" s="1"/>
  <c r="F31" i="5"/>
  <c r="J3" i="2"/>
  <c r="I168" i="2"/>
  <c r="P30" i="2"/>
  <c r="O29" i="2" l="1"/>
  <c r="N7" i="2"/>
  <c r="N60" i="1" s="1"/>
  <c r="N13" i="10" s="1"/>
  <c r="N14" i="10" s="1"/>
  <c r="W13" i="6"/>
  <c r="W9" i="6"/>
  <c r="N30" i="6"/>
  <c r="W11" i="6"/>
  <c r="Y10" i="6"/>
  <c r="O28" i="6"/>
  <c r="W12" i="6"/>
  <c r="X12" i="6"/>
  <c r="S31" i="6"/>
  <c r="V31" i="6"/>
  <c r="R28" i="6"/>
  <c r="V30" i="6"/>
  <c r="P18" i="6"/>
  <c r="S29" i="6"/>
  <c r="P27" i="6"/>
  <c r="P16" i="6"/>
  <c r="V28" i="6"/>
  <c r="U29" i="6"/>
  <c r="R29" i="6"/>
  <c r="Q31" i="6"/>
  <c r="AA10" i="6"/>
  <c r="Q32" i="6"/>
  <c r="P30" i="6"/>
  <c r="Z9" i="6"/>
  <c r="Q30" i="6"/>
  <c r="R30" i="6"/>
  <c r="P28" i="6"/>
  <c r="Y9" i="6"/>
  <c r="O32" i="6"/>
  <c r="X14" i="6"/>
  <c r="P17" i="6"/>
  <c r="N31" i="6"/>
  <c r="T29" i="6"/>
  <c r="P15" i="6"/>
  <c r="Y11" i="6"/>
  <c r="W14" i="6"/>
  <c r="R32" i="6"/>
  <c r="S32" i="6"/>
  <c r="N32" i="6"/>
  <c r="Q27" i="6"/>
  <c r="U27" i="6"/>
  <c r="AA9" i="6"/>
  <c r="Y14" i="6"/>
  <c r="P19" i="6"/>
  <c r="W10" i="6"/>
  <c r="S15" i="6"/>
  <c r="S16" i="6"/>
  <c r="S19" i="6"/>
  <c r="S17" i="6"/>
  <c r="S18" i="6"/>
  <c r="V18" i="6"/>
  <c r="V17" i="6"/>
  <c r="V15" i="6"/>
  <c r="V19" i="6"/>
  <c r="V16" i="6"/>
  <c r="S30" i="6"/>
  <c r="Q29" i="6"/>
  <c r="T27" i="6"/>
  <c r="U28" i="6"/>
  <c r="T28" i="6"/>
  <c r="X13" i="6"/>
  <c r="Y12" i="6"/>
  <c r="Z14" i="6"/>
  <c r="O29" i="6"/>
  <c r="O27" i="6"/>
  <c r="P31" i="6"/>
  <c r="U32" i="6"/>
  <c r="V29" i="6"/>
  <c r="X9" i="6"/>
  <c r="S27" i="6"/>
  <c r="N29" i="6"/>
  <c r="Z10" i="6"/>
  <c r="AA11" i="6"/>
  <c r="N27" i="6"/>
  <c r="X11" i="6"/>
  <c r="AA14" i="6"/>
  <c r="T32" i="6"/>
  <c r="Q28" i="6"/>
  <c r="P32" i="6"/>
  <c r="AA13" i="6"/>
  <c r="T31" i="6"/>
  <c r="V32" i="6"/>
  <c r="X10" i="6"/>
  <c r="U30" i="6"/>
  <c r="Z12" i="6"/>
  <c r="Y13" i="6"/>
  <c r="P29" i="6"/>
  <c r="V27" i="6"/>
  <c r="Z11" i="6"/>
  <c r="S28" i="6"/>
  <c r="T21" i="6"/>
  <c r="E69" i="5"/>
  <c r="H94" i="5" s="1"/>
  <c r="T40" i="6" s="1"/>
  <c r="N28" i="6"/>
  <c r="AA12" i="6"/>
  <c r="U31" i="6"/>
  <c r="R31" i="6"/>
  <c r="Q40" i="6"/>
  <c r="O30" i="6"/>
  <c r="N40" i="6"/>
  <c r="Z13" i="6"/>
  <c r="T30" i="6"/>
  <c r="O31" i="6"/>
  <c r="H77" i="5"/>
  <c r="G67" i="5"/>
  <c r="H100" i="5" s="1"/>
  <c r="P40" i="6" s="1"/>
  <c r="N71" i="3"/>
  <c r="L105" i="1"/>
  <c r="AF164" i="3"/>
  <c r="AF166" i="3" s="1"/>
  <c r="AF167" i="3" s="1"/>
  <c r="X48" i="3"/>
  <c r="AD59" i="3"/>
  <c r="AD170" i="3" s="1"/>
  <c r="AC12" i="2"/>
  <c r="AD9" i="2"/>
  <c r="O42" i="2"/>
  <c r="O155" i="1" s="1"/>
  <c r="N73" i="1"/>
  <c r="O45" i="1"/>
  <c r="K57" i="1"/>
  <c r="L57" i="1" s="1"/>
  <c r="J37" i="1"/>
  <c r="J38" i="1"/>
  <c r="K38" i="1" s="1"/>
  <c r="L96" i="1"/>
  <c r="L3" i="1"/>
  <c r="K89" i="1"/>
  <c r="K47" i="2"/>
  <c r="AE6" i="2"/>
  <c r="AE364" i="2"/>
  <c r="K84" i="2"/>
  <c r="L165" i="2"/>
  <c r="L164" i="2" s="1"/>
  <c r="M59" i="1"/>
  <c r="M10" i="10" s="1"/>
  <c r="M11" i="10" s="1"/>
  <c r="M10" i="2"/>
  <c r="M62" i="1"/>
  <c r="N6" i="2"/>
  <c r="N59" i="1" s="1"/>
  <c r="N10" i="10" s="1"/>
  <c r="M84" i="2"/>
  <c r="M48" i="2"/>
  <c r="N48" i="2" s="1"/>
  <c r="N85" i="2"/>
  <c r="O85" i="2" s="1"/>
  <c r="P85" i="2" s="1"/>
  <c r="M25" i="2"/>
  <c r="L84" i="2"/>
  <c r="O27" i="2"/>
  <c r="N24" i="2"/>
  <c r="O69" i="3" s="1"/>
  <c r="K3" i="2"/>
  <c r="J168" i="2"/>
  <c r="Q30" i="2"/>
  <c r="R30" i="2" s="1"/>
  <c r="P29" i="2" l="1"/>
  <c r="O7" i="2"/>
  <c r="O60" i="1" s="1"/>
  <c r="O13" i="10" s="1"/>
  <c r="O14" i="10" s="1"/>
  <c r="N11" i="10"/>
  <c r="G31" i="5"/>
  <c r="H81" i="5" s="1"/>
  <c r="M20" i="10"/>
  <c r="M21" i="10" s="1"/>
  <c r="W16" i="6"/>
  <c r="W15" i="6"/>
  <c r="W21" i="6" s="1"/>
  <c r="J52" i="10" s="1"/>
  <c r="W18" i="6"/>
  <c r="W17" i="6"/>
  <c r="J51" i="10" s="1"/>
  <c r="W19" i="6"/>
  <c r="P35" i="6"/>
  <c r="Y19" i="6"/>
  <c r="R34" i="6"/>
  <c r="P36" i="6"/>
  <c r="Z19" i="6"/>
  <c r="Y15" i="6"/>
  <c r="Y21" i="6" s="1"/>
  <c r="N37" i="6"/>
  <c r="N38" i="6"/>
  <c r="N36" i="6"/>
  <c r="N34" i="6"/>
  <c r="N35" i="6"/>
  <c r="P38" i="6"/>
  <c r="Y16" i="6"/>
  <c r="O36" i="6"/>
  <c r="O38" i="6"/>
  <c r="O34" i="6"/>
  <c r="O35" i="6"/>
  <c r="O37" i="6"/>
  <c r="Y17" i="6"/>
  <c r="R37" i="6"/>
  <c r="U35" i="6"/>
  <c r="U37" i="6"/>
  <c r="U38" i="6"/>
  <c r="U36" i="6"/>
  <c r="U34" i="6"/>
  <c r="T35" i="6"/>
  <c r="T36" i="6"/>
  <c r="T34" i="6"/>
  <c r="T37" i="6"/>
  <c r="T38" i="6"/>
  <c r="R35" i="6"/>
  <c r="V34" i="6"/>
  <c r="V35" i="6"/>
  <c r="V36" i="6"/>
  <c r="V37" i="6"/>
  <c r="V38" i="6"/>
  <c r="AA19" i="6"/>
  <c r="AA15" i="6"/>
  <c r="AA21" i="6" s="1"/>
  <c r="AA16" i="6"/>
  <c r="AA18" i="6"/>
  <c r="AA17" i="6"/>
  <c r="P37" i="6"/>
  <c r="Q35" i="6"/>
  <c r="Q36" i="6"/>
  <c r="Q34" i="6"/>
  <c r="Q38" i="6"/>
  <c r="Q37" i="6"/>
  <c r="P34" i="6"/>
  <c r="S38" i="6"/>
  <c r="S35" i="6"/>
  <c r="S34" i="6"/>
  <c r="S36" i="6"/>
  <c r="S37" i="6"/>
  <c r="Z16" i="6"/>
  <c r="X15" i="6"/>
  <c r="X21" i="6" s="1"/>
  <c r="J57" i="10" s="1"/>
  <c r="X18" i="6"/>
  <c r="X19" i="6"/>
  <c r="X16" i="6"/>
  <c r="X17" i="6"/>
  <c r="J56" i="10" s="1"/>
  <c r="Y18" i="6"/>
  <c r="Z15" i="6"/>
  <c r="Z21" i="6" s="1"/>
  <c r="Z17" i="6"/>
  <c r="Z18" i="6"/>
  <c r="R38" i="6"/>
  <c r="R36" i="6"/>
  <c r="P21" i="6"/>
  <c r="O71" i="3"/>
  <c r="M105" i="1"/>
  <c r="M156" i="1" s="1"/>
  <c r="K67" i="1"/>
  <c r="K26" i="10" s="1"/>
  <c r="AD48" i="3"/>
  <c r="AE59" i="3"/>
  <c r="AE170" i="3" s="1"/>
  <c r="AD12" i="2"/>
  <c r="AE9" i="2"/>
  <c r="O73" i="1"/>
  <c r="P42" i="2"/>
  <c r="P155" i="1" s="1"/>
  <c r="M57" i="1"/>
  <c r="M94" i="1" s="1"/>
  <c r="L110" i="1"/>
  <c r="P45" i="1"/>
  <c r="L94" i="1"/>
  <c r="L38" i="1"/>
  <c r="M96" i="1"/>
  <c r="M161" i="1" s="1"/>
  <c r="M3" i="1"/>
  <c r="L89" i="1"/>
  <c r="M165" i="2"/>
  <c r="M164" i="2" s="1"/>
  <c r="N9" i="2"/>
  <c r="O6" i="2"/>
  <c r="M47" i="2"/>
  <c r="O48" i="2"/>
  <c r="P48" i="2" s="1"/>
  <c r="P84" i="2"/>
  <c r="O84" i="2"/>
  <c r="N25" i="2"/>
  <c r="N47" i="2"/>
  <c r="N84" i="2"/>
  <c r="Q85" i="2"/>
  <c r="R85" i="2" s="1"/>
  <c r="P27" i="2"/>
  <c r="O24" i="2"/>
  <c r="P69" i="3" s="1"/>
  <c r="P71" i="3" s="1"/>
  <c r="L3" i="2"/>
  <c r="K168" i="2"/>
  <c r="O9" i="2" l="1"/>
  <c r="Q29" i="2"/>
  <c r="P7" i="2"/>
  <c r="P60" i="1" s="1"/>
  <c r="P13" i="10" s="1"/>
  <c r="H67" i="5"/>
  <c r="H54" i="10" a="1"/>
  <c r="H54" i="10" s="1"/>
  <c r="H59" i="10" a="1"/>
  <c r="H59" i="10" s="1"/>
  <c r="H49" i="10" a="1"/>
  <c r="H49" i="10" s="1"/>
  <c r="C12" i="7" a="1"/>
  <c r="C12" i="7" s="1"/>
  <c r="AE48" i="3"/>
  <c r="AE12" i="2"/>
  <c r="AF48" i="3" s="1"/>
  <c r="AF59" i="3"/>
  <c r="AF170" i="3" s="1"/>
  <c r="M159" i="1"/>
  <c r="Q42" i="2"/>
  <c r="P73" i="1"/>
  <c r="N57" i="1"/>
  <c r="M110" i="1"/>
  <c r="M162" i="1" s="1"/>
  <c r="M38" i="1"/>
  <c r="L95" i="1"/>
  <c r="K15" i="2"/>
  <c r="N3" i="1"/>
  <c r="M89" i="1"/>
  <c r="L74" i="3"/>
  <c r="N165" i="2"/>
  <c r="N164" i="2" s="1"/>
  <c r="O59" i="1"/>
  <c r="O10" i="10" s="1"/>
  <c r="O11" i="10" s="1"/>
  <c r="O62" i="1"/>
  <c r="O10" i="2"/>
  <c r="P6" i="2"/>
  <c r="N62" i="1"/>
  <c r="N10" i="2"/>
  <c r="R84" i="2"/>
  <c r="S85" i="2"/>
  <c r="T85" i="2" s="1"/>
  <c r="T84" i="2" s="1"/>
  <c r="O25" i="2"/>
  <c r="O47" i="2"/>
  <c r="Q84" i="2"/>
  <c r="Q48" i="2"/>
  <c r="Q27" i="2"/>
  <c r="P24" i="2"/>
  <c r="Q69" i="3" s="1"/>
  <c r="Q71" i="3" s="1"/>
  <c r="M3" i="2"/>
  <c r="L168" i="2"/>
  <c r="P9" i="2" l="1"/>
  <c r="P14" i="10"/>
  <c r="R13" i="10"/>
  <c r="R29" i="2"/>
  <c r="Q7" i="2"/>
  <c r="O20" i="10"/>
  <c r="N20" i="10"/>
  <c r="N21" i="10" s="1"/>
  <c r="N105" i="1"/>
  <c r="N156" i="1" s="1"/>
  <c r="O105" i="1"/>
  <c r="O23" i="10"/>
  <c r="R42" i="2"/>
  <c r="S42" i="2" s="1"/>
  <c r="O57" i="1"/>
  <c r="O94" i="1" s="1"/>
  <c r="N110" i="1"/>
  <c r="N162" i="1" s="1"/>
  <c r="K111" i="1"/>
  <c r="N38" i="1"/>
  <c r="O38" i="1" s="1"/>
  <c r="P38" i="1" s="1"/>
  <c r="M95" i="1"/>
  <c r="N94" i="1"/>
  <c r="N96" i="1"/>
  <c r="O96" i="1"/>
  <c r="O3" i="1"/>
  <c r="N89" i="1"/>
  <c r="O165" i="2"/>
  <c r="P165" i="2" s="1"/>
  <c r="P164" i="2" s="1"/>
  <c r="P59" i="1"/>
  <c r="P10" i="10" s="1"/>
  <c r="P62" i="1"/>
  <c r="P10" i="2"/>
  <c r="Q6" i="2"/>
  <c r="R48" i="2"/>
  <c r="U85" i="2"/>
  <c r="U84" i="2" s="1"/>
  <c r="S84" i="2"/>
  <c r="P25" i="2"/>
  <c r="P47" i="2"/>
  <c r="R27" i="2"/>
  <c r="Q24" i="2"/>
  <c r="R69" i="3" s="1"/>
  <c r="R71" i="3" s="1"/>
  <c r="N3" i="2"/>
  <c r="M168" i="2"/>
  <c r="S29" i="2" l="1"/>
  <c r="R7" i="2"/>
  <c r="O156" i="1"/>
  <c r="P20" i="10"/>
  <c r="P11" i="10"/>
  <c r="R10" i="10"/>
  <c r="N23" i="10"/>
  <c r="O24" i="10" s="1"/>
  <c r="O21" i="10"/>
  <c r="T42" i="2"/>
  <c r="P105" i="1"/>
  <c r="P156" i="1" s="1"/>
  <c r="P64" i="1"/>
  <c r="P23" i="10" s="1"/>
  <c r="R23" i="10" s="1"/>
  <c r="Q9" i="2"/>
  <c r="Q12" i="2" s="1"/>
  <c r="O161" i="1"/>
  <c r="N161" i="1"/>
  <c r="O159" i="1"/>
  <c r="N159" i="1"/>
  <c r="M160" i="1"/>
  <c r="K163" i="1"/>
  <c r="P57" i="1"/>
  <c r="O110" i="1"/>
  <c r="O162" i="1" s="1"/>
  <c r="O95" i="1"/>
  <c r="N95" i="1"/>
  <c r="P96" i="1"/>
  <c r="P161" i="1" s="1"/>
  <c r="P3" i="1"/>
  <c r="P89" i="1" s="1"/>
  <c r="O89" i="1"/>
  <c r="Q165" i="2"/>
  <c r="R165" i="2" s="1"/>
  <c r="O164" i="2"/>
  <c r="R6" i="2"/>
  <c r="P12" i="2"/>
  <c r="Q48" i="3" s="1"/>
  <c r="V85" i="2"/>
  <c r="V84" i="2" s="1"/>
  <c r="Q25" i="2"/>
  <c r="Q47" i="2"/>
  <c r="S48" i="2"/>
  <c r="T48" i="2" s="1"/>
  <c r="R24" i="2"/>
  <c r="S69" i="3" s="1"/>
  <c r="S71" i="3" s="1"/>
  <c r="S27" i="2"/>
  <c r="O3" i="2"/>
  <c r="N168" i="2"/>
  <c r="T29" i="2" l="1"/>
  <c r="S7" i="2"/>
  <c r="R20" i="10"/>
  <c r="P21" i="10"/>
  <c r="P24" i="10"/>
  <c r="U42" i="2"/>
  <c r="V42" i="2" s="1"/>
  <c r="P110" i="1"/>
  <c r="P162" i="1" s="1"/>
  <c r="Q10" i="2"/>
  <c r="R9" i="2"/>
  <c r="R48" i="3"/>
  <c r="O160" i="1"/>
  <c r="N160" i="1"/>
  <c r="P95" i="1"/>
  <c r="P160" i="1" s="1"/>
  <c r="P94" i="1"/>
  <c r="P159" i="1" s="1"/>
  <c r="Q164" i="2"/>
  <c r="U48" i="2"/>
  <c r="V48" i="2" s="1"/>
  <c r="S6" i="2"/>
  <c r="W85" i="2"/>
  <c r="W84" i="2" s="1"/>
  <c r="R25" i="2"/>
  <c r="R47" i="2"/>
  <c r="R164" i="2"/>
  <c r="S165" i="2"/>
  <c r="T27" i="2"/>
  <c r="S24" i="2"/>
  <c r="S25" i="2" s="1"/>
  <c r="P3" i="2"/>
  <c r="O168" i="2"/>
  <c r="U29" i="2" l="1"/>
  <c r="T7" i="2"/>
  <c r="S9" i="2"/>
  <c r="R12" i="2"/>
  <c r="R10" i="2"/>
  <c r="S47" i="2"/>
  <c r="T69" i="3"/>
  <c r="T71" i="3" s="1"/>
  <c r="T6" i="2"/>
  <c r="T165" i="2"/>
  <c r="S164" i="2"/>
  <c r="U27" i="2"/>
  <c r="T24" i="2"/>
  <c r="T25" i="2" s="1"/>
  <c r="Q3" i="2"/>
  <c r="P168" i="2"/>
  <c r="V29" i="2" l="1"/>
  <c r="V7" i="2" s="1"/>
  <c r="U7" i="2"/>
  <c r="S12" i="2"/>
  <c r="S10" i="2"/>
  <c r="T9" i="2"/>
  <c r="T12" i="2" s="1"/>
  <c r="S48" i="3"/>
  <c r="T47" i="2"/>
  <c r="U69" i="3"/>
  <c r="U71" i="3" s="1"/>
  <c r="U6" i="2"/>
  <c r="T164" i="2"/>
  <c r="U165" i="2"/>
  <c r="V27" i="2"/>
  <c r="U24" i="2"/>
  <c r="U25" i="2" s="1"/>
  <c r="R3" i="2"/>
  <c r="Q168" i="2"/>
  <c r="T10" i="2" l="1"/>
  <c r="T48" i="3"/>
  <c r="U48" i="3"/>
  <c r="U9" i="2"/>
  <c r="U47" i="2"/>
  <c r="V69" i="3"/>
  <c r="V71" i="3" s="1"/>
  <c r="V24" i="2"/>
  <c r="V25" i="2" s="1"/>
  <c r="V6" i="2"/>
  <c r="U164" i="2"/>
  <c r="V165" i="2"/>
  <c r="V164" i="2" s="1"/>
  <c r="S3" i="2"/>
  <c r="R168" i="2"/>
  <c r="U12" i="2" l="1"/>
  <c r="V59" i="3"/>
  <c r="U10" i="2"/>
  <c r="V9" i="2"/>
  <c r="V47" i="2"/>
  <c r="W69" i="3"/>
  <c r="W71" i="3" s="1"/>
  <c r="W165" i="2"/>
  <c r="W164" i="2" s="1"/>
  <c r="T3" i="2"/>
  <c r="S168" i="2"/>
  <c r="V48" i="3" l="1"/>
  <c r="W59" i="3"/>
  <c r="W147" i="3" s="1"/>
  <c r="W10" i="2"/>
  <c r="V12" i="2"/>
  <c r="V10" i="2"/>
  <c r="U3" i="2"/>
  <c r="T168" i="2"/>
  <c r="W80" i="3" l="1"/>
  <c r="W125" i="3"/>
  <c r="W170" i="3"/>
  <c r="W48" i="3"/>
  <c r="X170" i="3"/>
  <c r="X147" i="3"/>
  <c r="V3" i="2"/>
  <c r="U168" i="2"/>
  <c r="W3" i="2" l="1"/>
  <c r="V168" i="2"/>
  <c r="W168" i="2" l="1"/>
  <c r="X168" i="2" s="1"/>
  <c r="Y168" i="2" s="1"/>
  <c r="Z168" i="2" s="1"/>
  <c r="AA168" i="2" s="1"/>
  <c r="AB168" i="2" s="1"/>
  <c r="AC168" i="2" s="1"/>
  <c r="AD168" i="2" s="1"/>
  <c r="AE168" i="2" s="1"/>
  <c r="X3" i="2"/>
  <c r="Y3" i="2" s="1"/>
  <c r="Z3" i="2" s="1"/>
  <c r="AA3" i="2" s="1"/>
  <c r="AB3" i="2" s="1"/>
  <c r="AC3" i="2" s="1"/>
  <c r="AD3" i="2" s="1"/>
  <c r="AE3" i="2" s="1"/>
  <c r="P65" i="1" l="1"/>
  <c r="P122" i="1" l="1"/>
  <c r="P115" i="1" s="1"/>
  <c r="P370" i="2"/>
  <c r="P172" i="1" l="1"/>
  <c r="P34" i="10" s="1"/>
  <c r="R34" i="10" s="1"/>
  <c r="Q62" i="3"/>
  <c r="Q81" i="3" s="1"/>
  <c r="P384" i="2"/>
  <c r="Q103" i="3" l="1"/>
  <c r="Q171" i="3"/>
  <c r="Q148" i="3"/>
  <c r="Q126" i="3"/>
  <c r="K192" i="1" l="1"/>
  <c r="K43" i="2"/>
  <c r="L39" i="2" s="1"/>
  <c r="L32" i="2" s="1"/>
  <c r="L40" i="2" s="1"/>
  <c r="N183" i="3" l="1"/>
  <c r="K37" i="2"/>
  <c r="K35" i="2"/>
  <c r="K114" i="1" l="1"/>
  <c r="K36" i="2"/>
  <c r="K121" i="1" s="1"/>
  <c r="K151" i="1" s="1"/>
  <c r="L101" i="1" l="1"/>
  <c r="L175" i="1" s="1"/>
  <c r="L43" i="2" l="1"/>
  <c r="L37" i="2" s="1"/>
  <c r="P183" i="1"/>
  <c r="P192" i="1" s="1"/>
  <c r="P39" i="10" s="1"/>
  <c r="O183" i="1"/>
  <c r="O192" i="1" s="1"/>
  <c r="O39" i="10" s="1"/>
  <c r="N183" i="1"/>
  <c r="N192" i="1" s="1"/>
  <c r="N39" i="10" s="1"/>
  <c r="L183" i="1"/>
  <c r="L192" i="1" s="1"/>
  <c r="L39" i="10" s="1"/>
  <c r="M183" i="1"/>
  <c r="M192" i="1" s="1"/>
  <c r="M39" i="10" s="1"/>
  <c r="M39" i="2" l="1"/>
  <c r="M32" i="2" s="1"/>
  <c r="M40" i="2" s="1"/>
  <c r="L35" i="2" s="1"/>
  <c r="L114" i="1" s="1"/>
  <c r="L36" i="2" l="1"/>
  <c r="L121" i="1" s="1"/>
  <c r="L151" i="1" s="1"/>
  <c r="M43" i="2"/>
  <c r="M37" i="2" s="1"/>
  <c r="N39" i="2" l="1"/>
  <c r="N32" i="2" s="1"/>
  <c r="N40" i="2" s="1"/>
  <c r="M35" i="2" s="1"/>
  <c r="M114" i="1" s="1"/>
  <c r="M101" i="1" l="1"/>
  <c r="M175" i="1" s="1"/>
  <c r="N43" i="2"/>
  <c r="M36" i="2"/>
  <c r="M121" i="1" s="1"/>
  <c r="M151" i="1" s="1"/>
  <c r="N37" i="2" l="1"/>
  <c r="O39" i="2"/>
  <c r="O32" i="2" l="1"/>
  <c r="O40" i="2" s="1"/>
  <c r="N35" i="2" s="1"/>
  <c r="N114" i="1" s="1"/>
  <c r="N36" i="2" l="1"/>
  <c r="N121" i="1" s="1"/>
  <c r="N151" i="1" s="1"/>
  <c r="O43" i="2"/>
  <c r="P39" i="2" l="1"/>
  <c r="O37" i="2"/>
  <c r="N101" i="1"/>
  <c r="N175" i="1" s="1"/>
  <c r="P32" i="2" l="1"/>
  <c r="P40" i="2" s="1"/>
  <c r="O35" i="2" s="1"/>
  <c r="O114" i="1" s="1"/>
  <c r="P43" i="2" l="1"/>
  <c r="O36" i="2"/>
  <c r="O121" i="1" s="1"/>
  <c r="O151" i="1" s="1"/>
  <c r="P37" i="2" l="1"/>
  <c r="Q39" i="2"/>
  <c r="Q32" i="2" l="1"/>
  <c r="Q40" i="2" s="1"/>
  <c r="P35" i="2" s="1"/>
  <c r="P114" i="1" s="1"/>
  <c r="O101" i="1"/>
  <c r="O175" i="1" s="1"/>
  <c r="Q43" i="2" l="1"/>
  <c r="Q37" i="2" s="1"/>
  <c r="P36" i="2"/>
  <c r="P121" i="1" s="1"/>
  <c r="P151" i="1" s="1"/>
  <c r="R39" i="2" l="1"/>
  <c r="R32" i="2" s="1"/>
  <c r="R40" i="2" s="1"/>
  <c r="Q35" i="2" s="1"/>
  <c r="Q36" i="2" s="1"/>
  <c r="R43" i="2" l="1"/>
  <c r="R37" i="2" l="1"/>
  <c r="S39" i="2"/>
  <c r="P101" i="1"/>
  <c r="P175" i="1"/>
  <c r="P179" i="1" s="1"/>
  <c r="P38" i="10" s="1"/>
  <c r="S32" i="2" l="1"/>
  <c r="S40" i="2" s="1"/>
  <c r="R35" i="2" s="1"/>
  <c r="R36" i="2" s="1"/>
  <c r="S43" i="2" l="1"/>
  <c r="T39" i="2" l="1"/>
  <c r="S37" i="2"/>
  <c r="T32" i="2" l="1"/>
  <c r="T40" i="2" s="1"/>
  <c r="S35" i="2" s="1"/>
  <c r="S36" i="2" s="1"/>
  <c r="T43" i="2" l="1"/>
  <c r="U39" i="2" l="1"/>
  <c r="T37" i="2"/>
  <c r="U32" i="2" l="1"/>
  <c r="U40" i="2" s="1"/>
  <c r="T35" i="2" s="1"/>
  <c r="T36" i="2" s="1"/>
  <c r="U43" i="2" l="1"/>
  <c r="U37" i="2" s="1"/>
  <c r="V39" i="2" l="1"/>
  <c r="V32" i="2" s="1"/>
  <c r="V40" i="2" s="1"/>
  <c r="U35" i="2" s="1"/>
  <c r="U36" i="2" s="1"/>
  <c r="V43" i="2" l="1"/>
  <c r="V37" i="2" s="1"/>
  <c r="V36" i="2" s="1"/>
  <c r="K69" i="1" l="1"/>
  <c r="K28" i="10"/>
  <c r="K29" i="10" s="1"/>
  <c r="K110" i="1"/>
  <c r="K156" i="1"/>
  <c r="K105" i="1"/>
  <c r="L156" i="1"/>
  <c r="H73" i="5"/>
  <c r="O21" i="6" s="1"/>
  <c r="H85" i="5"/>
  <c r="K95" i="1"/>
  <c r="K160" i="1"/>
  <c r="K20" i="10"/>
  <c r="K24" i="10" s="1"/>
  <c r="L159" i="1"/>
  <c r="K94" i="1"/>
  <c r="K159" i="1"/>
  <c r="E31" i="5"/>
  <c r="F67" i="5"/>
  <c r="H96" i="5"/>
  <c r="O40" i="6" s="1"/>
  <c r="H50" i="10" s="1" a="1"/>
  <c r="H50" i="10" s="1"/>
  <c r="K96" i="1"/>
  <c r="K161" i="1" s="1"/>
  <c r="L161" i="1"/>
  <c r="L103" i="3"/>
  <c r="K23" i="10"/>
  <c r="L24" i="10" s="1"/>
  <c r="K162" i="1" l="1"/>
  <c r="K116" i="1"/>
  <c r="K123" i="1" s="1"/>
  <c r="L162" i="1"/>
  <c r="K10" i="2"/>
  <c r="L10" i="2"/>
  <c r="K21" i="10"/>
  <c r="K78" i="1"/>
  <c r="K83" i="1"/>
  <c r="L82" i="3"/>
  <c r="L86" i="3" s="1"/>
  <c r="L87" i="3" s="1"/>
  <c r="L21" i="10"/>
  <c r="L59" i="3"/>
  <c r="L160" i="1"/>
  <c r="L104" i="3"/>
  <c r="L126" i="3"/>
  <c r="L172" i="3"/>
  <c r="L148" i="3"/>
  <c r="L149" i="3"/>
  <c r="L171" i="3"/>
  <c r="L81" i="3"/>
  <c r="L127" i="3"/>
  <c r="L60" i="3" l="1"/>
  <c r="L125" i="3"/>
  <c r="L102" i="3"/>
  <c r="L147" i="3"/>
  <c r="L80" i="3"/>
  <c r="L170" i="3"/>
  <c r="K85" i="1"/>
  <c r="K32" i="10" s="1"/>
  <c r="K44" i="10"/>
  <c r="K45" i="10" s="1"/>
  <c r="E32" i="5"/>
  <c r="K31" i="10"/>
  <c r="K26" i="1"/>
  <c r="F68" i="5" l="1"/>
  <c r="H97" i="5" s="1"/>
  <c r="R40" i="6" s="1"/>
  <c r="H74" i="5"/>
  <c r="K27" i="1"/>
  <c r="K31" i="1" s="1"/>
  <c r="K32" i="1" s="1"/>
  <c r="K80" i="1" s="1"/>
  <c r="L121" i="3" l="1"/>
  <c r="L122" i="3" s="1"/>
  <c r="L128" i="3" s="1"/>
  <c r="L132" i="3" s="1"/>
  <c r="L143" i="3"/>
  <c r="L144" i="3" s="1"/>
  <c r="L150" i="3" s="1"/>
  <c r="L76" i="3"/>
  <c r="L77" i="3" s="1"/>
  <c r="L83" i="3" s="1"/>
  <c r="L166" i="3"/>
  <c r="L167" i="3" s="1"/>
  <c r="L173" i="3" s="1"/>
  <c r="L177" i="3" s="1"/>
  <c r="L98" i="3"/>
  <c r="L99" i="3" s="1"/>
  <c r="L105" i="3" s="1"/>
  <c r="K81" i="1"/>
  <c r="K29" i="1"/>
  <c r="L25" i="1" s="1"/>
  <c r="H89" i="5"/>
  <c r="R21" i="6"/>
  <c r="L151" i="3" l="1"/>
  <c r="L154" i="3"/>
  <c r="E33" i="5"/>
  <c r="K147" i="1"/>
  <c r="L106" i="3"/>
  <c r="L109" i="3"/>
  <c r="L84" i="3"/>
  <c r="K168" i="1" l="1"/>
  <c r="K136" i="1"/>
  <c r="H75" i="5"/>
  <c r="U21" i="6" s="1"/>
  <c r="F69" i="5"/>
  <c r="H98" i="5" s="1"/>
  <c r="U40" i="6" s="1"/>
  <c r="K196" i="1" l="1"/>
  <c r="K198" i="1" s="1"/>
  <c r="K37" i="10"/>
  <c r="K137" i="1"/>
  <c r="K139" i="1" s="1"/>
  <c r="L197" i="1" l="1"/>
  <c r="K92" i="1"/>
  <c r="K42" i="10" l="1"/>
  <c r="L71" i="1"/>
  <c r="L76" i="1" s="1"/>
  <c r="K97" i="1"/>
  <c r="K106" i="1" s="1"/>
  <c r="K41" i="10" l="1"/>
  <c r="K141" i="1"/>
  <c r="M121" i="3"/>
  <c r="M122" i="3"/>
  <c r="N72" i="3"/>
  <c r="L78" i="1"/>
  <c r="L26" i="1" s="1"/>
  <c r="L27" i="1" s="1"/>
  <c r="L31" i="1" s="1"/>
  <c r="L32" i="1" s="1"/>
  <c r="L80" i="1" s="1"/>
  <c r="L31" i="10"/>
  <c r="M62" i="3"/>
  <c r="N67" i="1"/>
  <c r="N69" i="1" s="1"/>
  <c r="N26" i="10"/>
  <c r="L69" i="1"/>
  <c r="L28" i="10"/>
  <c r="L29" i="10" s="1"/>
  <c r="L172" i="1"/>
  <c r="L34" i="10" s="1"/>
  <c r="L179" i="1"/>
  <c r="L38" i="10" s="1"/>
  <c r="L111" i="1"/>
  <c r="L122" i="1"/>
  <c r="L115" i="1"/>
  <c r="M67" i="1"/>
  <c r="M26" i="10"/>
  <c r="L67" i="1"/>
  <c r="L26" i="10"/>
  <c r="L370" i="2"/>
  <c r="N380" i="2"/>
  <c r="M51" i="3"/>
  <c r="L13" i="2"/>
  <c r="L15" i="2" s="1"/>
  <c r="M73" i="3"/>
  <c r="O172" i="1"/>
  <c r="O34" i="10" s="1"/>
  <c r="O111" i="1"/>
  <c r="P62" i="3"/>
  <c r="P81" i="3"/>
  <c r="O69" i="1"/>
  <c r="O67" i="1"/>
  <c r="O26" i="10"/>
  <c r="O370" i="2"/>
  <c r="O383" i="2" s="1"/>
  <c r="P383" i="2"/>
  <c r="O122" i="1"/>
  <c r="P66" i="1"/>
  <c r="P67" i="1" s="1"/>
  <c r="P149" i="1"/>
  <c r="R74" i="3"/>
  <c r="R76" i="3"/>
  <c r="M23" i="10"/>
  <c r="N24" i="10" s="1"/>
  <c r="M24" i="10"/>
  <c r="L23" i="10"/>
  <c r="R13" i="2"/>
  <c r="S50" i="3" s="1"/>
  <c r="S73" i="3" s="1"/>
  <c r="S74" i="3" s="1"/>
  <c r="R15" i="2"/>
  <c r="N167" i="1"/>
  <c r="N122" i="1"/>
  <c r="N115" i="1" s="1"/>
  <c r="M122" i="1"/>
  <c r="M115" i="1" s="1"/>
  <c r="N370" i="2"/>
  <c r="N172" i="1" s="1"/>
  <c r="P382" i="2"/>
  <c r="M370" i="2"/>
  <c r="M381" i="2"/>
  <c r="P15" i="2"/>
  <c r="N73" i="3"/>
  <c r="M13" i="2"/>
  <c r="P73" i="3"/>
  <c r="O15" i="2"/>
  <c r="N14" i="2"/>
  <c r="N13" i="2"/>
  <c r="O73" i="3" s="1"/>
  <c r="N15" i="2"/>
  <c r="M12" i="2"/>
  <c r="M15" i="2"/>
  <c r="O149" i="1"/>
  <c r="Q13" i="2"/>
  <c r="Q15" i="2" s="1"/>
  <c r="R50" i="3"/>
  <c r="R73" i="3" s="1"/>
  <c r="R51" i="3"/>
  <c r="N149" i="1"/>
  <c r="O14" i="2"/>
  <c r="O13" i="2"/>
  <c r="P13" i="2"/>
  <c r="Q50" i="3"/>
  <c r="Q73" i="3" s="1"/>
  <c r="Q74" i="3" s="1"/>
  <c r="Q51" i="3"/>
  <c r="M14" i="2"/>
  <c r="M149" i="1"/>
  <c r="L14" i="2"/>
  <c r="M72" i="3" s="1"/>
  <c r="L149" i="1"/>
  <c r="L12" i="2"/>
  <c r="P51" i="3" l="1"/>
  <c r="P72" i="3"/>
  <c r="P74" i="3" s="1"/>
  <c r="S76" i="3"/>
  <c r="S77" i="3" s="1"/>
  <c r="R77" i="3"/>
  <c r="P26" i="10"/>
  <c r="R26" i="10" s="1"/>
  <c r="P111" i="1"/>
  <c r="S13" i="2"/>
  <c r="O115" i="1"/>
  <c r="P167" i="1"/>
  <c r="O167" i="1"/>
  <c r="O116" i="1"/>
  <c r="P59" i="3"/>
  <c r="M172" i="1"/>
  <c r="N62" i="3"/>
  <c r="O381" i="2"/>
  <c r="N381" i="2"/>
  <c r="M76" i="3"/>
  <c r="M166" i="3"/>
  <c r="M167" i="3" s="1"/>
  <c r="M98" i="3"/>
  <c r="M99" i="3" s="1"/>
  <c r="M143" i="3"/>
  <c r="M144" i="3" s="1"/>
  <c r="N74" i="3"/>
  <c r="P381" i="2"/>
  <c r="P69" i="1"/>
  <c r="N28" i="10"/>
  <c r="N29" i="10" s="1"/>
  <c r="M74" i="3"/>
  <c r="N51" i="3"/>
  <c r="M69" i="1"/>
  <c r="M111" i="1"/>
  <c r="M171" i="3"/>
  <c r="M126" i="3"/>
  <c r="N111" i="1"/>
  <c r="N179" i="1"/>
  <c r="N38" i="10" s="1"/>
  <c r="N34" i="10"/>
  <c r="M148" i="3"/>
  <c r="O179" i="1"/>
  <c r="O38" i="10" s="1"/>
  <c r="L167" i="1"/>
  <c r="M167" i="1"/>
  <c r="M81" i="3"/>
  <c r="O28" i="10"/>
  <c r="O29" i="10" s="1"/>
  <c r="M59" i="3"/>
  <c r="L163" i="1"/>
  <c r="L116" i="1"/>
  <c r="M103" i="3"/>
  <c r="L81" i="1"/>
  <c r="L29" i="1"/>
  <c r="M25" i="1" s="1"/>
  <c r="N382" i="2"/>
  <c r="P171" i="3"/>
  <c r="P103" i="3"/>
  <c r="L380" i="2"/>
  <c r="L385" i="2" s="1"/>
  <c r="O380" i="2"/>
  <c r="L373" i="2"/>
  <c r="O72" i="3"/>
  <c r="O74" i="3" s="1"/>
  <c r="O51" i="3"/>
  <c r="O382" i="2"/>
  <c r="O62" i="3"/>
  <c r="P126" i="3"/>
  <c r="M380" i="2"/>
  <c r="P148" i="3"/>
  <c r="P380" i="2"/>
  <c r="N163" i="1" l="1"/>
  <c r="N116" i="1"/>
  <c r="O59" i="3"/>
  <c r="O163" i="1"/>
  <c r="T50" i="3"/>
  <c r="T73" i="3" s="1"/>
  <c r="T74" i="3" s="1"/>
  <c r="T13" i="2"/>
  <c r="S15" i="2"/>
  <c r="F33" i="5"/>
  <c r="L147" i="1"/>
  <c r="P163" i="1"/>
  <c r="Q59" i="3"/>
  <c r="P116" i="1"/>
  <c r="O148" i="3"/>
  <c r="O126" i="3"/>
  <c r="O103" i="3"/>
  <c r="O171" i="3"/>
  <c r="O81" i="3"/>
  <c r="L123" i="1"/>
  <c r="R62" i="3"/>
  <c r="N147" i="3"/>
  <c r="M147" i="3"/>
  <c r="M102" i="3"/>
  <c r="M80" i="3"/>
  <c r="M125" i="3"/>
  <c r="M170" i="3"/>
  <c r="M60" i="3"/>
  <c r="M116" i="1"/>
  <c r="M163" i="1"/>
  <c r="N59" i="3"/>
  <c r="M28" i="10"/>
  <c r="M29" i="10" s="1"/>
  <c r="N171" i="3"/>
  <c r="N81" i="3"/>
  <c r="N148" i="3"/>
  <c r="N103" i="3"/>
  <c r="N126" i="3"/>
  <c r="S62" i="3"/>
  <c r="L99" i="1"/>
  <c r="L119" i="1" s="1"/>
  <c r="L164" i="1" s="1"/>
  <c r="M378" i="2"/>
  <c r="M385" i="2" s="1"/>
  <c r="M373" i="2"/>
  <c r="M34" i="10"/>
  <c r="M179" i="1"/>
  <c r="M38" i="10" s="1"/>
  <c r="M77" i="3"/>
  <c r="Q80" i="3"/>
  <c r="P60" i="3"/>
  <c r="Q147" i="3"/>
  <c r="Q170" i="3"/>
  <c r="Q125" i="3"/>
  <c r="Q102" i="3"/>
  <c r="M64" i="3"/>
  <c r="L152" i="1"/>
  <c r="L83" i="1" s="1"/>
  <c r="P28" i="10"/>
  <c r="R28" i="10" s="1"/>
  <c r="M104" i="3" l="1"/>
  <c r="M105" i="3" s="1"/>
  <c r="M149" i="3"/>
  <c r="M150" i="3" s="1"/>
  <c r="M82" i="3"/>
  <c r="M86" i="3" s="1"/>
  <c r="M87" i="3" s="1"/>
  <c r="M172" i="3"/>
  <c r="M173" i="3" s="1"/>
  <c r="M177" i="3" s="1"/>
  <c r="M127" i="3"/>
  <c r="S81" i="3"/>
  <c r="S126" i="3"/>
  <c r="S148" i="3"/>
  <c r="S103" i="3"/>
  <c r="S171" i="3"/>
  <c r="L136" i="1"/>
  <c r="L168" i="1"/>
  <c r="T62" i="3"/>
  <c r="O102" i="3"/>
  <c r="O170" i="3"/>
  <c r="O80" i="3"/>
  <c r="O147" i="3"/>
  <c r="O125" i="3"/>
  <c r="N60" i="3"/>
  <c r="Q60" i="3" s="1"/>
  <c r="R60" i="3" s="1"/>
  <c r="R103" i="3"/>
  <c r="R148" i="3"/>
  <c r="R171" i="3"/>
  <c r="R126" i="3"/>
  <c r="R81" i="3"/>
  <c r="H79" i="5"/>
  <c r="V21" i="6" s="1"/>
  <c r="G69" i="5"/>
  <c r="H102" i="5" s="1"/>
  <c r="V40" i="6" s="1"/>
  <c r="H60" i="10" s="1" a="1"/>
  <c r="H60" i="10" s="1"/>
  <c r="M123" i="1"/>
  <c r="U13" i="2"/>
  <c r="U50" i="3"/>
  <c r="U73" i="3" s="1"/>
  <c r="U74" i="3" s="1"/>
  <c r="T15" i="2"/>
  <c r="N125" i="3"/>
  <c r="T76" i="3"/>
  <c r="T77" i="3" s="1"/>
  <c r="N170" i="3"/>
  <c r="M83" i="3"/>
  <c r="N80" i="3"/>
  <c r="P102" i="3"/>
  <c r="P170" i="3"/>
  <c r="P80" i="3"/>
  <c r="P147" i="3"/>
  <c r="P125" i="3"/>
  <c r="O60" i="3"/>
  <c r="N102" i="3"/>
  <c r="M99" i="1"/>
  <c r="M119" i="1" s="1"/>
  <c r="M164" i="1" s="1"/>
  <c r="N378" i="2"/>
  <c r="N385" i="2" s="1"/>
  <c r="N373" i="2"/>
  <c r="M128" i="3"/>
  <c r="N64" i="3"/>
  <c r="M152" i="1"/>
  <c r="M83" i="1" s="1"/>
  <c r="L44" i="10"/>
  <c r="L45" i="10" s="1"/>
  <c r="L85" i="1"/>
  <c r="L32" i="10" s="1"/>
  <c r="F32" i="5"/>
  <c r="R59" i="3" l="1"/>
  <c r="S60" i="3"/>
  <c r="M154" i="3"/>
  <c r="M151" i="3"/>
  <c r="M132" i="3"/>
  <c r="M129" i="3"/>
  <c r="M84" i="3"/>
  <c r="O373" i="2"/>
  <c r="N99" i="1"/>
  <c r="N119" i="1" s="1"/>
  <c r="O378" i="2"/>
  <c r="O385" i="2" s="1"/>
  <c r="O64" i="3"/>
  <c r="N152" i="1"/>
  <c r="N83" i="1" s="1"/>
  <c r="H78" i="5"/>
  <c r="G68" i="5"/>
  <c r="H101" i="5" s="1"/>
  <c r="S40" i="6" s="1"/>
  <c r="H55" i="10" s="1" a="1"/>
  <c r="H55" i="10" s="1"/>
  <c r="T81" i="3"/>
  <c r="T103" i="3"/>
  <c r="T171" i="3"/>
  <c r="T126" i="3"/>
  <c r="T148" i="3"/>
  <c r="L37" i="10"/>
  <c r="L196" i="1"/>
  <c r="L198" i="1" s="1"/>
  <c r="M85" i="1"/>
  <c r="M32" i="10" s="1"/>
  <c r="G32" i="5"/>
  <c r="M44" i="10"/>
  <c r="M45" i="10" s="1"/>
  <c r="L137" i="1"/>
  <c r="L139" i="1" s="1"/>
  <c r="N82" i="3"/>
  <c r="N86" i="3" s="1"/>
  <c r="N87" i="3" s="1"/>
  <c r="N172" i="3"/>
  <c r="N104" i="3"/>
  <c r="N149" i="3"/>
  <c r="N127" i="3"/>
  <c r="U62" i="3"/>
  <c r="M109" i="3"/>
  <c r="M106" i="3"/>
  <c r="U76" i="3"/>
  <c r="U77" i="3" s="1"/>
  <c r="V50" i="3"/>
  <c r="V73" i="3" s="1"/>
  <c r="V74" i="3" s="1"/>
  <c r="V13" i="2"/>
  <c r="U15" i="2"/>
  <c r="N164" i="1" l="1"/>
  <c r="N123" i="1"/>
  <c r="U81" i="3"/>
  <c r="U148" i="3"/>
  <c r="U103" i="3"/>
  <c r="U126" i="3"/>
  <c r="U171" i="3"/>
  <c r="V62" i="3"/>
  <c r="M197" i="1"/>
  <c r="L92" i="1"/>
  <c r="P378" i="2"/>
  <c r="P385" i="2" s="1"/>
  <c r="O99" i="1"/>
  <c r="O119" i="1" s="1"/>
  <c r="P373" i="2"/>
  <c r="P99" i="1" s="1"/>
  <c r="P119" i="1" s="1"/>
  <c r="V15" i="2"/>
  <c r="W13" i="2"/>
  <c r="W50" i="3"/>
  <c r="W73" i="3" s="1"/>
  <c r="W74" i="3" s="1"/>
  <c r="V76" i="3"/>
  <c r="V77" i="3"/>
  <c r="H90" i="5"/>
  <c r="S21" i="6"/>
  <c r="H12" i="7" s="1" a="1"/>
  <c r="H86" i="5"/>
  <c r="N44" i="10"/>
  <c r="N45" i="10" s="1"/>
  <c r="N85" i="1"/>
  <c r="N32" i="10" s="1"/>
  <c r="O127" i="3"/>
  <c r="O104" i="3"/>
  <c r="O172" i="3"/>
  <c r="O82" i="3"/>
  <c r="O86" i="3" s="1"/>
  <c r="O87" i="3" s="1"/>
  <c r="O149" i="3"/>
  <c r="S59" i="3"/>
  <c r="T60" i="3"/>
  <c r="M110" i="3"/>
  <c r="H82" i="5"/>
  <c r="H68" i="5"/>
  <c r="P64" i="3"/>
  <c r="O152" i="1"/>
  <c r="O83" i="1" s="1"/>
  <c r="S170" i="3"/>
  <c r="S102" i="3"/>
  <c r="S80" i="3"/>
  <c r="R102" i="3"/>
  <c r="R80" i="3"/>
  <c r="R170" i="3"/>
  <c r="R125" i="3"/>
  <c r="R147" i="3"/>
  <c r="V126" i="3" l="1"/>
  <c r="V103" i="3"/>
  <c r="V148" i="3"/>
  <c r="V81" i="3"/>
  <c r="V171" i="3"/>
  <c r="O44" i="10"/>
  <c r="O45" i="10" s="1"/>
  <c r="O85" i="1"/>
  <c r="O32" i="10" s="1"/>
  <c r="W62" i="3"/>
  <c r="P127" i="3"/>
  <c r="P172" i="3"/>
  <c r="P82" i="3"/>
  <c r="P86" i="3" s="1"/>
  <c r="P87" i="3" s="1"/>
  <c r="P104" i="3"/>
  <c r="P149" i="3"/>
  <c r="W76" i="3"/>
  <c r="W77" i="3" s="1"/>
  <c r="X50" i="3"/>
  <c r="X13" i="2"/>
  <c r="W15" i="2"/>
  <c r="T59" i="3"/>
  <c r="U60" i="3"/>
  <c r="U59" i="3" s="1"/>
  <c r="T80" i="3"/>
  <c r="T125" i="3"/>
  <c r="P164" i="1"/>
  <c r="P123" i="1"/>
  <c r="O164" i="1"/>
  <c r="O123" i="1"/>
  <c r="S147" i="3"/>
  <c r="K36" i="7"/>
  <c r="K14" i="7" s="1"/>
  <c r="I38" i="7"/>
  <c r="I16" i="7" s="1"/>
  <c r="K35" i="7"/>
  <c r="K13" i="7" s="1"/>
  <c r="K38" i="7"/>
  <c r="K16" i="7" s="1"/>
  <c r="I40" i="7"/>
  <c r="I18" i="7" s="1"/>
  <c r="I37" i="7"/>
  <c r="I15" i="7" s="1"/>
  <c r="K42" i="7"/>
  <c r="K20" i="7" s="1"/>
  <c r="M37" i="7"/>
  <c r="M15" i="7" s="1"/>
  <c r="J38" i="7"/>
  <c r="J16" i="7" s="1"/>
  <c r="K39" i="7"/>
  <c r="K17" i="7" s="1"/>
  <c r="K37" i="7"/>
  <c r="K15" i="7" s="1"/>
  <c r="J37" i="7"/>
  <c r="J15" i="7" s="1"/>
  <c r="K40" i="7"/>
  <c r="K18" i="7" s="1"/>
  <c r="I35" i="7"/>
  <c r="I13" i="7" s="1"/>
  <c r="J42" i="7"/>
  <c r="J20" i="7" s="1"/>
  <c r="M41" i="7"/>
  <c r="M19" i="7" s="1"/>
  <c r="M42" i="7"/>
  <c r="M20" i="7" s="1"/>
  <c r="L40" i="7"/>
  <c r="L18" i="7" s="1"/>
  <c r="L38" i="7"/>
  <c r="L16" i="7" s="1"/>
  <c r="J40" i="7"/>
  <c r="J18" i="7" s="1"/>
  <c r="I42" i="7"/>
  <c r="I20" i="7" s="1"/>
  <c r="M35" i="7"/>
  <c r="M13" i="7" s="1"/>
  <c r="K41" i="7"/>
  <c r="K19" i="7" s="1"/>
  <c r="I36" i="7"/>
  <c r="I14" i="7" s="1"/>
  <c r="J35" i="7"/>
  <c r="J13" i="7" s="1"/>
  <c r="L41" i="7"/>
  <c r="L19" i="7" s="1"/>
  <c r="L35" i="7"/>
  <c r="L13" i="7" s="1"/>
  <c r="M40" i="7"/>
  <c r="M18" i="7" s="1"/>
  <c r="L42" i="7"/>
  <c r="L20" i="7" s="1"/>
  <c r="M39" i="7"/>
  <c r="M17" i="7" s="1"/>
  <c r="J41" i="7"/>
  <c r="J19" i="7" s="1"/>
  <c r="I39" i="7"/>
  <c r="I17" i="7" s="1"/>
  <c r="L37" i="7"/>
  <c r="L15" i="7" s="1"/>
  <c r="M36" i="7"/>
  <c r="M14" i="7" s="1"/>
  <c r="J36" i="7"/>
  <c r="J14" i="7" s="1"/>
  <c r="H12" i="7"/>
  <c r="L36" i="7"/>
  <c r="L14" i="7" s="1"/>
  <c r="J39" i="7"/>
  <c r="J17" i="7" s="1"/>
  <c r="L39" i="7"/>
  <c r="L17" i="7" s="1"/>
  <c r="I41" i="7"/>
  <c r="I19" i="7" s="1"/>
  <c r="M38" i="7"/>
  <c r="M16" i="7" s="1"/>
  <c r="P152" i="1"/>
  <c r="P83" i="1" s="1"/>
  <c r="Q64" i="3"/>
  <c r="S125" i="3"/>
  <c r="L97" i="1"/>
  <c r="L106" i="1" s="1"/>
  <c r="L42" i="10"/>
  <c r="M71" i="1"/>
  <c r="M76" i="1" s="1"/>
  <c r="M78" i="1" s="1"/>
  <c r="Q149" i="3" l="1"/>
  <c r="Q127" i="3"/>
  <c r="Q82" i="3"/>
  <c r="Q86" i="3" s="1"/>
  <c r="Q87" i="3" s="1"/>
  <c r="Q104" i="3"/>
  <c r="Q172" i="3"/>
  <c r="W126" i="3"/>
  <c r="W148" i="3"/>
  <c r="W81" i="3"/>
  <c r="W171" i="3"/>
  <c r="X62" i="3"/>
  <c r="P85" i="1"/>
  <c r="P32" i="10" s="1"/>
  <c r="P44" i="10"/>
  <c r="R64" i="3"/>
  <c r="V80" i="3"/>
  <c r="V125" i="3"/>
  <c r="V147" i="3"/>
  <c r="V102" i="3"/>
  <c r="V170" i="3"/>
  <c r="J34" i="7"/>
  <c r="J12" i="7" s="1"/>
  <c r="I34" i="7"/>
  <c r="I12" i="7" s="1"/>
  <c r="L34" i="7"/>
  <c r="L12" i="7" s="1"/>
  <c r="K34" i="7"/>
  <c r="K12" i="7" s="1"/>
  <c r="M34" i="7"/>
  <c r="M12" i="7" s="1"/>
  <c r="U102" i="3"/>
  <c r="U147" i="3"/>
  <c r="U125" i="3"/>
  <c r="U80" i="3"/>
  <c r="U170" i="3"/>
  <c r="M31" i="10"/>
  <c r="M26" i="1"/>
  <c r="L141" i="1"/>
  <c r="L41" i="10"/>
  <c r="T147" i="3"/>
  <c r="Y50" i="3"/>
  <c r="Y13" i="2"/>
  <c r="X15" i="2"/>
  <c r="T170" i="3"/>
  <c r="T102" i="3"/>
  <c r="Z13" i="2" l="1"/>
  <c r="Y15" i="2"/>
  <c r="Z50" i="3"/>
  <c r="X148" i="3"/>
  <c r="X171" i="3"/>
  <c r="Y62" i="3"/>
  <c r="R82" i="3"/>
  <c r="R104" i="3"/>
  <c r="R105" i="3" s="1"/>
  <c r="R172" i="3"/>
  <c r="R173" i="3" s="1"/>
  <c r="R149" i="3"/>
  <c r="R150" i="3" s="1"/>
  <c r="R127" i="3"/>
  <c r="R128" i="3" s="1"/>
  <c r="M27" i="1"/>
  <c r="M31" i="1" s="1"/>
  <c r="M32" i="1" s="1"/>
  <c r="M80" i="1" s="1"/>
  <c r="S64" i="3"/>
  <c r="P45" i="10"/>
  <c r="R44" i="10"/>
  <c r="R154" i="3" l="1"/>
  <c r="R155" i="3" s="1"/>
  <c r="R151" i="3"/>
  <c r="R174" i="3"/>
  <c r="R177" i="3"/>
  <c r="R178" i="3" s="1"/>
  <c r="N121" i="3"/>
  <c r="N122" i="3" s="1"/>
  <c r="N128" i="3" s="1"/>
  <c r="N166" i="3"/>
  <c r="N167" i="3" s="1"/>
  <c r="N173" i="3" s="1"/>
  <c r="N76" i="3"/>
  <c r="N77" i="3" s="1"/>
  <c r="N83" i="3" s="1"/>
  <c r="N143" i="3"/>
  <c r="N144" i="3" s="1"/>
  <c r="N150" i="3" s="1"/>
  <c r="N98" i="3"/>
  <c r="N99" i="3" s="1"/>
  <c r="N105" i="3" s="1"/>
  <c r="M81" i="1"/>
  <c r="M29" i="1"/>
  <c r="N25" i="1" s="1"/>
  <c r="R109" i="3"/>
  <c r="R110" i="3" s="1"/>
  <c r="R106" i="3"/>
  <c r="R86" i="3"/>
  <c r="R87" i="3" s="1"/>
  <c r="R83" i="3"/>
  <c r="R84" i="3" s="1"/>
  <c r="S172" i="3"/>
  <c r="S173" i="3" s="1"/>
  <c r="S104" i="3"/>
  <c r="S105" i="3" s="1"/>
  <c r="S127" i="3"/>
  <c r="S128" i="3" s="1"/>
  <c r="S149" i="3"/>
  <c r="S150" i="3" s="1"/>
  <c r="S82" i="3"/>
  <c r="Y171" i="3"/>
  <c r="Z62" i="3"/>
  <c r="T64" i="3"/>
  <c r="AA13" i="2"/>
  <c r="Z15" i="2"/>
  <c r="AA50" i="3"/>
  <c r="R129" i="3"/>
  <c r="R132" i="3"/>
  <c r="T149" i="3" l="1"/>
  <c r="T150" i="3" s="1"/>
  <c r="T172" i="3"/>
  <c r="T173" i="3" s="1"/>
  <c r="T82" i="3"/>
  <c r="T104" i="3"/>
  <c r="T105" i="3" s="1"/>
  <c r="T127" i="3"/>
  <c r="T128" i="3" s="1"/>
  <c r="U64" i="3"/>
  <c r="Z171" i="3"/>
  <c r="AA62" i="3"/>
  <c r="G33" i="5"/>
  <c r="M147" i="1"/>
  <c r="N106" i="3"/>
  <c r="N109" i="3"/>
  <c r="N151" i="3"/>
  <c r="N154" i="3"/>
  <c r="S86" i="3"/>
  <c r="S87" i="3" s="1"/>
  <c r="S83" i="3"/>
  <c r="S84" i="3" s="1"/>
  <c r="N84" i="3"/>
  <c r="N174" i="3"/>
  <c r="N177" i="3"/>
  <c r="S151" i="3"/>
  <c r="S154" i="3"/>
  <c r="S155" i="3" s="1"/>
  <c r="N129" i="3"/>
  <c r="N132" i="3"/>
  <c r="S129" i="3"/>
  <c r="S132" i="3"/>
  <c r="S106" i="3"/>
  <c r="S109" i="3"/>
  <c r="S110" i="3" s="1"/>
  <c r="AB13" i="2"/>
  <c r="AA15" i="2"/>
  <c r="AB50" i="3"/>
  <c r="S177" i="3"/>
  <c r="S178" i="3" s="1"/>
  <c r="S174" i="3"/>
  <c r="AB15" i="2" l="1"/>
  <c r="AC50" i="3"/>
  <c r="AC13" i="2"/>
  <c r="N155" i="3"/>
  <c r="N110" i="3"/>
  <c r="U82" i="3"/>
  <c r="U172" i="3"/>
  <c r="U173" i="3" s="1"/>
  <c r="U127" i="3"/>
  <c r="U128" i="3" s="1"/>
  <c r="U104" i="3"/>
  <c r="U105" i="3" s="1"/>
  <c r="U149" i="3"/>
  <c r="U150" i="3" s="1"/>
  <c r="V64" i="3"/>
  <c r="T129" i="3"/>
  <c r="T132" i="3"/>
  <c r="M168" i="1"/>
  <c r="M136" i="1"/>
  <c r="T106" i="3"/>
  <c r="T109" i="3"/>
  <c r="T110" i="3" s="1"/>
  <c r="N178" i="3"/>
  <c r="H69" i="5"/>
  <c r="H83" i="5"/>
  <c r="T86" i="3"/>
  <c r="T87" i="3" s="1"/>
  <c r="T83" i="3"/>
  <c r="T84" i="3" s="1"/>
  <c r="T174" i="3"/>
  <c r="T177" i="3"/>
  <c r="T178" i="3" s="1"/>
  <c r="AA171" i="3"/>
  <c r="AB62" i="3"/>
  <c r="T154" i="3"/>
  <c r="T155" i="3" s="1"/>
  <c r="T151" i="3"/>
  <c r="U109" i="3" l="1"/>
  <c r="U110" i="3" s="1"/>
  <c r="U106" i="3"/>
  <c r="U129" i="3"/>
  <c r="U132" i="3"/>
  <c r="U174" i="3"/>
  <c r="U177" i="3"/>
  <c r="U178" i="3" s="1"/>
  <c r="U86" i="3"/>
  <c r="U87" i="3" s="1"/>
  <c r="U83" i="3"/>
  <c r="U84" i="3" s="1"/>
  <c r="AB171" i="3"/>
  <c r="AC62" i="3"/>
  <c r="M137" i="1"/>
  <c r="M139" i="1" s="1"/>
  <c r="M196" i="1"/>
  <c r="M198" i="1" s="1"/>
  <c r="M37" i="10"/>
  <c r="AD13" i="2"/>
  <c r="AC15" i="2"/>
  <c r="AD50" i="3"/>
  <c r="V149" i="3"/>
  <c r="V150" i="3" s="1"/>
  <c r="V172" i="3"/>
  <c r="V173" i="3" s="1"/>
  <c r="V104" i="3"/>
  <c r="V105" i="3" s="1"/>
  <c r="V127" i="3"/>
  <c r="V128" i="3" s="1"/>
  <c r="V82" i="3"/>
  <c r="W64" i="3"/>
  <c r="U154" i="3"/>
  <c r="U155" i="3" s="1"/>
  <c r="U151" i="3"/>
  <c r="W172" i="3" l="1"/>
  <c r="W173" i="3" s="1"/>
  <c r="W149" i="3"/>
  <c r="W150" i="3" s="1"/>
  <c r="W127" i="3"/>
  <c r="W128" i="3" s="1"/>
  <c r="W82" i="3"/>
  <c r="X64" i="3"/>
  <c r="V86" i="3"/>
  <c r="V87" i="3" s="1"/>
  <c r="V83" i="3"/>
  <c r="V84" i="3" s="1"/>
  <c r="V132" i="3"/>
  <c r="V129" i="3"/>
  <c r="AC171" i="3"/>
  <c r="AD62" i="3"/>
  <c r="V106" i="3"/>
  <c r="V109" i="3"/>
  <c r="V110" i="3" s="1"/>
  <c r="V177" i="3"/>
  <c r="V178" i="3" s="1"/>
  <c r="V174" i="3"/>
  <c r="V154" i="3"/>
  <c r="V155" i="3" s="1"/>
  <c r="V151" i="3"/>
  <c r="AE13" i="2"/>
  <c r="AD15" i="2"/>
  <c r="AE50" i="3"/>
  <c r="M92" i="1"/>
  <c r="N197" i="1"/>
  <c r="AD171" i="3" l="1"/>
  <c r="AE62" i="3"/>
  <c r="N71" i="1"/>
  <c r="N76" i="1" s="1"/>
  <c r="N78" i="1" s="1"/>
  <c r="M97" i="1"/>
  <c r="M106" i="1" s="1"/>
  <c r="M42" i="10"/>
  <c r="AF50" i="3"/>
  <c r="AE15" i="2"/>
  <c r="X149" i="3"/>
  <c r="X150" i="3" s="1"/>
  <c r="X172" i="3"/>
  <c r="X173" i="3" s="1"/>
  <c r="Y64" i="3"/>
  <c r="W86" i="3"/>
  <c r="W83" i="3"/>
  <c r="W132" i="3"/>
  <c r="W129" i="3"/>
  <c r="W151" i="3"/>
  <c r="W154" i="3"/>
  <c r="W155" i="3" s="1"/>
  <c r="W174" i="3"/>
  <c r="W177" i="3"/>
  <c r="W178" i="3" s="1"/>
  <c r="W84" i="3" l="1"/>
  <c r="L17" i="3"/>
  <c r="L20" i="3" s="1"/>
  <c r="W87" i="3"/>
  <c r="Q17" i="3"/>
  <c r="Y172" i="3"/>
  <c r="Y173" i="3" s="1"/>
  <c r="Y177" i="3" s="1"/>
  <c r="Y178" i="3" s="1"/>
  <c r="Z64" i="3"/>
  <c r="X177" i="3"/>
  <c r="X178" i="3" s="1"/>
  <c r="X174" i="3"/>
  <c r="X151" i="3"/>
  <c r="X154" i="3"/>
  <c r="X155" i="3" s="1"/>
  <c r="M141" i="1"/>
  <c r="M41" i="10"/>
  <c r="N26" i="1"/>
  <c r="N31" i="10"/>
  <c r="AE171" i="3"/>
  <c r="AF62" i="3"/>
  <c r="AF171" i="3" s="1"/>
  <c r="Z172" i="3" l="1"/>
  <c r="Z173" i="3" s="1"/>
  <c r="Z177" i="3" s="1"/>
  <c r="Z178" i="3" s="1"/>
  <c r="AA64" i="3"/>
  <c r="AB64" i="3"/>
  <c r="Q18" i="3"/>
  <c r="Q20" i="3"/>
  <c r="N27" i="1"/>
  <c r="N31" i="1" s="1"/>
  <c r="N32" i="1" s="1"/>
  <c r="N80" i="1" s="1"/>
  <c r="N29" i="1"/>
  <c r="O25" i="1" s="1"/>
  <c r="L18" i="3"/>
  <c r="O121" i="3" l="1"/>
  <c r="O122" i="3" s="1"/>
  <c r="O128" i="3" s="1"/>
  <c r="O98" i="3"/>
  <c r="O99" i="3" s="1"/>
  <c r="O105" i="3" s="1"/>
  <c r="O166" i="3"/>
  <c r="O167" i="3" s="1"/>
  <c r="O173" i="3" s="1"/>
  <c r="O143" i="3"/>
  <c r="O144" i="3" s="1"/>
  <c r="O150" i="3" s="1"/>
  <c r="O76" i="3"/>
  <c r="O77" i="3" s="1"/>
  <c r="O83" i="3" s="1"/>
  <c r="N81" i="1"/>
  <c r="N147" i="1" s="1"/>
  <c r="AB172" i="3"/>
  <c r="AB173" i="3" s="1"/>
  <c r="AB177" i="3" s="1"/>
  <c r="AB178" i="3" s="1"/>
  <c r="AC64" i="3"/>
  <c r="AC172" i="3" s="1"/>
  <c r="AC173" i="3" s="1"/>
  <c r="AC177" i="3" s="1"/>
  <c r="AC178" i="3" s="1"/>
  <c r="AA172" i="3"/>
  <c r="AA173" i="3" s="1"/>
  <c r="AA177" i="3" s="1"/>
  <c r="AA178" i="3" s="1"/>
  <c r="AD64" i="3"/>
  <c r="AD172" i="3" s="1"/>
  <c r="AD173" i="3" s="1"/>
  <c r="AD177" i="3" s="1"/>
  <c r="AD178" i="3" s="1"/>
  <c r="N168" i="1" l="1"/>
  <c r="N136" i="1"/>
  <c r="O84" i="3"/>
  <c r="O154" i="3"/>
  <c r="O151" i="3"/>
  <c r="O177" i="3"/>
  <c r="O174" i="3"/>
  <c r="O106" i="3"/>
  <c r="O109" i="3"/>
  <c r="O132" i="3"/>
  <c r="O129" i="3"/>
  <c r="AF64" i="3"/>
  <c r="AF172" i="3" s="1"/>
  <c r="AF173" i="3" s="1"/>
  <c r="AF177" i="3" s="1"/>
  <c r="AF178" i="3" s="1"/>
  <c r="AE64" i="3"/>
  <c r="AE172" i="3" s="1"/>
  <c r="AE173" i="3" s="1"/>
  <c r="AE177" i="3" s="1"/>
  <c r="AE178" i="3" s="1"/>
  <c r="O110" i="3" l="1"/>
  <c r="O178" i="3"/>
  <c r="O155" i="3"/>
  <c r="N137" i="1"/>
  <c r="N139" i="1" s="1"/>
  <c r="N37" i="10"/>
  <c r="N196" i="1"/>
  <c r="N198" i="1" s="1"/>
  <c r="N92" i="1" l="1"/>
  <c r="O197" i="1"/>
  <c r="N42" i="10" l="1"/>
  <c r="N97" i="1"/>
  <c r="N106" i="1" s="1"/>
  <c r="O71" i="1"/>
  <c r="O76" i="1" s="1"/>
  <c r="O78" i="1" s="1"/>
  <c r="O26" i="1" l="1"/>
  <c r="O31" i="10"/>
  <c r="N141" i="1"/>
  <c r="N41" i="10"/>
  <c r="O27" i="1" l="1"/>
  <c r="O31" i="1" s="1"/>
  <c r="O32" i="1" s="1"/>
  <c r="O80" i="1" s="1"/>
  <c r="O29" i="1"/>
  <c r="P25" i="1" s="1"/>
  <c r="P121" i="3" l="1"/>
  <c r="P122" i="3" s="1"/>
  <c r="P128" i="3" s="1"/>
  <c r="P166" i="3"/>
  <c r="P167" i="3" s="1"/>
  <c r="P173" i="3" s="1"/>
  <c r="P76" i="3"/>
  <c r="P77" i="3" s="1"/>
  <c r="P83" i="3" s="1"/>
  <c r="P143" i="3"/>
  <c r="P144" i="3" s="1"/>
  <c r="P150" i="3" s="1"/>
  <c r="P98" i="3"/>
  <c r="P99" i="3" s="1"/>
  <c r="P105" i="3" s="1"/>
  <c r="O81" i="1"/>
  <c r="O147" i="1" s="1"/>
  <c r="O168" i="1" l="1"/>
  <c r="O136" i="1"/>
  <c r="P106" i="3"/>
  <c r="P109" i="3"/>
  <c r="P154" i="3"/>
  <c r="P151" i="3"/>
  <c r="P84" i="3"/>
  <c r="P177" i="3"/>
  <c r="P174" i="3"/>
  <c r="P129" i="3"/>
  <c r="P132" i="3"/>
  <c r="P178" i="3" l="1"/>
  <c r="P155" i="3"/>
  <c r="P110" i="3"/>
  <c r="O137" i="1"/>
  <c r="O139" i="1" s="1"/>
  <c r="O196" i="1"/>
  <c r="O198" i="1" s="1"/>
  <c r="O37" i="10"/>
  <c r="P197" i="1" l="1"/>
  <c r="O92" i="1"/>
  <c r="O97" i="1" l="1"/>
  <c r="O106" i="1" s="1"/>
  <c r="O42" i="10"/>
  <c r="P71" i="1"/>
  <c r="P76" i="1" s="1"/>
  <c r="P78" i="1" s="1"/>
  <c r="P26" i="1" l="1"/>
  <c r="P31" i="10"/>
  <c r="R31" i="10" s="1"/>
  <c r="O41" i="10"/>
  <c r="O141" i="1"/>
  <c r="P27" i="1" l="1"/>
  <c r="P31" i="1" s="1"/>
  <c r="P32" i="1" s="1"/>
  <c r="P80" i="1" s="1"/>
  <c r="Q121" i="3" l="1"/>
  <c r="Q122" i="3" s="1"/>
  <c r="Q128" i="3" s="1"/>
  <c r="Q76" i="3"/>
  <c r="Q77" i="3" s="1"/>
  <c r="Q83" i="3" s="1"/>
  <c r="Q143" i="3"/>
  <c r="Q144" i="3" s="1"/>
  <c r="Q150" i="3" s="1"/>
  <c r="Q98" i="3"/>
  <c r="Q99" i="3" s="1"/>
  <c r="Q105" i="3" s="1"/>
  <c r="Q166" i="3"/>
  <c r="Q167" i="3" s="1"/>
  <c r="Q173" i="3" s="1"/>
  <c r="P81" i="1"/>
  <c r="P147" i="1" s="1"/>
  <c r="P29" i="1"/>
  <c r="P168" i="1" l="1"/>
  <c r="P136" i="1"/>
  <c r="P137" i="1" s="1"/>
  <c r="P139" i="1" s="1"/>
  <c r="Q177" i="3"/>
  <c r="Q174" i="3"/>
  <c r="Q109" i="3"/>
  <c r="Q106" i="3"/>
  <c r="Q154" i="3"/>
  <c r="Q151" i="3"/>
  <c r="Q84" i="3"/>
  <c r="L21" i="3"/>
  <c r="L22" i="3" s="1"/>
  <c r="Q21" i="3"/>
  <c r="Q22" i="3" s="1"/>
  <c r="Q129" i="3"/>
  <c r="Q132" i="3"/>
  <c r="U18" i="3" s="1"/>
  <c r="U21" i="3" s="1"/>
  <c r="Y10" i="3" s="1"/>
  <c r="Q24" i="3" l="1"/>
  <c r="Q34" i="3" s="1"/>
  <c r="Q38" i="3" s="1"/>
  <c r="Q39" i="3" s="1"/>
  <c r="L34" i="3"/>
  <c r="L38" i="3" s="1"/>
  <c r="L24" i="3"/>
  <c r="Q155" i="3"/>
  <c r="U27" i="3"/>
  <c r="U30" i="3" s="1"/>
  <c r="Y11" i="3" s="1"/>
  <c r="Q110" i="3"/>
  <c r="U9" i="3"/>
  <c r="U12" i="3" s="1"/>
  <c r="Y9" i="3" s="1"/>
  <c r="Q178" i="3"/>
  <c r="U36" i="3"/>
  <c r="U39" i="3" s="1"/>
  <c r="Y12" i="3" s="1"/>
  <c r="N198" i="3" s="1"/>
  <c r="P196" i="1"/>
  <c r="P198" i="1" s="1"/>
  <c r="P92" i="1" s="1"/>
  <c r="P37" i="10"/>
  <c r="P97" i="1" l="1"/>
  <c r="P106" i="1" s="1"/>
  <c r="P42" i="10"/>
  <c r="L39" i="3"/>
  <c r="Y13" i="3"/>
  <c r="Y14" i="3" s="1"/>
  <c r="Y15" i="3" s="1"/>
  <c r="P141" i="1" l="1"/>
  <c r="P4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C370" authorId="0" shapeId="0" xr:uid="{95589514-06C2-4D00-8B40-35DA3BA1721C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2025,2026 capex per Bloomberg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C8" authorId="0" shapeId="0" xr:uid="{3E6FEA54-6C32-4C8B-B925-03295AE908AC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All Figures per Capital IQ</t>
        </r>
      </text>
    </comment>
    <comment ref="C31" authorId="0" shapeId="0" xr:uid="{B4556695-C600-4DF0-9B67-786746F3DD18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Projected Financials Via Bloomberg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<sst xmlns="http://schemas.openxmlformats.org/spreadsheetml/2006/main" count="1799" uniqueCount="630">
  <si>
    <t>Historical</t>
  </si>
  <si>
    <t>Projected:</t>
  </si>
  <si>
    <t>Units:</t>
  </si>
  <si>
    <t>Company Name:</t>
  </si>
  <si>
    <t>Name</t>
  </si>
  <si>
    <t>Last Fiscal Year:</t>
  </si>
  <si>
    <t>Ticker:</t>
  </si>
  <si>
    <t>Next Fiscal Year:</t>
  </si>
  <si>
    <t>Current Share Price:</t>
  </si>
  <si>
    <t>$ / Share</t>
  </si>
  <si>
    <t>Most Recent Quarter End Date:</t>
  </si>
  <si>
    <t>Diluted Shares Outstanding:</t>
  </si>
  <si>
    <t>M Shares</t>
  </si>
  <si>
    <t>Valuation Date:</t>
  </si>
  <si>
    <t>Effective Tax Rate:</t>
  </si>
  <si>
    <t>%</t>
  </si>
  <si>
    <t>Discount Rate (WACC):</t>
  </si>
  <si>
    <t>LTM Period:</t>
  </si>
  <si>
    <t>Forward Year 1:</t>
  </si>
  <si>
    <t>Conversion Units:</t>
  </si>
  <si>
    <t>#</t>
  </si>
  <si>
    <t>Forward Year 2:</t>
  </si>
  <si>
    <t>Forward Year 3:</t>
  </si>
  <si>
    <t>Income Statement</t>
  </si>
  <si>
    <t>RARE</t>
  </si>
  <si>
    <t>Ultragenyx Pharmaceutical Inc.</t>
  </si>
  <si>
    <t>Product sales</t>
  </si>
  <si>
    <t>Royalty revenue</t>
  </si>
  <si>
    <t>Non-cash collaboration royalty revenue</t>
  </si>
  <si>
    <t>Total revenues</t>
  </si>
  <si>
    <t>Cost of sales</t>
  </si>
  <si>
    <t>Research and development</t>
  </si>
  <si>
    <t>Selling, general and administrative</t>
  </si>
  <si>
    <t>Total operating expenses</t>
  </si>
  <si>
    <t>Loss from operations</t>
  </si>
  <si>
    <t>Interest income</t>
  </si>
  <si>
    <t>Change in fair value of equity investments</t>
  </si>
  <si>
    <t>Non-cash interest expense on liabilities for sales of future royalties</t>
  </si>
  <si>
    <t>Other income (expense)</t>
  </si>
  <si>
    <t>Other expense</t>
  </si>
  <si>
    <t>Loss before income taxes</t>
  </si>
  <si>
    <t>Provision for income taxes</t>
  </si>
  <si>
    <t>Net loss</t>
  </si>
  <si>
    <t>Net loss per share, basic and diluted</t>
  </si>
  <si>
    <t>Shares used in computing net loss per share, basic and diluted</t>
  </si>
  <si>
    <t>ASSETS</t>
  </si>
  <si>
    <t>Cash and cash equivalents</t>
  </si>
  <si>
    <t>Marketable debt securities (current)</t>
  </si>
  <si>
    <t>Accounts receivable, net</t>
  </si>
  <si>
    <t>Inventory</t>
  </si>
  <si>
    <t>Prepaid expenses and other current assets</t>
  </si>
  <si>
    <t>Prepaid expenses and other assets</t>
  </si>
  <si>
    <t>Total current assets</t>
  </si>
  <si>
    <t>Property, plant, and equipment, net</t>
  </si>
  <si>
    <t>Equity investments</t>
  </si>
  <si>
    <t>Marketable debt securities (non-current)</t>
  </si>
  <si>
    <t>Right-of-use assets</t>
  </si>
  <si>
    <t>Intangible assets, net</t>
  </si>
  <si>
    <t>Goodwill</t>
  </si>
  <si>
    <t>Other assets</t>
  </si>
  <si>
    <t>Total assets</t>
  </si>
  <si>
    <t>LIABILITIES AND STOCKHOLDERS’ EQUITY</t>
  </si>
  <si>
    <t>Accounts payable</t>
  </si>
  <si>
    <t>Accrued liabilities</t>
  </si>
  <si>
    <t>Contract liabilities (current)</t>
  </si>
  <si>
    <t>Lease liabilities (current)</t>
  </si>
  <si>
    <t>Liabilities for sales of future royalties (current)</t>
  </si>
  <si>
    <t>Other liabilities (current)</t>
  </si>
  <si>
    <t>Total current liabilities</t>
  </si>
  <si>
    <t>Contract liabilities (non-current)</t>
  </si>
  <si>
    <t>Lease liabilities (non-current)</t>
  </si>
  <si>
    <t>Deferred tax liabilities</t>
  </si>
  <si>
    <t>Liabilities for sales of future royalties (non-current)</t>
  </si>
  <si>
    <t>Other liabilities (non-current)</t>
  </si>
  <si>
    <t>Total liabilities</t>
  </si>
  <si>
    <t>Noncontrolling interest</t>
  </si>
  <si>
    <t>Preferred stock</t>
  </si>
  <si>
    <t>Common stock</t>
  </si>
  <si>
    <t>Treasury stock, at cost</t>
  </si>
  <si>
    <t>Deferred compensation obligation</t>
  </si>
  <si>
    <t>Additional paid-in capital</t>
  </si>
  <si>
    <t>Accumulated other comprehensive (loss) income</t>
  </si>
  <si>
    <t>Accumulated deficit</t>
  </si>
  <si>
    <t>Total stockholders’ equity</t>
  </si>
  <si>
    <t>Total liabilities, noncontrolling interest and stockholders’ equity</t>
  </si>
  <si>
    <t>STOCKHOLDER'S EQUITY</t>
  </si>
  <si>
    <t>Balance Check</t>
  </si>
  <si>
    <t>CASH FLOWS FROM OPERATING ACTIVITIES</t>
  </si>
  <si>
    <t>Adjustments to reconcile net loss to net cash used in operating activities:</t>
  </si>
  <si>
    <t>Stock-based compensation</t>
  </si>
  <si>
    <t>Acquired in-process research and development</t>
  </si>
  <si>
    <t>Amortization of premium (discount) on marketable debt securities, net</t>
  </si>
  <si>
    <t>Depreciation and amortization</t>
  </si>
  <si>
    <t>Other</t>
  </si>
  <si>
    <t>Changes in operating assets and liabilities:</t>
  </si>
  <si>
    <t>Accounts receivable</t>
  </si>
  <si>
    <t>Accounts payable, accrued, and other liabilities</t>
  </si>
  <si>
    <t>Contract liabilities, net</t>
  </si>
  <si>
    <t>Net cash used in operating activities</t>
  </si>
  <si>
    <t>Purchase of property, plant, and equipment</t>
  </si>
  <si>
    <t>Acquisition, net of cash acquired</t>
  </si>
  <si>
    <t>Purchase of equity investments</t>
  </si>
  <si>
    <t>Proceeds from sale of equity investments</t>
  </si>
  <si>
    <t>Payment for intangible asset</t>
  </si>
  <si>
    <t>Net cash (used in) provided by investing activities</t>
  </si>
  <si>
    <t>Proceeds from the sale of future royalties, net</t>
  </si>
  <si>
    <t>Proceeds from the issuance of common stock and pre-funded warrants in connection with underwritten public offerings, net of issuance costs</t>
  </si>
  <si>
    <t>Proceeds from the issuance of common stock in connection with underwritten public offerings, net</t>
  </si>
  <si>
    <t>Proceeds from the issuance of common stock in connection with the license agreement, net</t>
  </si>
  <si>
    <t>Proceeds from the issuance of common stock in connection with at-the-market offering, net of issuance costs</t>
  </si>
  <si>
    <t>Proceeds from the issuance of common stock from exercise of warrants and equity plan awards, net</t>
  </si>
  <si>
    <t>Proceeds from the issuance of common stock from exercise of equity plan awards, net</t>
  </si>
  <si>
    <t>Proceeds from issuance of equity interest in noncontrolling interest</t>
  </si>
  <si>
    <t>Net cash provided by financing activities</t>
  </si>
  <si>
    <t>Effect of exchange rate changes on cash</t>
  </si>
  <si>
    <t>Net (decrease) increase in cash, cash equivalents, and restricted cash</t>
  </si>
  <si>
    <t>Cash, cash equivalents, and restricted cash at beginning of year</t>
  </si>
  <si>
    <t>Cash, cash equivalents, and restricted cash at end of year</t>
  </si>
  <si>
    <t>Loss after income taxes</t>
  </si>
  <si>
    <t>CASH FLOWS FROM INVESTING ACTIVITIES</t>
  </si>
  <si>
    <t>CASH FLOWS FROM FINANCING ACTIVITIES</t>
  </si>
  <si>
    <t>Liabilities for sales of future royalties (total)</t>
  </si>
  <si>
    <t>Crysvita product sales</t>
  </si>
  <si>
    <t>Liabilities for sales of future royalties — Beginning of year</t>
  </si>
  <si>
    <t>Less: Royalty revenue applied to reduce liability (repayment)</t>
  </si>
  <si>
    <t>Add: Non-cash interest expense (accretion)</t>
  </si>
  <si>
    <t>Liabilities for sales of future royalties — End of year</t>
  </si>
  <si>
    <t>Non-cash interest expense on liabilities for sales of future royalties (P&amp;L)</t>
  </si>
  <si>
    <t>Proceeds from sale of future royalties</t>
  </si>
  <si>
    <t>$T</t>
  </si>
  <si>
    <t>Crysvita royalty/rev-share stream</t>
  </si>
  <si>
    <t>% Growth</t>
  </si>
  <si>
    <t>Royalty revenue applied to reduce liability (repayment) % Royalty stream</t>
  </si>
  <si>
    <t>GLOBAL</t>
  </si>
  <si>
    <t>UNITED STATES</t>
  </si>
  <si>
    <t>LC-FAOD (eligible)</t>
  </si>
  <si>
    <t>DOJOLVI</t>
  </si>
  <si>
    <t>Dojolvi product sales (reported)</t>
  </si>
  <si>
    <t>LC-FAOD - effective penetration</t>
  </si>
  <si>
    <t>Upside</t>
  </si>
  <si>
    <t>Base</t>
  </si>
  <si>
    <t>Downside</t>
  </si>
  <si>
    <t>Net annual revenue per treated patient (ASP)</t>
  </si>
  <si>
    <t>Treated patients (calculated)</t>
  </si>
  <si>
    <t>Scenario:</t>
  </si>
  <si>
    <t>Terminal Value - Multiples Method:</t>
  </si>
  <si>
    <t>Risk-Adjusted Net Present Value - Output</t>
  </si>
  <si>
    <t>Median CY 26 TEV / EBITDA of Comps:</t>
  </si>
  <si>
    <t>NPV of rFCFs</t>
  </si>
  <si>
    <t>Probability of Success</t>
  </si>
  <si>
    <t>Median CY 26 TEV / EBITDA of Target:</t>
  </si>
  <si>
    <t>Baseline Terminal EBITDA Multiple:</t>
  </si>
  <si>
    <t>Premium / (Discount) to Current:</t>
  </si>
  <si>
    <t>Shares Outstanding</t>
  </si>
  <si>
    <t>Baseline Terminal Value:</t>
  </si>
  <si>
    <t>Implied Price per Share</t>
  </si>
  <si>
    <t>Implied Terminal FCF Growth Rate:</t>
  </si>
  <si>
    <t xml:space="preserve">(+) Present Value of Terminal Value: </t>
  </si>
  <si>
    <t>Current Equity Value:</t>
  </si>
  <si>
    <t>(+) Present Value of UFCF:</t>
  </si>
  <si>
    <t>(-) Cash &amp; Investments:</t>
  </si>
  <si>
    <t xml:space="preserve">Implied Enterprise Value: </t>
  </si>
  <si>
    <t>(-) Net Operating Losses:</t>
  </si>
  <si>
    <t>(+) Debt &amp; Finance Leases:</t>
  </si>
  <si>
    <t>% of implied TEV from Terminal Value:</t>
  </si>
  <si>
    <t>(+) Preferred Stock:</t>
  </si>
  <si>
    <t>(+) Operating Leases:</t>
  </si>
  <si>
    <t>(+) Cash and Investments:</t>
  </si>
  <si>
    <t>(+) Noncontrolling Interests:</t>
  </si>
  <si>
    <t>(+) Net Operating Losses:</t>
  </si>
  <si>
    <t>(+) Unfunded Pensions:</t>
  </si>
  <si>
    <t>(-)Debt and Finance Leases:</t>
  </si>
  <si>
    <t>Current Enterprise Value:</t>
  </si>
  <si>
    <t>(-)Preferred Stock:</t>
  </si>
  <si>
    <t>(-) Operating Leases:</t>
  </si>
  <si>
    <t>(-) Noncontrolling Interests:</t>
  </si>
  <si>
    <t>(-)Unfunded Pensions:</t>
  </si>
  <si>
    <t xml:space="preserve">Implied Equity Value: </t>
  </si>
  <si>
    <t>Implied Share Price from DCF:</t>
  </si>
  <si>
    <t>Revenue</t>
  </si>
  <si>
    <t>$</t>
  </si>
  <si>
    <t>COGS</t>
  </si>
  <si>
    <t>SG&amp;A</t>
  </si>
  <si>
    <t>R&amp;D</t>
  </si>
  <si>
    <t>EBIT</t>
  </si>
  <si>
    <t>Tax</t>
  </si>
  <si>
    <t>NOPAT</t>
  </si>
  <si>
    <t>Change in Working Capital</t>
  </si>
  <si>
    <t>Royalty Expense</t>
  </si>
  <si>
    <t>CapEx</t>
  </si>
  <si>
    <t>D&amp;A</t>
  </si>
  <si>
    <t>Free Cash Flow</t>
  </si>
  <si>
    <t>margin</t>
  </si>
  <si>
    <t>rFCF</t>
  </si>
  <si>
    <t>EBITDA</t>
  </si>
  <si>
    <t>Sensitivity Analyses</t>
  </si>
  <si>
    <t>Discount Rate: (WACC)</t>
  </si>
  <si>
    <t>Royalty Rate</t>
  </si>
  <si>
    <t xml:space="preserve">Probability of Success </t>
  </si>
  <si>
    <t>EVKEEZA</t>
  </si>
  <si>
    <t>ULTRAGENYX TERRITORIES</t>
  </si>
  <si>
    <t>HoFH (eligible)</t>
  </si>
  <si>
    <t>CRYSVITA</t>
  </si>
  <si>
    <t>MEPSEVII</t>
  </si>
  <si>
    <t>Royalties to Baylor Research</t>
  </si>
  <si>
    <t>Revenue to Shareholders</t>
  </si>
  <si>
    <t>Evkeeza Revenue</t>
  </si>
  <si>
    <t>MPS VII (eligible)</t>
  </si>
  <si>
    <t>HoFH - effective penetration RARE Territories</t>
  </si>
  <si>
    <t>LC-FAOD Ex- U.S.</t>
  </si>
  <si>
    <t>Ultragenyx Territories - effective penetration</t>
  </si>
  <si>
    <t>Ultragenyx Territories - Patients Treated</t>
  </si>
  <si>
    <t>Royalties to SLU</t>
  </si>
  <si>
    <t>Transfer Price to Regeneron % Net Sales</t>
  </si>
  <si>
    <t>$T / OK!</t>
  </si>
  <si>
    <t>Ultragenyx Booked Product Sales</t>
  </si>
  <si>
    <t>E.U + Japan - Product Sales</t>
  </si>
  <si>
    <t>E.U + Japan - Patients Treated</t>
  </si>
  <si>
    <t>E.U + Japan</t>
  </si>
  <si>
    <t>E.U + Japan - effective penetration</t>
  </si>
  <si>
    <t>COMMERCIAL PRODUCTS</t>
  </si>
  <si>
    <t>Commercial Products</t>
  </si>
  <si>
    <t>Pipeline Products</t>
  </si>
  <si>
    <t>Angelman syndrome (eligible)</t>
  </si>
  <si>
    <t>EX-U.S.</t>
  </si>
  <si>
    <t>U.S. - effective penetration</t>
  </si>
  <si>
    <t>Ex-U.S. - effective penetration</t>
  </si>
  <si>
    <t>Net annual revenue per treated patient (ASP) - U.S.</t>
  </si>
  <si>
    <t>Net annual revenue per treated patient (ASP) - Ex-U.S.</t>
  </si>
  <si>
    <t>U.S. - treated patients (calculated)</t>
  </si>
  <si>
    <t>Ex-U.S. - treated patients (calculated)</t>
  </si>
  <si>
    <t>U.S. product sales (booked)</t>
  </si>
  <si>
    <t>Ex-U.S. product sales (booked)</t>
  </si>
  <si>
    <t>GTX-102 total product sales (booked)</t>
  </si>
  <si>
    <t>Royalties to GeneTx unitholders</t>
  </si>
  <si>
    <t>Royalties to TAMU</t>
  </si>
  <si>
    <t>Revenue to Shareholders (post-royalties)</t>
  </si>
  <si>
    <t>Milestone payments (cash)</t>
  </si>
  <si>
    <t>Net to Shareholders (post-royalties &amp; milestones)</t>
  </si>
  <si>
    <t>GTX - 102</t>
  </si>
  <si>
    <t>MPS IIIA (eligible)</t>
  </si>
  <si>
    <t>UX111</t>
  </si>
  <si>
    <t>Treated patients (calculated) - U.S.</t>
  </si>
  <si>
    <t>Treated patients (calculated) - Ex-U.S.</t>
  </si>
  <si>
    <t>UX111 product sales (calculated) - U.S.</t>
  </si>
  <si>
    <t>UX111 product sales (calculated) - Ex-U.S.</t>
  </si>
  <si>
    <t>UX111 product sales (calculated) - Total</t>
  </si>
  <si>
    <t>Royalties to Abeona</t>
  </si>
  <si>
    <t>Royalties to NCH</t>
  </si>
  <si>
    <t>Revenue to shareholders</t>
  </si>
  <si>
    <t>UX-111</t>
  </si>
  <si>
    <t>GSDIa (eligible) - U.S.</t>
  </si>
  <si>
    <t>GSDIa (eligible) - Ex-U.S.</t>
  </si>
  <si>
    <t>Net revenue per treated patient (ASP) - U.S.</t>
  </si>
  <si>
    <t>Net revenue per treated patient (ASP) - Ex-U.S.</t>
  </si>
  <si>
    <t>DTX-401 Product Sales - U.S.</t>
  </si>
  <si>
    <t>DTX-401 Product Sales - Ex-U.S.</t>
  </si>
  <si>
    <t>DTX-401 Product Sales - Total (calculated)</t>
  </si>
  <si>
    <t>Royalties to REGENXBIO</t>
  </si>
  <si>
    <t>OTC deficiency (eligible) - U.S.</t>
  </si>
  <si>
    <t>OTC deficiency (eligible) - Ex-U.S.</t>
  </si>
  <si>
    <t>DTX-301 Product Sales - U.S.</t>
  </si>
  <si>
    <t>DTX-301 Product Sales - Ex-U.S.</t>
  </si>
  <si>
    <t>DTX-301 Product Sales - Total (calculated)</t>
  </si>
  <si>
    <t>Effective penetration -U.S.</t>
  </si>
  <si>
    <t>Effective penetration - Ex - U.S.</t>
  </si>
  <si>
    <t>LOE</t>
  </si>
  <si>
    <t>DTX - 401</t>
  </si>
  <si>
    <t>DTX - 301</t>
  </si>
  <si>
    <t>Clinical programs:</t>
  </si>
  <si>
    <t>Change</t>
  </si>
  <si>
    <t>Change %</t>
  </si>
  <si>
    <t>Gene therapy programs</t>
  </si>
  <si>
    <t>DTX301</t>
  </si>
  <si>
    <t>DTX401</t>
  </si>
  <si>
    <t>UX701</t>
  </si>
  <si>
    <t>CMC costs</t>
  </si>
  <si>
    <t>Total gene therapy programs</t>
  </si>
  <si>
    <t>Biologic and nucleic acid programs</t>
  </si>
  <si>
    <t>GTX102</t>
  </si>
  <si>
    <t>UX053</t>
  </si>
  <si>
    <t>UX143</t>
  </si>
  <si>
    <t>Total biologic and nucleic acid programs</t>
  </si>
  <si>
    <t>Translational research</t>
  </si>
  <si>
    <t>Upfront license, acquisition, and milestone fees</t>
  </si>
  <si>
    <t>Approved products</t>
  </si>
  <si>
    <t>Infrastructure</t>
  </si>
  <si>
    <t>Other research and development</t>
  </si>
  <si>
    <t>Total research and development expenses</t>
  </si>
  <si>
    <t>R&amp;D expected to fall off in 2026</t>
  </si>
  <si>
    <t>Continuing R&amp;D</t>
  </si>
  <si>
    <t>Cost of sales % Revenue</t>
  </si>
  <si>
    <t>Selling, general and administrative % Revenue</t>
  </si>
  <si>
    <t>COGS (Revenue Weighted)</t>
  </si>
  <si>
    <t xml:space="preserve">Crysvita total revenue </t>
  </si>
  <si>
    <t>% COGS</t>
  </si>
  <si>
    <t>Incremental COGS % Revenue</t>
  </si>
  <si>
    <t>ASSUMPTIONS</t>
  </si>
  <si>
    <t>COGS % Revenue</t>
  </si>
  <si>
    <t>PEAK</t>
  </si>
  <si>
    <t>Pipeline</t>
  </si>
  <si>
    <t>Commercial</t>
  </si>
  <si>
    <t>Working capital</t>
  </si>
  <si>
    <t>% Revenue</t>
  </si>
  <si>
    <t>Interest income % cash</t>
  </si>
  <si>
    <t>Beginning Balance</t>
  </si>
  <si>
    <t>(+) NOLs Created</t>
  </si>
  <si>
    <t>(-) NOLs Used</t>
  </si>
  <si>
    <t>Other NOL Adjustments</t>
  </si>
  <si>
    <t>Ending Balance</t>
  </si>
  <si>
    <t>Taxable Income After NOL</t>
  </si>
  <si>
    <t>Cash Taxes Payable</t>
  </si>
  <si>
    <t>NOL Utilization Limit (% of EBT)</t>
  </si>
  <si>
    <t>Balance Sheet</t>
  </si>
  <si>
    <t>Days</t>
  </si>
  <si>
    <t>Marketable debt securities (non-current) % current</t>
  </si>
  <si>
    <t>Days Recievables Outstanding</t>
  </si>
  <si>
    <t>Days Inventory Outstanding</t>
  </si>
  <si>
    <t>Prepaid expenses and other current assets % Revenue</t>
  </si>
  <si>
    <t>CapEx:</t>
  </si>
  <si>
    <t>CapEx % OpEx (Cash only):</t>
  </si>
  <si>
    <t>Property, Plant and Equipment, Net:</t>
  </si>
  <si>
    <t>D&amp;A of Existing Net PP&amp;E and Intangibles:</t>
  </si>
  <si>
    <t>D&amp;A of NEW CapEx &amp; Intangible Purchases:</t>
  </si>
  <si>
    <t>D&amp;A - Existing PP&amp;E and Intangibles, Net:</t>
  </si>
  <si>
    <t>D&amp;A - Year 1 CapEx &amp; Intangible Purchases:</t>
  </si>
  <si>
    <t>D&amp;A - Year 2 CapEx &amp; Intangible Purchases:</t>
  </si>
  <si>
    <t>D&amp;A - Year 3 CapEx &amp; Intangible Purchases:</t>
  </si>
  <si>
    <t>D&amp;A - Year 4 CapEx &amp; Intangible Purchases:</t>
  </si>
  <si>
    <t>D&amp;A - Year 5 CapEx &amp; Intangible Purchases:</t>
  </si>
  <si>
    <t>Total Depreciation &amp; Amortisation:</t>
  </si>
  <si>
    <t>D&amp;A - Year 6 CapEx &amp; Intangible Purchases:</t>
  </si>
  <si>
    <t>Other assets % Revenue</t>
  </si>
  <si>
    <t>Days Payables Outstanding</t>
  </si>
  <si>
    <t>Accrued liabilities % Opex</t>
  </si>
  <si>
    <t>Lease liabilities (non-current) % PPE</t>
  </si>
  <si>
    <t>Cash Flow Statement</t>
  </si>
  <si>
    <t>Stock-based compensation % R&amp;D</t>
  </si>
  <si>
    <t>Change in Marketable Debt Securities</t>
  </si>
  <si>
    <t>Accrued Liabilities</t>
  </si>
  <si>
    <t>Change in Lease Liabilities</t>
  </si>
  <si>
    <t>Other liabilities</t>
  </si>
  <si>
    <t>Corporate</t>
  </si>
  <si>
    <t>UX - 111</t>
  </si>
  <si>
    <t>UX  - 111</t>
  </si>
  <si>
    <t>DCF</t>
  </si>
  <si>
    <t>Total Implied Share Price</t>
  </si>
  <si>
    <t>Company - Wide</t>
  </si>
  <si>
    <t>Company Wide</t>
  </si>
  <si>
    <t>Sum of DCF and rNPV Outputs</t>
  </si>
  <si>
    <t>Terminal Value - Perpetuity Growth Method:</t>
  </si>
  <si>
    <t>Expected Long-Term GDP Growth:</t>
  </si>
  <si>
    <t>Baseline Terminal FCF Growth Rate:</t>
  </si>
  <si>
    <t>Implied Terminal EBITDA Multiple:</t>
  </si>
  <si>
    <t>OpEx:</t>
  </si>
  <si>
    <t>Line item (USD m)</t>
  </si>
  <si>
    <t>Low</t>
  </si>
  <si>
    <t>High</t>
  </si>
  <si>
    <t>Headcount reduction (%)</t>
  </si>
  <si>
    <t>SG&amp;A total (FY24)</t>
  </si>
  <si>
    <t>SG&amp;A stock-based comp (FY24)</t>
  </si>
  <si>
    <t>SG&amp;A cash (FY24)</t>
  </si>
  <si>
    <t>R&amp;D total (FY24)</t>
  </si>
  <si>
    <t>R&amp;D stock-based comp (FY24)</t>
  </si>
  <si>
    <t>R&amp;D cash (FY24)</t>
  </si>
  <si>
    <t>SG&amp;A people-driven share of cash SG&amp;A</t>
  </si>
  <si>
    <t>R&amp;D people-driven share of cash R&amp;D</t>
  </si>
  <si>
    <t>SG&amp;A people-driven share of cash $</t>
  </si>
  <si>
    <t>R&amp;D people-driven share of cash $</t>
  </si>
  <si>
    <t>SG&amp;A cost savings</t>
  </si>
  <si>
    <t>R&amp;D cost savings</t>
  </si>
  <si>
    <t>Total</t>
  </si>
  <si>
    <t>GE Healthcare Technologies Inc.</t>
  </si>
  <si>
    <t>CareDx, Inc</t>
  </si>
  <si>
    <t>Calendarization:</t>
  </si>
  <si>
    <t>N/A</t>
  </si>
  <si>
    <t>Old Partial</t>
  </si>
  <si>
    <t>New Partial</t>
  </si>
  <si>
    <t>FY</t>
  </si>
  <si>
    <t>LTM</t>
  </si>
  <si>
    <t>LTM Revenue:</t>
  </si>
  <si>
    <t>LTM Reported Net Income:</t>
  </si>
  <si>
    <t>LTM Operating Income (EBIT):</t>
  </si>
  <si>
    <t>(+) Non-Recurring Items in EBIT:</t>
  </si>
  <si>
    <t>(+) Depreciation &amp; Amortization:</t>
  </si>
  <si>
    <t>LTM EBITDA:</t>
  </si>
  <si>
    <t>Balance Sheet Data:</t>
  </si>
  <si>
    <t>(-) Cash &amp; Cash-Equivalents:</t>
  </si>
  <si>
    <t>(-) Equity Investments:</t>
  </si>
  <si>
    <t>(-) Other Non-Core Assets, Net:</t>
  </si>
  <si>
    <t>(+) Debt &amp; Capital Leases:</t>
  </si>
  <si>
    <t>(+) Unfunded Pension Obligations:</t>
  </si>
  <si>
    <t>(+) Restructuring &amp; Other Liabilities:</t>
  </si>
  <si>
    <t>Projected Financials:</t>
  </si>
  <si>
    <t>Revenue:</t>
  </si>
  <si>
    <t>EBITDA:</t>
  </si>
  <si>
    <t>Reported Net Income:</t>
  </si>
  <si>
    <t>Diluted Shares Calculations:</t>
  </si>
  <si>
    <t>Share Price:</t>
  </si>
  <si>
    <t>Common Shares Outstanding:</t>
  </si>
  <si>
    <t>Options and Warrants:</t>
  </si>
  <si>
    <t>Strike</t>
  </si>
  <si>
    <t>Dilution</t>
  </si>
  <si>
    <t>Convertible Bonds:</t>
  </si>
  <si>
    <t>$ Amount</t>
  </si>
  <si>
    <t>Par Value</t>
  </si>
  <si>
    <t>Conv. Price</t>
  </si>
  <si>
    <t># RSUs</t>
  </si>
  <si>
    <t>Restricted Stock Units (RSUs):</t>
  </si>
  <si>
    <t>Total Diluted Shares:</t>
  </si>
  <si>
    <t>Valuation Metrics:</t>
  </si>
  <si>
    <t>Equity Value:</t>
  </si>
  <si>
    <t>Enterprise Value:</t>
  </si>
  <si>
    <t>Levered Beta:</t>
  </si>
  <si>
    <t>Valuation Multiples:</t>
  </si>
  <si>
    <t>EV / Revenue:</t>
  </si>
  <si>
    <t>EV / EBITDA:</t>
  </si>
  <si>
    <t>P / E:</t>
  </si>
  <si>
    <t>Lookup Variables:</t>
  </si>
  <si>
    <t>Year 1 Projected Revenue Growth:</t>
  </si>
  <si>
    <t>Year 1 Projected EBITDA Growth:</t>
  </si>
  <si>
    <t>LTM EBITDA Margin:</t>
  </si>
  <si>
    <t>Corporate Website:</t>
  </si>
  <si>
    <t>BMRN</t>
  </si>
  <si>
    <t>Commercial - DCF</t>
  </si>
  <si>
    <t>Summary of DCF and rNPV Outputs</t>
  </si>
  <si>
    <t>SRPT</t>
  </si>
  <si>
    <t>Sarepta Therapeutics, Inc.</t>
  </si>
  <si>
    <t>PTCT</t>
  </si>
  <si>
    <t>PTC Therapeutics, Inc.</t>
  </si>
  <si>
    <t>TVTX</t>
  </si>
  <si>
    <t>Travere Therapeutics, Inc.</t>
  </si>
  <si>
    <t>FOLD</t>
  </si>
  <si>
    <t>Amicus Therapeutics, Inc.</t>
  </si>
  <si>
    <t>CPRX</t>
  </si>
  <si>
    <t>Comparable Companies – Medical Device and Imaging Technology</t>
  </si>
  <si>
    <t>($ USD in Millions Except Per Share Amounts in USD as Stated)</t>
  </si>
  <si>
    <t>2025-12-31 Revenue:</t>
  </si>
  <si>
    <t>2026-12-31 Revenue:</t>
  </si>
  <si>
    <t>2025-12-31 EBITDA:</t>
  </si>
  <si>
    <t>2026-12-31 EBITDA:</t>
  </si>
  <si>
    <t>2025-12-31 Reported Net Income:</t>
  </si>
  <si>
    <t>2026-12-31 Reported Net Income:</t>
  </si>
  <si>
    <t>2025-12-31 EBITDA Margin:</t>
  </si>
  <si>
    <t>2026-12-31 EBITDA Margin:</t>
  </si>
  <si>
    <t>Operating Statistics:</t>
  </si>
  <si>
    <t>Capitalization</t>
  </si>
  <si>
    <t>Projected</t>
  </si>
  <si>
    <t>Share</t>
  </si>
  <si>
    <t>Diluted</t>
  </si>
  <si>
    <t>Equity</t>
  </si>
  <si>
    <t>Other &amp;</t>
  </si>
  <si>
    <t>Enterprise</t>
  </si>
  <si>
    <t>Net Income</t>
  </si>
  <si>
    <t>EBITDA Margin</t>
  </si>
  <si>
    <t>Company Name</t>
  </si>
  <si>
    <t>Ticker</t>
  </si>
  <si>
    <t>Price</t>
  </si>
  <si>
    <t>Shares</t>
  </si>
  <si>
    <t xml:space="preserve">Value </t>
  </si>
  <si>
    <t>Beta</t>
  </si>
  <si>
    <t>Tax Rate</t>
  </si>
  <si>
    <t>Cash</t>
  </si>
  <si>
    <t>Debt</t>
  </si>
  <si>
    <t>Preferred</t>
  </si>
  <si>
    <t>NCI</t>
  </si>
  <si>
    <t>Value</t>
  </si>
  <si>
    <t>Growth</t>
  </si>
  <si>
    <t>Maximum</t>
  </si>
  <si>
    <t>75th Percentile</t>
  </si>
  <si>
    <t>Median</t>
  </si>
  <si>
    <t>25th Percentile</t>
  </si>
  <si>
    <t>Minimum</t>
  </si>
  <si>
    <t>LTM EV / Revenue:</t>
  </si>
  <si>
    <t>2025-12-31 EV / Revenue:</t>
  </si>
  <si>
    <t>2026-12-31 EV / Revenue:</t>
  </si>
  <si>
    <t>LTM EV / EBITDA:</t>
  </si>
  <si>
    <t>2025-12-31 EV / EBITDA:</t>
  </si>
  <si>
    <t>2026-12-31 EV / EBITDA:</t>
  </si>
  <si>
    <t>LTM P / E:</t>
  </si>
  <si>
    <t>2025-12-31 P / E:</t>
  </si>
  <si>
    <t>2026-12-31 P / E:</t>
  </si>
  <si>
    <t>Valuation Statistics:</t>
  </si>
  <si>
    <t>Enterprise Value /</t>
  </si>
  <si>
    <t>P / E Multiple</t>
  </si>
  <si>
    <t>Range of Valuation Multiples / Premiums</t>
  </si>
  <si>
    <t>Implied Per-Share Value Range</t>
  </si>
  <si>
    <t>75th</t>
  </si>
  <si>
    <t>25th</t>
  </si>
  <si>
    <t>Applicable</t>
  </si>
  <si>
    <t>Percentile</t>
  </si>
  <si>
    <t>Company</t>
  </si>
  <si>
    <t>Methodology Name</t>
  </si>
  <si>
    <t>Multiple</t>
  </si>
  <si>
    <t>Figure</t>
  </si>
  <si>
    <t>Public Company Comparables:</t>
  </si>
  <si>
    <t>LTM TEV / Revenue:</t>
  </si>
  <si>
    <t>LTM TEV / EBITDA:</t>
  </si>
  <si>
    <t>Discounted Cash Flow Analysis:</t>
  </si>
  <si>
    <t>(9.9% - 11.9% WACC, 5.5% - 8.5% Free Cash Flow Growth Rate</t>
  </si>
  <si>
    <t>Implied Enterprise Value:</t>
  </si>
  <si>
    <t>Enterprise Value --&gt;</t>
  </si>
  <si>
    <t>Equity Value --&gt;</t>
  </si>
  <si>
    <t>Date</t>
  </si>
  <si>
    <t>OpEx case</t>
  </si>
  <si>
    <t>Scenario</t>
  </si>
  <si>
    <t>Scenario Matrix - Total Implied Share Price</t>
  </si>
  <si>
    <t>($ in Thousands Except Per Share and Per Unit Data)</t>
  </si>
  <si>
    <t>FY25- Q3</t>
  </si>
  <si>
    <t>Annual Revenue Growth Rate:</t>
  </si>
  <si>
    <t>Operating Income (EBIT):</t>
  </si>
  <si>
    <t>Annual Operating Margin:</t>
  </si>
  <si>
    <t>Taxes, Excluding Effect of Interest:</t>
  </si>
  <si>
    <t>Net Operating Profit After Tax (NOPAT):</t>
  </si>
  <si>
    <t>Adjustments for Non-Cash Charges:</t>
  </si>
  <si>
    <t>Depreciation &amp; Amortization:</t>
  </si>
  <si>
    <t>Deferred Income Taxes:</t>
  </si>
  <si>
    <t>Other Operating Activities:</t>
  </si>
  <si>
    <t>Total Adjustments for Non-Cash Charges:</t>
  </si>
  <si>
    <t>Net Change in Working Capital:</t>
  </si>
  <si>
    <t>Accounts Receivable:</t>
  </si>
  <si>
    <t>Inventories:</t>
  </si>
  <si>
    <t>Accounts Payable:</t>
  </si>
  <si>
    <t>Other Liabilities:</t>
  </si>
  <si>
    <t>Total Net Change in Working Capital:</t>
  </si>
  <si>
    <t>Capital Expenditures and Acquisitions:</t>
  </si>
  <si>
    <t>Q3 Unlevered Free Cash Flow:</t>
  </si>
  <si>
    <t>FY25- Q1</t>
  </si>
  <si>
    <t>FY25- Q2</t>
  </si>
  <si>
    <t>Summary of Operational Performance:</t>
  </si>
  <si>
    <t>CAGR:</t>
  </si>
  <si>
    <t>Segment-Level Statistics:</t>
  </si>
  <si>
    <t>Product Revenue</t>
  </si>
  <si>
    <t>Company-Wide:</t>
  </si>
  <si>
    <t>Revenue Growth:</t>
  </si>
  <si>
    <t>Gross Profit:</t>
  </si>
  <si>
    <t>Profit Margin:</t>
  </si>
  <si>
    <t>Ebit Margin:</t>
  </si>
  <si>
    <t>Comprehensive Income:</t>
  </si>
  <si>
    <t>Basic Earnings per Share (EPS):</t>
  </si>
  <si>
    <t>$ as Stated</t>
  </si>
  <si>
    <t>Capital expenditures:</t>
  </si>
  <si>
    <t>% Revenue:</t>
  </si>
  <si>
    <t xml:space="preserve">Cash Flow From Operations: </t>
  </si>
  <si>
    <t>Cash Flow From Investing:</t>
  </si>
  <si>
    <t>Cash Flows From Financing Activities:</t>
  </si>
  <si>
    <t xml:space="preserve">Total Assets: </t>
  </si>
  <si>
    <t>Cash and Cash Equivalents:</t>
  </si>
  <si>
    <t>EBITDA Margin:</t>
  </si>
  <si>
    <t>Summary of Valuation Multiples:</t>
  </si>
  <si>
    <t>EV / Revenue - Comparables:</t>
  </si>
  <si>
    <t>x</t>
  </si>
  <si>
    <t>Projected Revenue Growth - Comparables:</t>
  </si>
  <si>
    <t>EV / EBITDA - Comparables:</t>
  </si>
  <si>
    <t>Projected EBITDA Growth - Comparables:</t>
  </si>
  <si>
    <t>P / E - Comparables: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</si>
  <si>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</si>
  <si>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</si>
  <si>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</si>
  <si>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</si>
  <si>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</si>
  <si>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Comparable Companies - Unlevered Beta Calculation:</t>
  </si>
  <si>
    <t>Levered</t>
  </si>
  <si>
    <t>Unlevered</t>
  </si>
  <si>
    <t>% Debt</t>
  </si>
  <si>
    <t>Stock</t>
  </si>
  <si>
    <t>% Preferred</t>
  </si>
  <si>
    <t>% Equity</t>
  </si>
  <si>
    <t>Median: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</si>
  <si>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</si>
  <si>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</si>
  <si>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</si>
  <si>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</si>
  <si>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</si>
  <si>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WACC, Current Capital Structure:</t>
  </si>
  <si>
    <t>WACC, "Optimal" Capital Structure:</t>
  </si>
  <si>
    <t>WACC, Current Capital Structure and Historical Cost of Equity:</t>
  </si>
  <si>
    <t>Average WACC Produced by All Methods:</t>
  </si>
  <si>
    <t>Close </t>
  </si>
  <si>
    <t>Volume</t>
  </si>
  <si>
    <t>Price Target</t>
  </si>
  <si>
    <t>52 Week High - Low</t>
  </si>
  <si>
    <t>Shares Outstanding - Mil</t>
  </si>
  <si>
    <t>Market Cap - Mil</t>
  </si>
  <si>
    <t>Book Value / Share</t>
  </si>
  <si>
    <t>Cash per Share</t>
  </si>
  <si>
    <t xml:space="preserve">Dividend </t>
  </si>
  <si>
    <t>$18.41-$46.50</t>
  </si>
  <si>
    <t>$B 2.183</t>
  </si>
  <si>
    <t>Key Stats</t>
  </si>
  <si>
    <t>Initiation Date:</t>
  </si>
  <si>
    <t>Initiation Price: $22.63</t>
  </si>
  <si>
    <t>Current Price:</t>
  </si>
  <si>
    <t>Target Price:</t>
  </si>
  <si>
    <t>Initiation Date</t>
  </si>
  <si>
    <t>Initiation Price</t>
  </si>
  <si>
    <t>Reported Income Statement and Cash Flow Statement Figures from Q3:</t>
  </si>
  <si>
    <t>Model Name:</t>
  </si>
  <si>
    <t>Operating Model and Valuation (5-Year Forecast)</t>
  </si>
  <si>
    <t>Author:</t>
  </si>
  <si>
    <t>Glenn Rentrop</t>
  </si>
  <si>
    <t>File Name:</t>
  </si>
  <si>
    <t>Analysis Date:</t>
  </si>
  <si>
    <t>Navigation, Summary, or Graph Worksheet:</t>
  </si>
  <si>
    <t>Financial Model Worksheet:</t>
  </si>
  <si>
    <t>Data and Back-End Calculation Worksheet:</t>
  </si>
  <si>
    <t>Sheet Name</t>
  </si>
  <si>
    <t>Link to Sheet</t>
  </si>
  <si>
    <t>Model and Valuation Summary</t>
  </si>
  <si>
    <t>Summary</t>
  </si>
  <si>
    <t>Graphs and Dashboard</t>
  </si>
  <si>
    <t>Graphs</t>
  </si>
  <si>
    <t>Operating Scenarios and 3-Statement Model</t>
  </si>
  <si>
    <t>Model</t>
  </si>
  <si>
    <t>Revenue Drivers, Scenario Analysis, Capex, D&amp;A</t>
  </si>
  <si>
    <t>Drivers</t>
  </si>
  <si>
    <t>Stub Period Results from Q1</t>
  </si>
  <si>
    <t>Q3</t>
  </si>
  <si>
    <t>Weighted Average Cost of Capital (WACC) Calculations</t>
  </si>
  <si>
    <t>WACC</t>
  </si>
  <si>
    <t>Valuation Summary - Back-End Calculations</t>
  </si>
  <si>
    <t>ValSum</t>
  </si>
  <si>
    <t>Valuation "Football Field" Chart</t>
  </si>
  <si>
    <t>ValGraph</t>
  </si>
  <si>
    <t>Comparable Public Companies - Output</t>
  </si>
  <si>
    <t>PubComps</t>
  </si>
  <si>
    <t>Comparable Public Companies - Data and Calculations</t>
  </si>
  <si>
    <t>PubComps_Data</t>
  </si>
  <si>
    <t>rNPV</t>
  </si>
  <si>
    <t>DCF valuation, rNPV's by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</si>
</sst>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FY&quot;\ yy"/>
    <numFmt numFmtId="165" formatCode="_(* #,##0.0_);_(* \(#,##0.0\);_(* &quot;-&quot;?_);_(@_)"/>
    <numFmt numFmtId="166" formatCode="_([$$-409]* #,##0.00_);_([$$-409]* \(#,##0.00\);_([$$-409]* &quot;-&quot;??_);_(@_)"/>
    <numFmt numFmtId="167" formatCode="_(* #,##0.0_);_(* \(#,##0.0\);_(* &quot;-&quot;???_);_(@_)"/>
    <numFmt numFmtId="168" formatCode="0.0%;\(0.0%\)"/>
    <numFmt numFmtId="169" formatCode="_(#,##0.00%_);\(#,##0.00%\);_(&quot;–&quot;_)_%;_(@_)_%"/>
    <numFmt numFmtId="170" formatCode="_(* #,##0_);_(* \(#,##0\);_(* &quot;-&quot;????_);_(@_)"/>
    <numFmt numFmtId="171" formatCode="#,##0_);\(#,##0\);&quot;OK!&quot;;&quot;Error&quot;"/>
    <numFmt numFmtId="172" formatCode="_(* #,##0.00_);_(* \(#,##0.00\);_(* &quot;-&quot;_);_(@_)"/>
    <numFmt numFmtId="173" formatCode="0.0%"/>
    <numFmt numFmtId="174" formatCode="_(0.0\ \x_);\(0.0\ \x\);_(&quot;–&quot;_);_(@_)"/>
    <numFmt numFmtId="175" formatCode="_(&quot;$&quot;* #,##0.0_);_(&quot;$&quot;* \(#,##0.0\);_(&quot;$&quot;* &quot;-&quot;?_);_(@_)"/>
    <numFmt numFmtId="176" formatCode="0.0\ \x"/>
    <numFmt numFmtId="177" formatCode="_(* #,##0_);_(* \(#,##0\);_(* &quot;-&quot;???_);_(@_)"/>
    <numFmt numFmtId="178" formatCode="_(&quot;$&quot;* #,##0_);_(&quot;$&quot;* \(#,##0\);_(&quot;$&quot;* &quot;-&quot;?_);_(@_)"/>
    <numFmt numFmtId="179" formatCode="0.00%;\(0.00%\)"/>
    <numFmt numFmtId="180" formatCode="_([$$-409]* #,##0_);_([$$-409]* \(#,##0\);_([$$-409]* &quot;-&quot;??_);_(@_)"/>
    <numFmt numFmtId="181" formatCode="_(* #,##0_);_(* \(#,##0\);_(* &quot;-&quot;?_);_(@_)"/>
    <numFmt numFmtId="182" formatCode="_(* #,##0.0_);_(* \(#,##0.0\);_(* &quot;-&quot;_);_(@_)"/>
    <numFmt numFmtId="183" formatCode="_(&quot;$&quot;* #,##0.00_);_(&quot;$&quot;* \(#,##0.00\);_(&quot;$&quot;* &quot;-&quot;?_);_(@_)"/>
    <numFmt numFmtId="184" formatCode="0.0%_);\(0.0%\);\-_%_);@_)"/>
    <numFmt numFmtId="185" formatCode="yyyy\-mm\-dd"/>
    <numFmt numFmtId="186" formatCode="_(0.0%_);\(0.0%\);_(&quot;–&quot;_)_%;_(@_)_%"/>
    <numFmt numFmtId="187" formatCode="#,##0.000"/>
    <numFmt numFmtId="188" formatCode="0.0\ \x;[Red]\ 0.0\ \x"/>
    <numFmt numFmtId="189" formatCode="&quot;FY&quot;yy"/>
    <numFmt numFmtId="190" formatCode="_(&quot;$&quot;* #,##0.0_);_(&quot;$&quot;* \(#,##0.0\);_(&quot;$&quot;* &quot;-&quot;??_);_(@_)"/>
    <numFmt numFmtId="191" formatCode="_(#,##0.0%_);\(#,##0.0%\);_(&quot;–&quot;_)_%;_(@_)_%"/>
    <numFmt numFmtId="192" formatCode="_(* #,##0.0_);_(* \(#,##0.0\);_(* &quot;-&quot;??_);_(@_)"/>
    <numFmt numFmtId="193" formatCode="_(&quot;$&quot;* #,##0.00_);_(&quot;$&quot;* \(#,##0.00\);_(&quot;$&quot;* &quot;-&quot;_);_(@_)"/>
    <numFmt numFmtId="194" formatCode="0.0\ \x;\(0.0\ \x\)"/>
    <numFmt numFmtId="195" formatCode="0.0%;\(0.0%\);\-_)_%;@_)_%"/>
    <numFmt numFmtId="196" formatCode="_(* #,##0.00_);_(* \(#,##0.00\);_(* &quot;-&quot;???_);_(@_)"/>
    <numFmt numFmtId="197" formatCode="_(&quot;$&quot;* #,##0_);_(&quot;$&quot;* \(#,##0\);_(&quot;$&quot;* &quot;-&quot;??_);_(@_)"/>
    <numFmt numFmtId="198" formatCode="_(0.00%_);\(0.00%\);_(&quot;–&quot;_)_%;_(@_)_%"/>
    <numFmt numFmtId="199" formatCode="_(#,##0.00_);\(#,##0.00\);_(&quot;–&quot;_);_(@_)"/>
    <numFmt numFmtId="200" formatCode="_(#,##0.00_)_%;\(#,##0.00\)_%;_(&quot;–&quot;_)_%;_(@_)_%"/>
    <numFmt numFmtId="201" formatCode="_(#,##0_)_%;\(#,##0\)_%;_(&quot;–&quot;_)_%;_(@_)_%"/>
  </numFmts>
  <fonts count="6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</font>
    <font>
      <sz val="10"/>
      <name val="Arial"/>
      <family val="2"/>
    </font>
    <font>
      <sz val="12"/>
      <color theme="1"/>
      <name val="Aptos Narrow"/>
      <family val="2"/>
    </font>
    <font>
      <b/>
      <sz val="12"/>
      <color theme="0"/>
      <name val="Aptos Narrow"/>
      <family val="2"/>
    </font>
    <font>
      <b/>
      <i/>
      <sz val="12"/>
      <color theme="1"/>
      <name val="Aptos Narrow"/>
      <family val="2"/>
    </font>
    <font>
      <i/>
      <sz val="12"/>
      <color theme="1"/>
      <name val="Aptos Narrow"/>
      <family val="2"/>
    </font>
    <font>
      <b/>
      <sz val="12"/>
      <name val="Aptos Narrow"/>
      <family val="2"/>
    </font>
    <font>
      <i/>
      <sz val="12"/>
      <name val="Aptos Narrow"/>
      <family val="2"/>
    </font>
    <font>
      <b/>
      <i/>
      <sz val="12"/>
      <color rgb="FF0000FF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i/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u/>
      <sz val="12"/>
      <color indexed="9"/>
      <name val="Aptos Narrow"/>
      <family val="2"/>
      <scheme val="minor"/>
    </font>
    <font>
      <u/>
      <sz val="12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i/>
      <sz val="12"/>
      <color theme="0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9"/>
      <name val="Aptos Narrow"/>
      <family val="2"/>
      <scheme val="minor"/>
    </font>
    <font>
      <sz val="11"/>
      <name val="Aptos Narrow"/>
      <family val="2"/>
      <scheme val="minor"/>
    </font>
    <font>
      <sz val="7"/>
      <color rgb="FF232A31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Aptos Narrow"/>
      <family val="2"/>
      <scheme val="minor"/>
    </font>
    <font>
      <sz val="8"/>
      <color indexed="8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1C2B33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i/>
      <sz val="12"/>
      <color rgb="FF00B050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FFFF00"/>
      <name val="Aptos Narrow"/>
      <family val="2"/>
      <scheme val="minor"/>
    </font>
    <font>
      <i/>
      <sz val="12"/>
      <color rgb="FF00B050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sz val="6"/>
      <color rgb="FF232A31"/>
      <name val="Arial"/>
      <family val="2"/>
    </font>
    <font>
      <b/>
      <sz val="10"/>
      <color rgb="FF000000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0000FF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4" fillId="0" borderId="0"/>
    <xf numFmtId="0" fontId="19" fillId="0" borderId="0"/>
    <xf numFmtId="0" fontId="31" fillId="0" borderId="0" applyNumberFormat="0" applyFill="0" applyBorder="0" applyAlignment="0" applyProtection="0"/>
    <xf numFmtId="0" fontId="1" fillId="0" borderId="0"/>
    <xf numFmtId="0" fontId="1" fillId="0" borderId="0"/>
    <xf numFmtId="0" fontId="49" fillId="0" borderId="0" applyAlignment="0"/>
    <xf numFmtId="0" fontId="1" fillId="0" borderId="0"/>
    <xf numFmtId="0" fontId="1" fillId="0" borderId="0"/>
  </cellStyleXfs>
  <cellXfs count="635">
    <xf numFmtId="0" fontId="0" fillId="0" borderId="0" xfId="0"/>
    <xf numFmtId="0" fontId="4" fillId="3" borderId="0" xfId="0" applyFont="1" applyFill="1"/>
    <xf numFmtId="0" fontId="4" fillId="3" borderId="2" xfId="0" applyFont="1" applyFill="1" applyBorder="1"/>
    <xf numFmtId="0" fontId="5" fillId="3" borderId="2" xfId="0" applyFont="1" applyFill="1" applyBorder="1"/>
    <xf numFmtId="0" fontId="4" fillId="3" borderId="3" xfId="0" applyFont="1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164" fontId="5" fillId="3" borderId="0" xfId="0" applyNumberFormat="1" applyFont="1" applyFill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0" xfId="3" applyFont="1"/>
    <xf numFmtId="0" fontId="7" fillId="4" borderId="0" xfId="2" applyFont="1" applyFill="1" applyBorder="1" applyAlignment="1">
      <alignment horizontal="left"/>
    </xf>
    <xf numFmtId="0" fontId="4" fillId="4" borderId="0" xfId="0" applyFont="1" applyFill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4" fontId="7" fillId="4" borderId="0" xfId="0" applyNumberFormat="1" applyFont="1" applyFill="1" applyAlignment="1">
      <alignment horizontal="center"/>
    </xf>
    <xf numFmtId="0" fontId="7" fillId="4" borderId="0" xfId="2" applyFont="1" applyFill="1" applyBorder="1" applyAlignment="1">
      <alignment horizontal="centerContinuous"/>
    </xf>
    <xf numFmtId="166" fontId="10" fillId="4" borderId="0" xfId="3" applyNumberFormat="1" applyFont="1" applyFill="1"/>
    <xf numFmtId="0" fontId="10" fillId="0" borderId="0" xfId="3" applyFont="1"/>
    <xf numFmtId="167" fontId="7" fillId="4" borderId="0" xfId="0" applyNumberFormat="1" applyFont="1" applyFill="1"/>
    <xf numFmtId="168" fontId="10" fillId="4" borderId="0" xfId="2" applyNumberFormat="1" applyFont="1" applyFill="1" applyBorder="1" applyAlignment="1">
      <alignment horizontal="center"/>
    </xf>
    <xf numFmtId="169" fontId="11" fillId="4" borderId="0" xfId="0" applyNumberFormat="1" applyFont="1" applyFill="1" applyAlignment="1">
      <alignment horizontal="center"/>
    </xf>
    <xf numFmtId="170" fontId="7" fillId="4" borderId="0" xfId="0" applyNumberFormat="1" applyFont="1" applyFill="1" applyAlignment="1">
      <alignment horizontal="center"/>
    </xf>
    <xf numFmtId="0" fontId="5" fillId="5" borderId="0" xfId="0" applyFont="1" applyFill="1"/>
    <xf numFmtId="0" fontId="4" fillId="5" borderId="0" xfId="0" applyFont="1" applyFill="1"/>
    <xf numFmtId="0" fontId="3" fillId="0" borderId="0" xfId="0" applyFont="1"/>
    <xf numFmtId="41" fontId="0" fillId="0" borderId="0" xfId="0" applyNumberFormat="1"/>
    <xf numFmtId="41" fontId="3" fillId="0" borderId="0" xfId="0" applyNumberFormat="1" applyFont="1"/>
    <xf numFmtId="0" fontId="0" fillId="0" borderId="0" xfId="0" applyAlignment="1">
      <alignment horizontal="left" indent="1"/>
    </xf>
    <xf numFmtId="0" fontId="0" fillId="0" borderId="5" xfId="0" applyBorder="1" applyAlignment="1">
      <alignment horizontal="left" indent="1"/>
    </xf>
    <xf numFmtId="0" fontId="5" fillId="5" borderId="0" xfId="0" applyFont="1" applyFill="1" applyAlignment="1">
      <alignment vertical="center"/>
    </xf>
    <xf numFmtId="171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43" fontId="4" fillId="0" borderId="0" xfId="0" applyNumberFormat="1" applyFont="1"/>
    <xf numFmtId="172" fontId="4" fillId="0" borderId="0" xfId="0" applyNumberFormat="1" applyFont="1"/>
    <xf numFmtId="41" fontId="4" fillId="0" borderId="0" xfId="0" applyNumberFormat="1" applyFont="1"/>
    <xf numFmtId="0" fontId="12" fillId="0" borderId="0" xfId="0" applyFont="1" applyAlignment="1">
      <alignment horizontal="center"/>
    </xf>
    <xf numFmtId="41" fontId="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73" fontId="14" fillId="0" borderId="0" xfId="1" applyNumberFormat="1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173" fontId="12" fillId="0" borderId="0" xfId="1" applyNumberFormat="1" applyFont="1" applyFill="1" applyBorder="1" applyAlignment="1">
      <alignment vertical="center"/>
    </xf>
    <xf numFmtId="9" fontId="0" fillId="0" borderId="0" xfId="0" applyNumberFormat="1"/>
    <xf numFmtId="0" fontId="14" fillId="0" borderId="0" xfId="0" applyFont="1" applyAlignment="1">
      <alignment horizontal="left" vertical="center" indent="1"/>
    </xf>
    <xf numFmtId="41" fontId="13" fillId="0" borderId="0" xfId="0" applyNumberFormat="1" applyFont="1"/>
    <xf numFmtId="0" fontId="14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42" fontId="13" fillId="0" borderId="0" xfId="0" applyNumberFormat="1" applyFont="1"/>
    <xf numFmtId="0" fontId="4" fillId="0" borderId="0" xfId="0" applyFont="1" applyAlignment="1">
      <alignment horizontal="center"/>
    </xf>
    <xf numFmtId="41" fontId="4" fillId="0" borderId="0" xfId="0" applyNumberFormat="1" applyFont="1" applyAlignment="1">
      <alignment horizontal="center"/>
    </xf>
    <xf numFmtId="41" fontId="4" fillId="0" borderId="5" xfId="0" applyNumberFormat="1" applyFont="1" applyBorder="1"/>
    <xf numFmtId="0" fontId="4" fillId="0" borderId="5" xfId="0" applyFont="1" applyBorder="1" applyAlignment="1">
      <alignment horizontal="left" indent="1"/>
    </xf>
    <xf numFmtId="3" fontId="4" fillId="0" borderId="0" xfId="0" applyNumberFormat="1" applyFont="1"/>
    <xf numFmtId="9" fontId="0" fillId="0" borderId="0" xfId="1" applyFont="1"/>
    <xf numFmtId="9" fontId="4" fillId="0" borderId="0" xfId="1" applyFont="1"/>
    <xf numFmtId="0" fontId="5" fillId="5" borderId="0" xfId="0" applyFont="1" applyFill="1" applyAlignment="1">
      <alignment horizontal="left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17" fillId="0" borderId="0" xfId="0" applyFont="1"/>
    <xf numFmtId="0" fontId="13" fillId="0" borderId="0" xfId="0" applyFont="1"/>
    <xf numFmtId="0" fontId="13" fillId="6" borderId="5" xfId="0" applyFont="1" applyFill="1" applyBorder="1"/>
    <xf numFmtId="0" fontId="13" fillId="6" borderId="0" xfId="0" applyFont="1" applyFill="1"/>
    <xf numFmtId="0" fontId="4" fillId="6" borderId="0" xfId="0" applyFont="1" applyFill="1"/>
    <xf numFmtId="0" fontId="17" fillId="6" borderId="0" xfId="0" applyFont="1" applyFill="1"/>
    <xf numFmtId="174" fontId="11" fillId="0" borderId="0" xfId="0" applyNumberFormat="1" applyFont="1" applyAlignment="1">
      <alignment horizontal="center"/>
    </xf>
    <xf numFmtId="6" fontId="13" fillId="4" borderId="0" xfId="0" applyNumberFormat="1" applyFont="1" applyFill="1"/>
    <xf numFmtId="174" fontId="10" fillId="0" borderId="0" xfId="3" applyNumberFormat="1" applyFont="1"/>
    <xf numFmtId="0" fontId="4" fillId="0" borderId="5" xfId="0" applyFont="1" applyBorder="1"/>
    <xf numFmtId="175" fontId="17" fillId="0" borderId="0" xfId="3" applyNumberFormat="1" applyFont="1"/>
    <xf numFmtId="176" fontId="10" fillId="4" borderId="0" xfId="3" applyNumberFormat="1" applyFont="1" applyFill="1" applyAlignment="1">
      <alignment horizontal="center"/>
    </xf>
    <xf numFmtId="44" fontId="13" fillId="0" borderId="0" xfId="0" applyNumberFormat="1" applyFont="1" applyAlignment="1">
      <alignment horizontal="right"/>
    </xf>
    <xf numFmtId="176" fontId="7" fillId="4" borderId="0" xfId="3" applyNumberFormat="1" applyFont="1" applyFill="1" applyAlignment="1">
      <alignment horizontal="center"/>
    </xf>
    <xf numFmtId="9" fontId="13" fillId="0" borderId="0" xfId="1" applyFont="1" applyFill="1" applyAlignment="1">
      <alignment horizontal="right"/>
    </xf>
    <xf numFmtId="0" fontId="10" fillId="0" borderId="5" xfId="3" applyFont="1" applyBorder="1"/>
    <xf numFmtId="168" fontId="7" fillId="0" borderId="0" xfId="2" applyNumberFormat="1" applyFont="1" applyFill="1" applyBorder="1" applyAlignment="1">
      <alignment horizontal="center"/>
    </xf>
    <xf numFmtId="176" fontId="7" fillId="0" borderId="0" xfId="3" applyNumberFormat="1" applyFont="1" applyAlignment="1">
      <alignment horizontal="center"/>
    </xf>
    <xf numFmtId="0" fontId="4" fillId="0" borderId="0" xfId="0" applyFont="1" applyAlignment="1">
      <alignment horizontal="right"/>
    </xf>
    <xf numFmtId="177" fontId="7" fillId="4" borderId="0" xfId="0" applyNumberFormat="1" applyFont="1" applyFill="1"/>
    <xf numFmtId="41" fontId="4" fillId="4" borderId="5" xfId="0" applyNumberFormat="1" applyFont="1" applyFill="1" applyBorder="1"/>
    <xf numFmtId="178" fontId="4" fillId="0" borderId="0" xfId="0" applyNumberFormat="1" applyFont="1"/>
    <xf numFmtId="44" fontId="13" fillId="7" borderId="0" xfId="0" applyNumberFormat="1" applyFont="1" applyFill="1"/>
    <xf numFmtId="168" fontId="10" fillId="0" borderId="0" xfId="2" applyNumberFormat="1" applyFont="1" applyFill="1" applyBorder="1" applyAlignment="1">
      <alignment horizontal="center"/>
    </xf>
    <xf numFmtId="179" fontId="8" fillId="0" borderId="0" xfId="4" applyNumberFormat="1" applyFont="1" applyAlignment="1">
      <alignment horizontal="center"/>
    </xf>
    <xf numFmtId="173" fontId="11" fillId="4" borderId="0" xfId="0" applyNumberFormat="1" applyFont="1" applyFill="1" applyAlignment="1">
      <alignment horizontal="center"/>
    </xf>
    <xf numFmtId="173" fontId="11" fillId="0" borderId="0" xfId="0" applyNumberFormat="1" applyFont="1" applyAlignment="1">
      <alignment horizontal="center"/>
    </xf>
    <xf numFmtId="0" fontId="10" fillId="0" borderId="0" xfId="3" applyFont="1" applyAlignment="1">
      <alignment horizontal="left" indent="1"/>
    </xf>
    <xf numFmtId="180" fontId="10" fillId="0" borderId="0" xfId="3" applyNumberFormat="1" applyFont="1"/>
    <xf numFmtId="0" fontId="17" fillId="6" borderId="0" xfId="3" applyFont="1" applyFill="1"/>
    <xf numFmtId="0" fontId="6" fillId="6" borderId="0" xfId="3" applyFont="1" applyFill="1"/>
    <xf numFmtId="42" fontId="17" fillId="6" borderId="0" xfId="0" applyNumberFormat="1" applyFont="1" applyFill="1"/>
    <xf numFmtId="0" fontId="10" fillId="0" borderId="5" xfId="3" applyFont="1" applyBorder="1" applyAlignment="1">
      <alignment horizontal="left" indent="1"/>
    </xf>
    <xf numFmtId="180" fontId="10" fillId="0" borderId="5" xfId="3" applyNumberFormat="1" applyFont="1" applyBorder="1"/>
    <xf numFmtId="41" fontId="10" fillId="4" borderId="0" xfId="0" applyNumberFormat="1" applyFont="1" applyFill="1"/>
    <xf numFmtId="0" fontId="17" fillId="6" borderId="0" xfId="3" applyFont="1" applyFill="1" applyAlignment="1">
      <alignment horizontal="left"/>
    </xf>
    <xf numFmtId="0" fontId="10" fillId="6" borderId="0" xfId="3" applyFont="1" applyFill="1"/>
    <xf numFmtId="180" fontId="13" fillId="6" borderId="0" xfId="0" applyNumberFormat="1" applyFont="1" applyFill="1"/>
    <xf numFmtId="165" fontId="4" fillId="0" borderId="0" xfId="0" applyNumberFormat="1" applyFont="1"/>
    <xf numFmtId="0" fontId="6" fillId="0" borderId="0" xfId="3" applyFont="1" applyAlignment="1">
      <alignment horizontal="left" indent="1"/>
    </xf>
    <xf numFmtId="9" fontId="6" fillId="0" borderId="0" xfId="1" applyFont="1"/>
    <xf numFmtId="181" fontId="10" fillId="4" borderId="0" xfId="3" applyNumberFormat="1" applyFont="1" applyFill="1"/>
    <xf numFmtId="0" fontId="10" fillId="0" borderId="0" xfId="3" applyFont="1" applyAlignment="1">
      <alignment horizontal="left"/>
    </xf>
    <xf numFmtId="0" fontId="17" fillId="6" borderId="6" xfId="3" applyFont="1" applyFill="1" applyBorder="1"/>
    <xf numFmtId="42" fontId="17" fillId="6" borderId="6" xfId="3" applyNumberFormat="1" applyFont="1" applyFill="1" applyBorder="1"/>
    <xf numFmtId="165" fontId="10" fillId="0" borderId="0" xfId="3" applyNumberFormat="1" applyFont="1"/>
    <xf numFmtId="0" fontId="17" fillId="6" borderId="5" xfId="3" applyFont="1" applyFill="1" applyBorder="1" applyAlignment="1">
      <alignment horizontal="left"/>
    </xf>
    <xf numFmtId="0" fontId="10" fillId="6" borderId="5" xfId="3" applyFont="1" applyFill="1" applyBorder="1"/>
    <xf numFmtId="180" fontId="13" fillId="6" borderId="5" xfId="0" applyNumberFormat="1" applyFont="1" applyFill="1" applyBorder="1"/>
    <xf numFmtId="0" fontId="17" fillId="0" borderId="0" xfId="3" applyFont="1" applyAlignment="1">
      <alignment horizontal="left"/>
    </xf>
    <xf numFmtId="166" fontId="13" fillId="0" borderId="0" xfId="0" applyNumberFormat="1" applyFont="1"/>
    <xf numFmtId="182" fontId="4" fillId="0" borderId="0" xfId="0" applyNumberFormat="1" applyFont="1"/>
    <xf numFmtId="0" fontId="17" fillId="0" borderId="0" xfId="3" applyFont="1"/>
    <xf numFmtId="173" fontId="13" fillId="0" borderId="0" xfId="0" applyNumberFormat="1" applyFont="1"/>
    <xf numFmtId="0" fontId="20" fillId="3" borderId="0" xfId="0" applyFont="1" applyFill="1"/>
    <xf numFmtId="0" fontId="21" fillId="3" borderId="0" xfId="0" applyFont="1" applyFill="1"/>
    <xf numFmtId="0" fontId="21" fillId="3" borderId="0" xfId="0" applyFont="1" applyFill="1" applyAlignment="1">
      <alignment horizontal="center"/>
    </xf>
    <xf numFmtId="0" fontId="21" fillId="3" borderId="0" xfId="0" applyFont="1" applyFill="1" applyAlignment="1">
      <alignment horizontal="right"/>
    </xf>
    <xf numFmtId="0" fontId="20" fillId="0" borderId="0" xfId="0" applyFont="1"/>
    <xf numFmtId="0" fontId="21" fillId="5" borderId="0" xfId="0" applyFont="1" applyFill="1"/>
    <xf numFmtId="0" fontId="20" fillId="5" borderId="0" xfId="0" applyFont="1" applyFill="1"/>
    <xf numFmtId="9" fontId="4" fillId="5" borderId="0" xfId="1" applyFont="1" applyFill="1"/>
    <xf numFmtId="0" fontId="18" fillId="0" borderId="0" xfId="0" applyFont="1"/>
    <xf numFmtId="0" fontId="1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42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23" fillId="0" borderId="0" xfId="0" applyFont="1" applyAlignment="1">
      <alignment horizontal="center"/>
    </xf>
    <xf numFmtId="41" fontId="20" fillId="0" borderId="0" xfId="0" applyNumberFormat="1" applyFont="1"/>
    <xf numFmtId="0" fontId="20" fillId="0" borderId="5" xfId="0" applyFont="1" applyBorder="1" applyAlignment="1">
      <alignment horizontal="left" indent="1"/>
    </xf>
    <xf numFmtId="41" fontId="20" fillId="0" borderId="5" xfId="0" applyNumberFormat="1" applyFont="1" applyBorder="1"/>
    <xf numFmtId="42" fontId="18" fillId="0" borderId="0" xfId="0" applyNumberFormat="1" applyFont="1"/>
    <xf numFmtId="42" fontId="20" fillId="0" borderId="5" xfId="0" applyNumberFormat="1" applyFont="1" applyBorder="1"/>
    <xf numFmtId="0" fontId="23" fillId="0" borderId="0" xfId="0" applyFont="1" applyAlignment="1">
      <alignment horizontal="left" indent="1"/>
    </xf>
    <xf numFmtId="9" fontId="23" fillId="0" borderId="0" xfId="1" applyFont="1"/>
    <xf numFmtId="9" fontId="23" fillId="0" borderId="5" xfId="1" applyFont="1" applyBorder="1"/>
    <xf numFmtId="42" fontId="18" fillId="0" borderId="0" xfId="1" applyNumberFormat="1" applyFont="1"/>
    <xf numFmtId="0" fontId="24" fillId="0" borderId="0" xfId="3" applyFont="1"/>
    <xf numFmtId="0" fontId="25" fillId="0" borderId="0" xfId="3" applyFont="1" applyAlignment="1">
      <alignment horizontal="left" indent="1"/>
    </xf>
    <xf numFmtId="9" fontId="23" fillId="0" borderId="0" xfId="1" applyFont="1" applyFill="1" applyBorder="1"/>
    <xf numFmtId="42" fontId="20" fillId="0" borderId="0" xfId="0" applyNumberFormat="1" applyFont="1"/>
    <xf numFmtId="9" fontId="23" fillId="0" borderId="0" xfId="1" applyFont="1" applyBorder="1"/>
    <xf numFmtId="0" fontId="4" fillId="8" borderId="7" xfId="0" applyFont="1" applyFill="1" applyBorder="1"/>
    <xf numFmtId="0" fontId="4" fillId="8" borderId="6" xfId="0" applyFont="1" applyFill="1" applyBorder="1"/>
    <xf numFmtId="0" fontId="21" fillId="8" borderId="6" xfId="3" applyFont="1" applyFill="1" applyBorder="1" applyAlignment="1">
      <alignment horizontal="center"/>
    </xf>
    <xf numFmtId="0" fontId="5" fillId="8" borderId="6" xfId="0" applyFont="1" applyFill="1" applyBorder="1"/>
    <xf numFmtId="0" fontId="4" fillId="8" borderId="8" xfId="0" applyFont="1" applyFill="1" applyBorder="1"/>
    <xf numFmtId="183" fontId="5" fillId="8" borderId="11" xfId="0" applyNumberFormat="1" applyFont="1" applyFill="1" applyBorder="1" applyAlignment="1">
      <alignment horizontal="center"/>
    </xf>
    <xf numFmtId="184" fontId="26" fillId="8" borderId="0" xfId="0" applyNumberFormat="1" applyFont="1" applyFill="1"/>
    <xf numFmtId="184" fontId="27" fillId="8" borderId="0" xfId="0" applyNumberFormat="1" applyFont="1" applyFill="1"/>
    <xf numFmtId="173" fontId="26" fillId="8" borderId="11" xfId="1" applyNumberFormat="1" applyFont="1" applyFill="1" applyBorder="1" applyAlignment="1">
      <alignment horizontal="center"/>
    </xf>
    <xf numFmtId="43" fontId="13" fillId="6" borderId="0" xfId="0" applyNumberFormat="1" applyFont="1" applyFill="1"/>
    <xf numFmtId="43" fontId="4" fillId="0" borderId="12" xfId="0" applyNumberFormat="1" applyFont="1" applyBorder="1"/>
    <xf numFmtId="173" fontId="27" fillId="8" borderId="11" xfId="1" applyNumberFormat="1" applyFont="1" applyFill="1" applyBorder="1" applyAlignment="1">
      <alignment horizontal="center"/>
    </xf>
    <xf numFmtId="0" fontId="13" fillId="0" borderId="0" xfId="0" applyFont="1" applyAlignment="1">
      <alignment horizontal="right"/>
    </xf>
    <xf numFmtId="43" fontId="13" fillId="6" borderId="12" xfId="0" applyNumberFormat="1" applyFont="1" applyFill="1" applyBorder="1"/>
    <xf numFmtId="43" fontId="4" fillId="0" borderId="5" xfId="0" applyNumberFormat="1" applyFont="1" applyBorder="1"/>
    <xf numFmtId="43" fontId="13" fillId="6" borderId="5" xfId="0" applyNumberFormat="1" applyFont="1" applyFill="1" applyBorder="1"/>
    <xf numFmtId="43" fontId="4" fillId="0" borderId="10" xfId="0" applyNumberFormat="1" applyFont="1" applyBorder="1"/>
    <xf numFmtId="173" fontId="26" fillId="8" borderId="11" xfId="0" applyNumberFormat="1" applyFont="1" applyFill="1" applyBorder="1" applyAlignment="1">
      <alignment horizontal="center"/>
    </xf>
    <xf numFmtId="173" fontId="27" fillId="8" borderId="11" xfId="0" applyNumberFormat="1" applyFont="1" applyFill="1" applyBorder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left"/>
    </xf>
    <xf numFmtId="10" fontId="4" fillId="0" borderId="0" xfId="0" applyNumberFormat="1" applyFont="1"/>
    <xf numFmtId="9" fontId="4" fillId="0" borderId="0" xfId="1" applyFont="1" applyFill="1"/>
    <xf numFmtId="9" fontId="4" fillId="0" borderId="0" xfId="1" applyFont="1" applyFill="1" applyBorder="1"/>
    <xf numFmtId="0" fontId="0" fillId="3" borderId="0" xfId="0" applyFill="1"/>
    <xf numFmtId="0" fontId="2" fillId="3" borderId="0" xfId="0" applyFont="1" applyFill="1"/>
    <xf numFmtId="41" fontId="0" fillId="10" borderId="0" xfId="0" applyNumberFormat="1" applyFill="1"/>
    <xf numFmtId="41" fontId="7" fillId="4" borderId="5" xfId="0" applyNumberFormat="1" applyFont="1" applyFill="1" applyBorder="1"/>
    <xf numFmtId="42" fontId="13" fillId="4" borderId="0" xfId="0" applyNumberFormat="1" applyFont="1" applyFill="1"/>
    <xf numFmtId="9" fontId="14" fillId="0" borderId="0" xfId="1" applyFont="1" applyFill="1"/>
    <xf numFmtId="41" fontId="7" fillId="0" borderId="0" xfId="0" applyNumberFormat="1" applyFont="1"/>
    <xf numFmtId="41" fontId="7" fillId="0" borderId="5" xfId="0" applyNumberFormat="1" applyFont="1" applyBorder="1"/>
    <xf numFmtId="9" fontId="4" fillId="0" borderId="0" xfId="0" applyNumberFormat="1" applyFont="1"/>
    <xf numFmtId="42" fontId="4" fillId="0" borderId="0" xfId="0" applyNumberFormat="1" applyFont="1"/>
    <xf numFmtId="3" fontId="4" fillId="5" borderId="0" xfId="0" applyNumberFormat="1" applyFont="1" applyFill="1"/>
    <xf numFmtId="42" fontId="13" fillId="5" borderId="0" xfId="0" applyNumberFormat="1" applyFont="1" applyFill="1"/>
    <xf numFmtId="42" fontId="28" fillId="0" borderId="0" xfId="0" applyNumberFormat="1" applyFont="1"/>
    <xf numFmtId="42" fontId="14" fillId="0" borderId="0" xfId="0" applyNumberFormat="1" applyFont="1" applyAlignment="1">
      <alignment horizontal="left" indent="1"/>
    </xf>
    <xf numFmtId="3" fontId="4" fillId="4" borderId="0" xfId="0" applyNumberFormat="1" applyFont="1" applyFill="1"/>
    <xf numFmtId="9" fontId="4" fillId="4" borderId="0" xfId="1" applyFont="1" applyFill="1"/>
    <xf numFmtId="41" fontId="4" fillId="4" borderId="0" xfId="0" applyNumberFormat="1" applyFont="1" applyFill="1"/>
    <xf numFmtId="9" fontId="14" fillId="0" borderId="0" xfId="1" applyFont="1"/>
    <xf numFmtId="9" fontId="14" fillId="4" borderId="0" xfId="0" applyNumberFormat="1" applyFont="1" applyFill="1"/>
    <xf numFmtId="10" fontId="4" fillId="4" borderId="0" xfId="0" applyNumberFormat="1" applyFont="1" applyFill="1"/>
    <xf numFmtId="0" fontId="13" fillId="0" borderId="0" xfId="0" applyFont="1" applyAlignment="1">
      <alignment horizontal="center"/>
    </xf>
    <xf numFmtId="41" fontId="13" fillId="4" borderId="0" xfId="0" applyNumberFormat="1" applyFont="1" applyFill="1"/>
    <xf numFmtId="9" fontId="13" fillId="4" borderId="0" xfId="0" applyNumberFormat="1" applyFont="1" applyFill="1"/>
    <xf numFmtId="42" fontId="4" fillId="4" borderId="5" xfId="0" applyNumberFormat="1" applyFont="1" applyFill="1" applyBorder="1"/>
    <xf numFmtId="9" fontId="13" fillId="0" borderId="0" xfId="0" applyNumberFormat="1" applyFont="1"/>
    <xf numFmtId="9" fontId="14" fillId="4" borderId="0" xfId="1" applyFont="1" applyFill="1"/>
    <xf numFmtId="3" fontId="13" fillId="0" borderId="0" xfId="0" applyNumberFormat="1" applyFont="1"/>
    <xf numFmtId="42" fontId="4" fillId="0" borderId="5" xfId="0" applyNumberFormat="1" applyFont="1" applyBorder="1"/>
    <xf numFmtId="9" fontId="13" fillId="4" borderId="0" xfId="0" applyNumberFormat="1" applyFont="1" applyFill="1" applyAlignment="1">
      <alignment horizontal="center"/>
    </xf>
    <xf numFmtId="41" fontId="4" fillId="4" borderId="0" xfId="1" applyNumberFormat="1" applyFont="1" applyFill="1"/>
    <xf numFmtId="173" fontId="4" fillId="0" borderId="0" xfId="0" applyNumberFormat="1" applyFont="1"/>
    <xf numFmtId="9" fontId="13" fillId="4" borderId="0" xfId="1" applyFont="1" applyFill="1" applyBorder="1"/>
    <xf numFmtId="9" fontId="4" fillId="4" borderId="0" xfId="1" applyFont="1" applyFill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right"/>
    </xf>
    <xf numFmtId="164" fontId="5" fillId="5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9" fontId="20" fillId="0" borderId="0" xfId="0" applyNumberFormat="1" applyFont="1" applyAlignment="1">
      <alignment horizontal="center"/>
    </xf>
    <xf numFmtId="42" fontId="29" fillId="0" borderId="0" xfId="0" applyNumberFormat="1" applyFont="1" applyAlignment="1">
      <alignment horizontal="center"/>
    </xf>
    <xf numFmtId="41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13" fillId="10" borderId="0" xfId="0" applyFont="1" applyFill="1" applyAlignment="1">
      <alignment horizontal="center"/>
    </xf>
    <xf numFmtId="0" fontId="14" fillId="0" borderId="0" xfId="0" applyFont="1"/>
    <xf numFmtId="0" fontId="4" fillId="5" borderId="0" xfId="0" applyFont="1" applyFill="1" applyAlignment="1">
      <alignment horizontal="center"/>
    </xf>
    <xf numFmtId="9" fontId="1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9" fontId="14" fillId="4" borderId="0" xfId="1" applyFont="1" applyFill="1" applyBorder="1"/>
    <xf numFmtId="173" fontId="14" fillId="0" borderId="0" xfId="0" applyNumberFormat="1" applyFont="1"/>
    <xf numFmtId="173" fontId="14" fillId="4" borderId="0" xfId="0" applyNumberFormat="1" applyFont="1" applyFill="1"/>
    <xf numFmtId="173" fontId="12" fillId="0" borderId="0" xfId="0" applyNumberFormat="1" applyFont="1"/>
    <xf numFmtId="173" fontId="12" fillId="4" borderId="0" xfId="0" applyNumberFormat="1" applyFont="1" applyFill="1"/>
    <xf numFmtId="3" fontId="14" fillId="0" borderId="0" xfId="0" applyNumberFormat="1" applyFont="1"/>
    <xf numFmtId="10" fontId="14" fillId="0" borderId="0" xfId="0" applyNumberFormat="1" applyFont="1"/>
    <xf numFmtId="9" fontId="18" fillId="4" borderId="0" xfId="0" applyNumberFormat="1" applyFont="1" applyFill="1" applyAlignment="1">
      <alignment horizontal="center"/>
    </xf>
    <xf numFmtId="41" fontId="10" fillId="0" borderId="0" xfId="0" applyNumberFormat="1" applyFont="1" applyAlignment="1">
      <alignment horizontal="center"/>
    </xf>
    <xf numFmtId="9" fontId="6" fillId="0" borderId="0" xfId="1" applyFont="1" applyAlignment="1"/>
    <xf numFmtId="0" fontId="4" fillId="0" borderId="0" xfId="0" applyFont="1" applyAlignment="1">
      <alignment horizontal="left" indent="2"/>
    </xf>
    <xf numFmtId="173" fontId="10" fillId="0" borderId="0" xfId="0" applyNumberFormat="1" applyFont="1"/>
    <xf numFmtId="173" fontId="10" fillId="4" borderId="0" xfId="0" applyNumberFormat="1" applyFont="1" applyFill="1"/>
    <xf numFmtId="44" fontId="10" fillId="11" borderId="0" xfId="0" applyNumberFormat="1" applyFont="1" applyFill="1" applyAlignment="1">
      <alignment horizontal="left" vertical="center" indent="1"/>
    </xf>
    <xf numFmtId="41" fontId="7" fillId="0" borderId="0" xfId="0" applyNumberFormat="1" applyFont="1" applyAlignment="1">
      <alignment vertical="center"/>
    </xf>
    <xf numFmtId="44" fontId="10" fillId="11" borderId="0" xfId="0" applyNumberFormat="1" applyFont="1" applyFill="1" applyAlignment="1">
      <alignment horizontal="left" vertical="center"/>
    </xf>
    <xf numFmtId="41" fontId="10" fillId="0" borderId="0" xfId="0" applyNumberFormat="1" applyFont="1"/>
    <xf numFmtId="168" fontId="10" fillId="0" borderId="0" xfId="2" applyNumberFormat="1" applyFont="1" applyFill="1" applyBorder="1" applyAlignment="1">
      <alignment horizontal="right"/>
    </xf>
    <xf numFmtId="168" fontId="10" fillId="4" borderId="0" xfId="2" applyNumberFormat="1" applyFont="1" applyFill="1" applyBorder="1" applyAlignment="1">
      <alignment horizontal="right"/>
    </xf>
    <xf numFmtId="41" fontId="7" fillId="0" borderId="0" xfId="0" applyNumberFormat="1" applyFont="1" applyAlignment="1">
      <alignment vertical="center" wrapText="1"/>
    </xf>
    <xf numFmtId="41" fontId="10" fillId="0" borderId="0" xfId="0" applyNumberFormat="1" applyFont="1" applyAlignment="1">
      <alignment vertical="center" wrapText="1"/>
    </xf>
    <xf numFmtId="9" fontId="14" fillId="0" borderId="0" xfId="1" applyFont="1" applyAlignment="1">
      <alignment horizontal="center"/>
    </xf>
    <xf numFmtId="0" fontId="0" fillId="0" borderId="5" xfId="0" applyBorder="1"/>
    <xf numFmtId="173" fontId="6" fillId="0" borderId="0" xfId="1" applyNumberFormat="1" applyFont="1" applyAlignment="1"/>
    <xf numFmtId="173" fontId="14" fillId="0" borderId="0" xfId="1" applyNumberFormat="1" applyFont="1" applyAlignment="1">
      <alignment horizontal="center"/>
    </xf>
    <xf numFmtId="41" fontId="6" fillId="0" borderId="0" xfId="1" applyNumberFormat="1" applyFont="1" applyAlignment="1"/>
    <xf numFmtId="42" fontId="6" fillId="0" borderId="0" xfId="1" applyNumberFormat="1" applyFont="1" applyAlignment="1"/>
    <xf numFmtId="42" fontId="14" fillId="0" borderId="0" xfId="1" applyNumberFormat="1" applyFont="1" applyAlignment="1">
      <alignment horizontal="center"/>
    </xf>
    <xf numFmtId="9" fontId="4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9" fontId="6" fillId="0" borderId="0" xfId="1" applyFont="1" applyAlignment="1">
      <alignment horizontal="right"/>
    </xf>
    <xf numFmtId="44" fontId="4" fillId="0" borderId="0" xfId="0" applyNumberFormat="1" applyFont="1"/>
    <xf numFmtId="6" fontId="18" fillId="0" borderId="0" xfId="0" applyNumberFormat="1" applyFont="1" applyAlignment="1">
      <alignment horizontal="right"/>
    </xf>
    <xf numFmtId="41" fontId="4" fillId="0" borderId="0" xfId="0" applyNumberFormat="1" applyFont="1" applyAlignment="1">
      <alignment horizontal="right"/>
    </xf>
    <xf numFmtId="9" fontId="13" fillId="0" borderId="0" xfId="1" applyFont="1" applyFill="1" applyBorder="1" applyAlignment="1">
      <alignment horizontal="right"/>
    </xf>
    <xf numFmtId="44" fontId="20" fillId="0" borderId="0" xfId="0" applyNumberFormat="1" applyFont="1" applyAlignment="1">
      <alignment horizontal="right"/>
    </xf>
    <xf numFmtId="42" fontId="18" fillId="0" borderId="0" xfId="1" applyNumberFormat="1" applyFont="1" applyFill="1" applyBorder="1"/>
    <xf numFmtId="9" fontId="6" fillId="0" borderId="0" xfId="1" applyFont="1" applyFill="1" applyBorder="1" applyAlignment="1">
      <alignment horizontal="right"/>
    </xf>
    <xf numFmtId="9" fontId="4" fillId="4" borderId="0" xfId="0" applyNumberFormat="1" applyFont="1" applyFill="1"/>
    <xf numFmtId="41" fontId="4" fillId="0" borderId="0" xfId="1" applyNumberFormat="1" applyFont="1"/>
    <xf numFmtId="41" fontId="7" fillId="4" borderId="0" xfId="0" applyNumberFormat="1" applyFont="1" applyFill="1"/>
    <xf numFmtId="41" fontId="5" fillId="5" borderId="0" xfId="0" applyNumberFormat="1" applyFont="1" applyFill="1"/>
    <xf numFmtId="168" fontId="7" fillId="4" borderId="0" xfId="2" applyNumberFormat="1" applyFont="1" applyFill="1" applyBorder="1" applyAlignment="1">
      <alignment horizontal="center"/>
    </xf>
    <xf numFmtId="178" fontId="8" fillId="0" borderId="0" xfId="0" applyNumberFormat="1" applyFont="1"/>
    <xf numFmtId="176" fontId="10" fillId="0" borderId="0" xfId="3" applyNumberFormat="1" applyFont="1"/>
    <xf numFmtId="0" fontId="32" fillId="0" borderId="0" xfId="6" applyFont="1" applyAlignment="1">
      <alignment horizontal="center"/>
    </xf>
    <xf numFmtId="0" fontId="8" fillId="0" borderId="0" xfId="6" applyFont="1"/>
    <xf numFmtId="0" fontId="32" fillId="0" borderId="0" xfId="6" applyFont="1"/>
    <xf numFmtId="0" fontId="33" fillId="3" borderId="0" xfId="6" applyFont="1" applyFill="1" applyAlignment="1">
      <alignment horizontal="left"/>
    </xf>
    <xf numFmtId="0" fontId="34" fillId="3" borderId="0" xfId="6" applyFont="1" applyFill="1" applyAlignment="1">
      <alignment horizontal="left"/>
    </xf>
    <xf numFmtId="0" fontId="35" fillId="3" borderId="0" xfId="6" applyFont="1" applyFill="1" applyAlignment="1">
      <alignment horizontal="right"/>
    </xf>
    <xf numFmtId="0" fontId="4" fillId="0" borderId="0" xfId="6" applyFont="1"/>
    <xf numFmtId="0" fontId="35" fillId="0" borderId="0" xfId="6" applyFont="1" applyAlignment="1">
      <alignment horizontal="right"/>
    </xf>
    <xf numFmtId="0" fontId="36" fillId="3" borderId="0" xfId="3" applyFont="1" applyFill="1" applyAlignment="1">
      <alignment horizontal="right"/>
    </xf>
    <xf numFmtId="0" fontId="36" fillId="0" borderId="0" xfId="3" applyFont="1" applyAlignment="1">
      <alignment horizontal="right"/>
    </xf>
    <xf numFmtId="0" fontId="17" fillId="0" borderId="0" xfId="3" applyFont="1" applyAlignment="1">
      <alignment horizontal="center"/>
    </xf>
    <xf numFmtId="0" fontId="17" fillId="5" borderId="0" xfId="6" applyFont="1" applyFill="1" applyAlignment="1">
      <alignment horizontal="centerContinuous"/>
    </xf>
    <xf numFmtId="0" fontId="4" fillId="5" borderId="0" xfId="6" applyFont="1" applyFill="1" applyAlignment="1">
      <alignment horizontal="centerContinuous"/>
    </xf>
    <xf numFmtId="0" fontId="4" fillId="0" borderId="0" xfId="6" applyFont="1" applyAlignment="1">
      <alignment horizontal="centerContinuous"/>
    </xf>
    <xf numFmtId="14" fontId="10" fillId="5" borderId="0" xfId="0" applyNumberFormat="1" applyFont="1" applyFill="1" applyAlignment="1">
      <alignment horizontal="center"/>
    </xf>
    <xf numFmtId="14" fontId="10" fillId="0" borderId="0" xfId="0" applyNumberFormat="1" applyFont="1" applyAlignment="1">
      <alignment horizontal="center"/>
    </xf>
    <xf numFmtId="185" fontId="8" fillId="0" borderId="0" xfId="0" applyNumberFormat="1" applyFont="1" applyAlignment="1">
      <alignment horizontal="center" vertical="center"/>
    </xf>
    <xf numFmtId="185" fontId="8" fillId="0" borderId="0" xfId="0" applyNumberFormat="1" applyFont="1" applyAlignment="1">
      <alignment horizontal="center"/>
    </xf>
    <xf numFmtId="181" fontId="7" fillId="0" borderId="0" xfId="6" applyNumberFormat="1" applyFont="1"/>
    <xf numFmtId="41" fontId="7" fillId="0" borderId="0" xfId="6" applyNumberFormat="1" applyFont="1"/>
    <xf numFmtId="178" fontId="8" fillId="0" borderId="0" xfId="6" applyNumberFormat="1" applyFont="1"/>
    <xf numFmtId="0" fontId="8" fillId="0" borderId="0" xfId="6" applyFont="1" applyAlignment="1">
      <alignment horizontal="left"/>
    </xf>
    <xf numFmtId="0" fontId="32" fillId="0" borderId="0" xfId="6" applyFont="1" applyAlignment="1">
      <alignment horizontal="left" indent="1"/>
    </xf>
    <xf numFmtId="181" fontId="8" fillId="0" borderId="0" xfId="6" applyNumberFormat="1" applyFont="1"/>
    <xf numFmtId="9" fontId="32" fillId="0" borderId="0" xfId="1" applyFont="1" applyBorder="1"/>
    <xf numFmtId="41" fontId="32" fillId="0" borderId="0" xfId="1" applyNumberFormat="1" applyFont="1" applyBorder="1"/>
    <xf numFmtId="181" fontId="32" fillId="0" borderId="0" xfId="6" applyNumberFormat="1" applyFont="1"/>
    <xf numFmtId="0" fontId="8" fillId="0" borderId="0" xfId="6" applyFont="1" applyAlignment="1">
      <alignment horizontal="left" indent="1"/>
    </xf>
    <xf numFmtId="181" fontId="8" fillId="0" borderId="5" xfId="6" applyNumberFormat="1" applyFont="1" applyBorder="1"/>
    <xf numFmtId="0" fontId="37" fillId="0" borderId="6" xfId="6" applyFont="1" applyBorder="1" applyAlignment="1">
      <alignment horizontal="left"/>
    </xf>
    <xf numFmtId="0" fontId="32" fillId="0" borderId="6" xfId="6" applyFont="1" applyBorder="1" applyAlignment="1">
      <alignment horizontal="left" indent="1"/>
    </xf>
    <xf numFmtId="178" fontId="38" fillId="0" borderId="0" xfId="6" applyNumberFormat="1" applyFont="1"/>
    <xf numFmtId="178" fontId="37" fillId="0" borderId="0" xfId="6" applyNumberFormat="1" applyFont="1"/>
    <xf numFmtId="0" fontId="32" fillId="0" borderId="0" xfId="6" applyFont="1" applyAlignment="1">
      <alignment horizontal="left"/>
    </xf>
    <xf numFmtId="165" fontId="32" fillId="0" borderId="0" xfId="6" applyNumberFormat="1" applyFont="1"/>
    <xf numFmtId="9" fontId="32" fillId="0" borderId="0" xfId="6" applyNumberFormat="1" applyFont="1"/>
    <xf numFmtId="186" fontId="8" fillId="0" borderId="0" xfId="6" applyNumberFormat="1" applyFont="1"/>
    <xf numFmtId="173" fontId="4" fillId="0" borderId="0" xfId="6" applyNumberFormat="1" applyFont="1"/>
    <xf numFmtId="6" fontId="32" fillId="0" borderId="0" xfId="6" applyNumberFormat="1" applyFont="1"/>
    <xf numFmtId="0" fontId="5" fillId="3" borderId="0" xfId="6" applyFont="1" applyFill="1" applyAlignment="1">
      <alignment horizontal="centerContinuous"/>
    </xf>
    <xf numFmtId="0" fontId="30" fillId="3" borderId="0" xfId="6" applyFont="1" applyFill="1" applyAlignment="1">
      <alignment horizontal="centerContinuous"/>
    </xf>
    <xf numFmtId="0" fontId="30" fillId="0" borderId="0" xfId="6" applyFont="1" applyAlignment="1">
      <alignment horizontal="centerContinuous"/>
    </xf>
    <xf numFmtId="0" fontId="38" fillId="0" borderId="0" xfId="6" applyFont="1" applyAlignment="1">
      <alignment horizontal="centerContinuous"/>
    </xf>
    <xf numFmtId="0" fontId="32" fillId="0" borderId="0" xfId="6" applyFont="1" applyAlignment="1">
      <alignment horizontal="centerContinuous"/>
    </xf>
    <xf numFmtId="178" fontId="7" fillId="0" borderId="0" xfId="6" applyNumberFormat="1" applyFont="1"/>
    <xf numFmtId="165" fontId="4" fillId="0" borderId="0" xfId="6" applyNumberFormat="1" applyFont="1"/>
    <xf numFmtId="0" fontId="39" fillId="3" borderId="0" xfId="6" applyFont="1" applyFill="1" applyAlignment="1">
      <alignment horizontal="centerContinuous"/>
    </xf>
    <xf numFmtId="0" fontId="32" fillId="3" borderId="0" xfId="6" applyFont="1" applyFill="1" applyAlignment="1">
      <alignment horizontal="centerContinuous"/>
    </xf>
    <xf numFmtId="0" fontId="32" fillId="12" borderId="0" xfId="6" applyFont="1" applyFill="1" applyAlignment="1">
      <alignment horizontal="centerContinuous"/>
    </xf>
    <xf numFmtId="42" fontId="8" fillId="0" borderId="0" xfId="6" applyNumberFormat="1" applyFont="1"/>
    <xf numFmtId="41" fontId="8" fillId="0" borderId="0" xfId="6" applyNumberFormat="1" applyFont="1"/>
    <xf numFmtId="0" fontId="4" fillId="0" borderId="0" xfId="6" applyFont="1" applyAlignment="1">
      <alignment horizontal="center"/>
    </xf>
    <xf numFmtId="9" fontId="4" fillId="0" borderId="0" xfId="1" applyFont="1" applyBorder="1"/>
    <xf numFmtId="0" fontId="39" fillId="0" borderId="0" xfId="6" applyFont="1" applyAlignment="1">
      <alignment horizontal="centerContinuous"/>
    </xf>
    <xf numFmtId="0" fontId="4" fillId="0" borderId="0" xfId="6" applyFont="1" applyAlignment="1">
      <alignment horizontal="left" indent="1"/>
    </xf>
    <xf numFmtId="0" fontId="13" fillId="0" borderId="0" xfId="6" applyFont="1" applyAlignment="1">
      <alignment horizontal="centerContinuous"/>
    </xf>
    <xf numFmtId="44" fontId="7" fillId="0" borderId="0" xfId="6" applyNumberFormat="1" applyFont="1"/>
    <xf numFmtId="3" fontId="7" fillId="0" borderId="0" xfId="6" applyNumberFormat="1" applyFont="1" applyAlignment="1">
      <alignment horizontal="right"/>
    </xf>
    <xf numFmtId="4" fontId="7" fillId="0" borderId="0" xfId="6" applyNumberFormat="1" applyFont="1" applyAlignment="1">
      <alignment horizontal="right"/>
    </xf>
    <xf numFmtId="0" fontId="13" fillId="5" borderId="0" xfId="6" applyFont="1" applyFill="1" applyAlignment="1">
      <alignment horizontal="center"/>
    </xf>
    <xf numFmtId="0" fontId="13" fillId="0" borderId="0" xfId="6" applyFont="1" applyAlignment="1">
      <alignment horizontal="center"/>
    </xf>
    <xf numFmtId="187" fontId="7" fillId="0" borderId="0" xfId="6" applyNumberFormat="1" applyFont="1"/>
    <xf numFmtId="44" fontId="7" fillId="0" borderId="0" xfId="6" applyNumberFormat="1" applyFont="1" applyAlignment="1">
      <alignment horizontal="right"/>
    </xf>
    <xf numFmtId="187" fontId="4" fillId="0" borderId="0" xfId="6" applyNumberFormat="1" applyFont="1"/>
    <xf numFmtId="4" fontId="4" fillId="0" borderId="0" xfId="6" applyNumberFormat="1" applyFont="1"/>
    <xf numFmtId="0" fontId="5" fillId="3" borderId="0" xfId="6" applyFont="1" applyFill="1" applyAlignment="1">
      <alignment horizontal="center"/>
    </xf>
    <xf numFmtId="0" fontId="5" fillId="0" borderId="0" xfId="6" applyFont="1" applyAlignment="1">
      <alignment horizontal="center"/>
    </xf>
    <xf numFmtId="175" fontId="7" fillId="0" borderId="0" xfId="6" applyNumberFormat="1" applyFont="1"/>
    <xf numFmtId="42" fontId="7" fillId="0" borderId="0" xfId="6" applyNumberFormat="1" applyFont="1"/>
    <xf numFmtId="44" fontId="4" fillId="0" borderId="0" xfId="6" applyNumberFormat="1" applyFont="1"/>
    <xf numFmtId="4" fontId="13" fillId="0" borderId="0" xfId="6" applyNumberFormat="1" applyFont="1"/>
    <xf numFmtId="44" fontId="4" fillId="0" borderId="0" xfId="6" applyNumberFormat="1" applyFont="1" applyAlignment="1">
      <alignment horizontal="centerContinuous"/>
    </xf>
    <xf numFmtId="42" fontId="4" fillId="0" borderId="0" xfId="6" applyNumberFormat="1" applyFont="1"/>
    <xf numFmtId="41" fontId="4" fillId="0" borderId="0" xfId="6" applyNumberFormat="1" applyFont="1"/>
    <xf numFmtId="4" fontId="7" fillId="0" borderId="0" xfId="6" applyNumberFormat="1" applyFont="1"/>
    <xf numFmtId="185" fontId="10" fillId="5" borderId="0" xfId="0" applyNumberFormat="1" applyFont="1" applyFill="1" applyAlignment="1">
      <alignment horizontal="center"/>
    </xf>
    <xf numFmtId="185" fontId="10" fillId="0" borderId="0" xfId="0" applyNumberFormat="1" applyFont="1" applyAlignment="1">
      <alignment horizontal="center"/>
    </xf>
    <xf numFmtId="188" fontId="10" fillId="0" borderId="0" xfId="6" applyNumberFormat="1" applyFont="1"/>
    <xf numFmtId="0" fontId="4" fillId="12" borderId="0" xfId="6" applyFont="1" applyFill="1"/>
    <xf numFmtId="178" fontId="10" fillId="0" borderId="0" xfId="6" applyNumberFormat="1" applyFont="1"/>
    <xf numFmtId="181" fontId="10" fillId="0" borderId="0" xfId="6" applyNumberFormat="1" applyFont="1"/>
    <xf numFmtId="41" fontId="10" fillId="0" borderId="0" xfId="6" applyNumberFormat="1" applyFont="1"/>
    <xf numFmtId="186" fontId="10" fillId="0" borderId="0" xfId="6" applyNumberFormat="1" applyFont="1"/>
    <xf numFmtId="0" fontId="40" fillId="0" borderId="0" xfId="0" applyFont="1"/>
    <xf numFmtId="0" fontId="31" fillId="0" borderId="0" xfId="5"/>
    <xf numFmtId="0" fontId="41" fillId="0" borderId="0" xfId="5" applyFont="1" applyAlignment="1">
      <alignment horizontal="right"/>
    </xf>
    <xf numFmtId="0" fontId="41" fillId="0" borderId="0" xfId="5" applyFont="1" applyFill="1" applyBorder="1" applyAlignment="1">
      <alignment horizontal="right"/>
    </xf>
    <xf numFmtId="0" fontId="17" fillId="5" borderId="0" xfId="3" applyFont="1" applyFill="1"/>
    <xf numFmtId="183" fontId="13" fillId="5" borderId="0" xfId="0" applyNumberFormat="1" applyFont="1" applyFill="1"/>
    <xf numFmtId="173" fontId="13" fillId="5" borderId="0" xfId="0" applyNumberFormat="1" applyFont="1" applyFill="1"/>
    <xf numFmtId="0" fontId="39" fillId="3" borderId="0" xfId="0" applyFont="1" applyFill="1"/>
    <xf numFmtId="0" fontId="42" fillId="3" borderId="0" xfId="0" applyFont="1" applyFill="1"/>
    <xf numFmtId="0" fontId="13" fillId="0" borderId="0" xfId="0" applyFont="1" applyAlignment="1">
      <alignment horizontal="left" indent="1"/>
    </xf>
    <xf numFmtId="44" fontId="18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centerContinuous"/>
    </xf>
    <xf numFmtId="0" fontId="39" fillId="3" borderId="0" xfId="0" applyFont="1" applyFill="1" applyAlignment="1">
      <alignment horizontal="centerContinuous"/>
    </xf>
    <xf numFmtId="173" fontId="12" fillId="5" borderId="0" xfId="0" applyNumberFormat="1" applyFont="1" applyFill="1"/>
    <xf numFmtId="183" fontId="13" fillId="0" borderId="0" xfId="0" applyNumberFormat="1" applyFont="1"/>
    <xf numFmtId="6" fontId="13" fillId="0" borderId="0" xfId="0" applyNumberFormat="1" applyFont="1"/>
    <xf numFmtId="176" fontId="10" fillId="0" borderId="0" xfId="3" applyNumberFormat="1" applyFont="1" applyAlignment="1">
      <alignment horizontal="center"/>
    </xf>
    <xf numFmtId="44" fontId="13" fillId="0" borderId="0" xfId="0" applyNumberFormat="1" applyFont="1"/>
    <xf numFmtId="180" fontId="13" fillId="0" borderId="0" xfId="0" applyNumberFormat="1" applyFont="1"/>
    <xf numFmtId="9" fontId="6" fillId="0" borderId="0" xfId="1" applyFont="1" applyFill="1" applyBorder="1"/>
    <xf numFmtId="181" fontId="10" fillId="0" borderId="0" xfId="3" applyNumberFormat="1" applyFont="1"/>
    <xf numFmtId="0" fontId="3" fillId="0" borderId="0" xfId="0" applyFont="1" applyAlignment="1">
      <alignment horizontal="left" indent="1"/>
    </xf>
    <xf numFmtId="41" fontId="3" fillId="0" borderId="0" xfId="0" applyNumberFormat="1" applyFont="1" applyAlignment="1">
      <alignment horizontal="left" indent="1"/>
    </xf>
    <xf numFmtId="0" fontId="8" fillId="0" borderId="0" xfId="4" applyFont="1"/>
    <xf numFmtId="0" fontId="43" fillId="0" borderId="0" xfId="0" applyFont="1"/>
    <xf numFmtId="1" fontId="8" fillId="0" borderId="0" xfId="4" applyNumberFormat="1" applyFont="1"/>
    <xf numFmtId="0" fontId="37" fillId="0" borderId="0" xfId="6" applyFont="1" applyAlignment="1">
      <alignment horizontal="left"/>
    </xf>
    <xf numFmtId="0" fontId="35" fillId="3" borderId="0" xfId="6" applyFont="1" applyFill="1" applyAlignment="1">
      <alignment horizontal="left"/>
    </xf>
    <xf numFmtId="0" fontId="35" fillId="3" borderId="0" xfId="3" applyFont="1" applyFill="1"/>
    <xf numFmtId="0" fontId="33" fillId="3" borderId="0" xfId="3" applyFont="1" applyFill="1" applyAlignment="1">
      <alignment horizontal="centerContinuous"/>
    </xf>
    <xf numFmtId="0" fontId="34" fillId="3" borderId="0" xfId="3" applyFont="1" applyFill="1" applyAlignment="1">
      <alignment horizontal="centerContinuous"/>
    </xf>
    <xf numFmtId="0" fontId="44" fillId="3" borderId="0" xfId="3" applyFont="1" applyFill="1"/>
    <xf numFmtId="0" fontId="35" fillId="3" borderId="0" xfId="3" applyFont="1" applyFill="1" applyAlignment="1">
      <alignment horizontal="center"/>
    </xf>
    <xf numFmtId="0" fontId="44" fillId="3" borderId="0" xfId="3" applyFont="1" applyFill="1" applyAlignment="1">
      <alignment horizontal="centerContinuous"/>
    </xf>
    <xf numFmtId="0" fontId="35" fillId="3" borderId="5" xfId="3" applyFont="1" applyFill="1" applyBorder="1"/>
    <xf numFmtId="0" fontId="35" fillId="3" borderId="5" xfId="3" applyFont="1" applyFill="1" applyBorder="1" applyAlignment="1">
      <alignment horizontal="center"/>
    </xf>
    <xf numFmtId="14" fontId="35" fillId="3" borderId="5" xfId="3" applyNumberFormat="1" applyFont="1" applyFill="1" applyBorder="1" applyAlignment="1">
      <alignment horizontal="center"/>
    </xf>
    <xf numFmtId="189" fontId="5" fillId="3" borderId="5" xfId="0" applyNumberFormat="1" applyFont="1" applyFill="1" applyBorder="1" applyAlignment="1">
      <alignment horizontal="center"/>
    </xf>
    <xf numFmtId="0" fontId="10" fillId="0" borderId="0" xfId="3" applyFont="1" applyAlignment="1">
      <alignment horizontal="center"/>
    </xf>
    <xf numFmtId="44" fontId="10" fillId="0" borderId="6" xfId="3" applyNumberFormat="1" applyFont="1" applyBorder="1"/>
    <xf numFmtId="42" fontId="8" fillId="0" borderId="0" xfId="4" applyNumberFormat="1" applyFont="1"/>
    <xf numFmtId="172" fontId="8" fillId="0" borderId="0" xfId="4" applyNumberFormat="1" applyFont="1"/>
    <xf numFmtId="173" fontId="8" fillId="0" borderId="0" xfId="1" applyNumberFormat="1" applyFont="1"/>
    <xf numFmtId="41" fontId="8" fillId="0" borderId="0" xfId="4" applyNumberFormat="1" applyFont="1"/>
    <xf numFmtId="41" fontId="8" fillId="0" borderId="0" xfId="4" applyNumberFormat="1" applyFont="1" applyAlignment="1">
      <alignment horizontal="center"/>
    </xf>
    <xf numFmtId="9" fontId="8" fillId="0" borderId="0" xfId="1" applyFont="1" applyAlignment="1">
      <alignment horizontal="center"/>
    </xf>
    <xf numFmtId="0" fontId="10" fillId="0" borderId="7" xfId="3" applyFont="1" applyBorder="1"/>
    <xf numFmtId="0" fontId="10" fillId="0" borderId="6" xfId="3" applyFont="1" applyBorder="1"/>
    <xf numFmtId="190" fontId="10" fillId="0" borderId="6" xfId="3" applyNumberFormat="1" applyFont="1" applyBorder="1"/>
    <xf numFmtId="191" fontId="10" fillId="0" borderId="6" xfId="3" applyNumberFormat="1" applyFont="1" applyBorder="1"/>
    <xf numFmtId="191" fontId="10" fillId="0" borderId="8" xfId="3" applyNumberFormat="1" applyFont="1" applyBorder="1"/>
    <xf numFmtId="0" fontId="10" fillId="0" borderId="11" xfId="3" applyFont="1" applyBorder="1"/>
    <xf numFmtId="43" fontId="10" fillId="0" borderId="0" xfId="3" applyNumberFormat="1" applyFont="1"/>
    <xf numFmtId="192" fontId="10" fillId="0" borderId="0" xfId="3" applyNumberFormat="1" applyFont="1"/>
    <xf numFmtId="191" fontId="10" fillId="0" borderId="0" xfId="3" applyNumberFormat="1" applyFont="1"/>
    <xf numFmtId="191" fontId="10" fillId="0" borderId="12" xfId="3" applyNumberFormat="1" applyFont="1" applyBorder="1"/>
    <xf numFmtId="0" fontId="17" fillId="8" borderId="13" xfId="3" applyFont="1" applyFill="1" applyBorder="1"/>
    <xf numFmtId="0" fontId="17" fillId="8" borderId="14" xfId="3" applyFont="1" applyFill="1" applyBorder="1"/>
    <xf numFmtId="44" fontId="17" fillId="8" borderId="14" xfId="3" applyNumberFormat="1" applyFont="1" applyFill="1" applyBorder="1"/>
    <xf numFmtId="165" fontId="17" fillId="8" borderId="14" xfId="3" applyNumberFormat="1" applyFont="1" applyFill="1" applyBorder="1"/>
    <xf numFmtId="190" fontId="17" fillId="8" borderId="14" xfId="3" applyNumberFormat="1" applyFont="1" applyFill="1" applyBorder="1"/>
    <xf numFmtId="191" fontId="17" fillId="8" borderId="14" xfId="3" applyNumberFormat="1" applyFont="1" applyFill="1" applyBorder="1"/>
    <xf numFmtId="191" fontId="17" fillId="8" borderId="15" xfId="3" applyNumberFormat="1" applyFont="1" applyFill="1" applyBorder="1"/>
    <xf numFmtId="0" fontId="10" fillId="0" borderId="9" xfId="3" applyFont="1" applyBorder="1"/>
    <xf numFmtId="0" fontId="17" fillId="0" borderId="5" xfId="3" applyFont="1" applyBorder="1"/>
    <xf numFmtId="43" fontId="10" fillId="0" borderId="5" xfId="3" applyNumberFormat="1" applyFont="1" applyBorder="1"/>
    <xf numFmtId="192" fontId="10" fillId="0" borderId="5" xfId="3" applyNumberFormat="1" applyFont="1" applyBorder="1"/>
    <xf numFmtId="191" fontId="10" fillId="0" borderId="5" xfId="3" applyNumberFormat="1" applyFont="1" applyBorder="1"/>
    <xf numFmtId="191" fontId="10" fillId="0" borderId="10" xfId="3" applyNumberFormat="1" applyFont="1" applyBorder="1"/>
    <xf numFmtId="0" fontId="45" fillId="0" borderId="0" xfId="0" applyFont="1"/>
    <xf numFmtId="42" fontId="5" fillId="5" borderId="13" xfId="4" applyNumberFormat="1" applyFont="1" applyFill="1" applyBorder="1"/>
    <xf numFmtId="0" fontId="5" fillId="5" borderId="14" xfId="3" applyFont="1" applyFill="1" applyBorder="1"/>
    <xf numFmtId="193" fontId="5" fillId="5" borderId="14" xfId="4" applyNumberFormat="1" applyFont="1" applyFill="1" applyBorder="1"/>
    <xf numFmtId="0" fontId="5" fillId="5" borderId="14" xfId="4" applyFont="1" applyFill="1" applyBorder="1"/>
    <xf numFmtId="42" fontId="5" fillId="5" borderId="14" xfId="4" applyNumberFormat="1" applyFont="1" applyFill="1" applyBorder="1"/>
    <xf numFmtId="172" fontId="5" fillId="5" borderId="14" xfId="4" applyNumberFormat="1" applyFont="1" applyFill="1" applyBorder="1"/>
    <xf numFmtId="9" fontId="5" fillId="5" borderId="14" xfId="1" applyFont="1" applyFill="1" applyBorder="1"/>
    <xf numFmtId="191" fontId="5" fillId="5" borderId="14" xfId="3" applyNumberFormat="1" applyFont="1" applyFill="1" applyBorder="1"/>
    <xf numFmtId="191" fontId="5" fillId="5" borderId="15" xfId="3" applyNumberFormat="1" applyFont="1" applyFill="1" applyBorder="1"/>
    <xf numFmtId="0" fontId="5" fillId="0" borderId="0" xfId="3" applyFont="1"/>
    <xf numFmtId="44" fontId="5" fillId="0" borderId="0" xfId="3" applyNumberFormat="1" applyFont="1"/>
    <xf numFmtId="192" fontId="5" fillId="0" borderId="0" xfId="3" applyNumberFormat="1" applyFont="1"/>
    <xf numFmtId="175" fontId="5" fillId="0" borderId="0" xfId="3" applyNumberFormat="1" applyFont="1"/>
    <xf numFmtId="43" fontId="5" fillId="0" borderId="0" xfId="3" applyNumberFormat="1" applyFont="1" applyAlignment="1">
      <alignment horizontal="center"/>
    </xf>
    <xf numFmtId="191" fontId="5" fillId="0" borderId="0" xfId="3" applyNumberFormat="1" applyFont="1" applyAlignment="1">
      <alignment horizontal="center"/>
    </xf>
    <xf numFmtId="173" fontId="5" fillId="0" borderId="0" xfId="3" applyNumberFormat="1" applyFont="1"/>
    <xf numFmtId="43" fontId="10" fillId="0" borderId="0" xfId="3" applyNumberFormat="1" applyFont="1" applyAlignment="1">
      <alignment horizontal="center"/>
    </xf>
    <xf numFmtId="14" fontId="35" fillId="3" borderId="0" xfId="3" applyNumberFormat="1" applyFont="1" applyFill="1" applyAlignment="1">
      <alignment horizontal="center"/>
    </xf>
    <xf numFmtId="189" fontId="5" fillId="3" borderId="0" xfId="0" applyNumberFormat="1" applyFont="1" applyFill="1" applyAlignment="1">
      <alignment horizontal="center"/>
    </xf>
    <xf numFmtId="3" fontId="46" fillId="0" borderId="0" xfId="0" applyNumberFormat="1" applyFont="1" applyAlignment="1">
      <alignment vertical="center"/>
    </xf>
    <xf numFmtId="176" fontId="10" fillId="0" borderId="6" xfId="3" applyNumberFormat="1" applyFont="1" applyBorder="1"/>
    <xf numFmtId="176" fontId="10" fillId="0" borderId="8" xfId="3" applyNumberFormat="1" applyFont="1" applyBorder="1"/>
    <xf numFmtId="176" fontId="10" fillId="0" borderId="12" xfId="3" applyNumberFormat="1" applyFont="1" applyBorder="1"/>
    <xf numFmtId="0" fontId="17" fillId="5" borderId="13" xfId="3" applyFont="1" applyFill="1" applyBorder="1"/>
    <xf numFmtId="0" fontId="17" fillId="5" borderId="14" xfId="3" applyFont="1" applyFill="1" applyBorder="1"/>
    <xf numFmtId="44" fontId="17" fillId="5" borderId="14" xfId="3" applyNumberFormat="1" applyFont="1" applyFill="1" applyBorder="1"/>
    <xf numFmtId="165" fontId="17" fillId="5" borderId="14" xfId="3" applyNumberFormat="1" applyFont="1" applyFill="1" applyBorder="1"/>
    <xf numFmtId="190" fontId="17" fillId="5" borderId="14" xfId="3" applyNumberFormat="1" applyFont="1" applyFill="1" applyBorder="1"/>
    <xf numFmtId="176" fontId="17" fillId="5" borderId="14" xfId="3" applyNumberFormat="1" applyFont="1" applyFill="1" applyBorder="1"/>
    <xf numFmtId="176" fontId="17" fillId="5" borderId="15" xfId="3" applyNumberFormat="1" applyFont="1" applyFill="1" applyBorder="1"/>
    <xf numFmtId="176" fontId="10" fillId="0" borderId="5" xfId="3" applyNumberFormat="1" applyFont="1" applyBorder="1"/>
    <xf numFmtId="176" fontId="10" fillId="0" borderId="10" xfId="3" applyNumberFormat="1" applyFont="1" applyBorder="1"/>
    <xf numFmtId="194" fontId="5" fillId="5" borderId="13" xfId="4" applyNumberFormat="1" applyFont="1" applyFill="1" applyBorder="1"/>
    <xf numFmtId="44" fontId="5" fillId="5" borderId="14" xfId="3" applyNumberFormat="1" applyFont="1" applyFill="1" applyBorder="1"/>
    <xf numFmtId="194" fontId="5" fillId="5" borderId="14" xfId="4" applyNumberFormat="1" applyFont="1" applyFill="1" applyBorder="1"/>
    <xf numFmtId="194" fontId="5" fillId="5" borderId="15" xfId="4" applyNumberFormat="1" applyFont="1" applyFill="1" applyBorder="1"/>
    <xf numFmtId="0" fontId="33" fillId="0" borderId="0" xfId="6" applyFont="1" applyAlignment="1">
      <alignment horizontal="left"/>
    </xf>
    <xf numFmtId="0" fontId="34" fillId="0" borderId="0" xfId="6" applyFont="1" applyAlignment="1">
      <alignment horizontal="left"/>
    </xf>
    <xf numFmtId="0" fontId="17" fillId="0" borderId="0" xfId="6" applyFont="1" applyAlignment="1">
      <alignment horizontal="center"/>
    </xf>
    <xf numFmtId="185" fontId="17" fillId="0" borderId="0" xfId="0" applyNumberFormat="1" applyFont="1" applyAlignment="1">
      <alignment horizontal="center"/>
    </xf>
    <xf numFmtId="178" fontId="17" fillId="0" borderId="0" xfId="6" applyNumberFormat="1" applyFont="1" applyAlignment="1">
      <alignment horizontal="center"/>
    </xf>
    <xf numFmtId="181" fontId="17" fillId="0" borderId="0" xfId="6" applyNumberFormat="1" applyFont="1" applyAlignment="1">
      <alignment horizontal="center"/>
    </xf>
    <xf numFmtId="0" fontId="47" fillId="0" borderId="0" xfId="7" applyFont="1"/>
    <xf numFmtId="0" fontId="4" fillId="0" borderId="0" xfId="7" applyFont="1"/>
    <xf numFmtId="176" fontId="11" fillId="0" borderId="0" xfId="0" applyNumberFormat="1" applyFont="1" applyAlignment="1">
      <alignment horizontal="center"/>
    </xf>
    <xf numFmtId="42" fontId="11" fillId="0" borderId="0" xfId="0" applyNumberFormat="1" applyFont="1" applyAlignment="1">
      <alignment horizontal="center"/>
    </xf>
    <xf numFmtId="41" fontId="11" fillId="0" borderId="0" xfId="0" applyNumberFormat="1" applyFont="1" applyAlignment="1">
      <alignment horizontal="center"/>
    </xf>
    <xf numFmtId="44" fontId="0" fillId="0" borderId="0" xfId="0" applyNumberFormat="1"/>
    <xf numFmtId="44" fontId="8" fillId="0" borderId="0" xfId="4" applyNumberFormat="1" applyFont="1"/>
    <xf numFmtId="175" fontId="10" fillId="0" borderId="0" xfId="3" applyNumberFormat="1" applyFont="1"/>
    <xf numFmtId="176" fontId="17" fillId="0" borderId="0" xfId="3" applyNumberFormat="1" applyFont="1"/>
    <xf numFmtId="0" fontId="17" fillId="0" borderId="0" xfId="4" applyFont="1"/>
    <xf numFmtId="43" fontId="4" fillId="0" borderId="0" xfId="0" applyNumberFormat="1" applyFont="1" applyAlignment="1">
      <alignment horizontal="right"/>
    </xf>
    <xf numFmtId="0" fontId="10" fillId="0" borderId="0" xfId="4" applyFont="1" applyAlignment="1">
      <alignment horizontal="left" indent="1"/>
    </xf>
    <xf numFmtId="195" fontId="11" fillId="0" borderId="0" xfId="4" applyNumberFormat="1" applyFont="1" applyAlignment="1">
      <alignment horizontal="center"/>
    </xf>
    <xf numFmtId="43" fontId="8" fillId="0" borderId="0" xfId="4" applyNumberFormat="1" applyFont="1"/>
    <xf numFmtId="166" fontId="11" fillId="0" borderId="0" xfId="0" applyNumberFormat="1" applyFont="1" applyAlignment="1">
      <alignment horizontal="center"/>
    </xf>
    <xf numFmtId="0" fontId="17" fillId="6" borderId="5" xfId="3" applyFont="1" applyFill="1" applyBorder="1"/>
    <xf numFmtId="0" fontId="4" fillId="6" borderId="5" xfId="0" applyFont="1" applyFill="1" applyBorder="1"/>
    <xf numFmtId="175" fontId="13" fillId="6" borderId="5" xfId="0" applyNumberFormat="1" applyFont="1" applyFill="1" applyBorder="1"/>
    <xf numFmtId="165" fontId="11" fillId="0" borderId="0" xfId="0" applyNumberFormat="1" applyFont="1"/>
    <xf numFmtId="0" fontId="4" fillId="0" borderId="0" xfId="0" applyFont="1" applyAlignment="1">
      <alignment wrapText="1"/>
    </xf>
    <xf numFmtId="165" fontId="11" fillId="0" borderId="5" xfId="0" applyNumberFormat="1" applyFont="1" applyBorder="1"/>
    <xf numFmtId="0" fontId="17" fillId="6" borderId="6" xfId="3" applyFont="1" applyFill="1" applyBorder="1" applyAlignment="1">
      <alignment horizontal="left"/>
    </xf>
    <xf numFmtId="0" fontId="10" fillId="6" borderId="6" xfId="3" applyFont="1" applyFill="1" applyBorder="1"/>
    <xf numFmtId="165" fontId="17" fillId="6" borderId="0" xfId="3" applyNumberFormat="1" applyFont="1" applyFill="1"/>
    <xf numFmtId="196" fontId="11" fillId="0" borderId="0" xfId="0" applyNumberFormat="1" applyFont="1"/>
    <xf numFmtId="0" fontId="17" fillId="13" borderId="7" xfId="3" applyFont="1" applyFill="1" applyBorder="1"/>
    <xf numFmtId="0" fontId="10" fillId="13" borderId="6" xfId="3" applyFont="1" applyFill="1" applyBorder="1"/>
    <xf numFmtId="44" fontId="17" fillId="13" borderId="8" xfId="3" applyNumberFormat="1" applyFont="1" applyFill="1" applyBorder="1"/>
    <xf numFmtId="0" fontId="17" fillId="13" borderId="9" xfId="3" applyFont="1" applyFill="1" applyBorder="1"/>
    <xf numFmtId="0" fontId="10" fillId="13" borderId="5" xfId="3" applyFont="1" applyFill="1" applyBorder="1"/>
    <xf numFmtId="168" fontId="17" fillId="13" borderId="10" xfId="3" applyNumberFormat="1" applyFont="1" applyFill="1" applyBorder="1"/>
    <xf numFmtId="3" fontId="0" fillId="0" borderId="0" xfId="0" applyNumberFormat="1"/>
    <xf numFmtId="0" fontId="5" fillId="3" borderId="0" xfId="0" applyFont="1" applyFill="1" applyAlignment="1">
      <alignment horizontal="left"/>
    </xf>
    <xf numFmtId="0" fontId="39" fillId="3" borderId="0" xfId="0" applyFont="1" applyFill="1" applyAlignment="1">
      <alignment horizontal="center"/>
    </xf>
    <xf numFmtId="0" fontId="39" fillId="0" borderId="0" xfId="0" applyFont="1" applyAlignment="1">
      <alignment horizontal="centerContinuous"/>
    </xf>
    <xf numFmtId="0" fontId="13" fillId="14" borderId="0" xfId="0" applyFont="1" applyFill="1"/>
    <xf numFmtId="0" fontId="4" fillId="14" borderId="0" xfId="0" applyFont="1" applyFill="1" applyAlignment="1">
      <alignment horizontal="left" indent="1"/>
    </xf>
    <xf numFmtId="9" fontId="13" fillId="0" borderId="0" xfId="1" applyFont="1"/>
    <xf numFmtId="0" fontId="50" fillId="0" borderId="0" xfId="0" applyFont="1" applyAlignment="1">
      <alignment horizontal="left" indent="1"/>
    </xf>
    <xf numFmtId="0" fontId="39" fillId="0" borderId="0" xfId="0" applyFont="1"/>
    <xf numFmtId="0" fontId="42" fillId="0" borderId="0" xfId="0" applyFont="1"/>
    <xf numFmtId="189" fontId="5" fillId="0" borderId="0" xfId="0" applyNumberFormat="1" applyFont="1" applyAlignment="1">
      <alignment horizontal="center"/>
    </xf>
    <xf numFmtId="180" fontId="28" fillId="11" borderId="0" xfId="0" applyNumberFormat="1" applyFont="1" applyFill="1" applyAlignment="1">
      <alignment horizontal="left" vertical="center"/>
    </xf>
    <xf numFmtId="173" fontId="6" fillId="0" borderId="0" xfId="1" applyNumberFormat="1" applyFont="1"/>
    <xf numFmtId="180" fontId="37" fillId="0" borderId="0" xfId="0" applyNumberFormat="1" applyFont="1"/>
    <xf numFmtId="41" fontId="51" fillId="11" borderId="0" xfId="0" applyNumberFormat="1" applyFont="1" applyFill="1" applyAlignment="1">
      <alignment horizontal="center" vertical="center"/>
    </xf>
    <xf numFmtId="41" fontId="51" fillId="11" borderId="0" xfId="0" applyNumberFormat="1" applyFont="1" applyFill="1" applyAlignment="1">
      <alignment horizontal="left" vertical="center"/>
    </xf>
    <xf numFmtId="0" fontId="13" fillId="0" borderId="6" xfId="0" applyFont="1" applyBorder="1"/>
    <xf numFmtId="0" fontId="14" fillId="0" borderId="6" xfId="0" applyFont="1" applyBorder="1"/>
    <xf numFmtId="41" fontId="13" fillId="0" borderId="0" xfId="0" applyNumberFormat="1" applyFont="1" applyAlignment="1">
      <alignment horizontal="right" indent="1"/>
    </xf>
    <xf numFmtId="0" fontId="39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4" fillId="0" borderId="0" xfId="10" applyFont="1"/>
    <xf numFmtId="0" fontId="48" fillId="0" borderId="0" xfId="0" applyFont="1"/>
    <xf numFmtId="0" fontId="5" fillId="3" borderId="2" xfId="0" applyFont="1" applyFill="1" applyBorder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10" fillId="0" borderId="0" xfId="10" applyFont="1"/>
    <xf numFmtId="0" fontId="27" fillId="3" borderId="0" xfId="0" applyFont="1" applyFill="1" applyAlignment="1">
      <alignment horizontal="center"/>
    </xf>
    <xf numFmtId="0" fontId="17" fillId="15" borderId="0" xfId="0" applyFont="1" applyFill="1"/>
    <xf numFmtId="0" fontId="6" fillId="15" borderId="0" xfId="0" applyFont="1" applyFill="1"/>
    <xf numFmtId="189" fontId="17" fillId="15" borderId="0" xfId="0" applyNumberFormat="1" applyFont="1" applyFill="1" applyAlignment="1">
      <alignment horizontal="center"/>
    </xf>
    <xf numFmtId="0" fontId="10" fillId="11" borderId="0" xfId="0" applyFont="1" applyFill="1" applyAlignment="1">
      <alignment horizontal="center" vertical="center"/>
    </xf>
    <xf numFmtId="42" fontId="8" fillId="0" borderId="0" xfId="0" applyNumberFormat="1" applyFont="1"/>
    <xf numFmtId="0" fontId="8" fillId="0" borderId="0" xfId="10" applyFont="1"/>
    <xf numFmtId="41" fontId="10" fillId="11" borderId="0" xfId="0" applyNumberFormat="1" applyFont="1" applyFill="1" applyAlignment="1">
      <alignment horizontal="left" vertical="center" indent="1"/>
    </xf>
    <xf numFmtId="0" fontId="52" fillId="0" borderId="0" xfId="0" applyFont="1" applyAlignment="1">
      <alignment horizontal="center"/>
    </xf>
    <xf numFmtId="197" fontId="53" fillId="0" borderId="0" xfId="0" applyNumberFormat="1" applyFont="1" applyAlignment="1">
      <alignment horizontal="right"/>
    </xf>
    <xf numFmtId="197" fontId="11" fillId="0" borderId="0" xfId="0" applyNumberFormat="1" applyFont="1" applyAlignment="1">
      <alignment horizontal="right"/>
    </xf>
    <xf numFmtId="186" fontId="14" fillId="0" borderId="0" xfId="0" applyNumberFormat="1" applyFont="1" applyAlignment="1">
      <alignment horizontal="center"/>
    </xf>
    <xf numFmtId="0" fontId="52" fillId="0" borderId="0" xfId="0" applyFont="1" applyAlignment="1">
      <alignment horizontal="left" indent="1"/>
    </xf>
    <xf numFmtId="0" fontId="6" fillId="11" borderId="0" xfId="0" applyFont="1" applyFill="1" applyAlignment="1">
      <alignment horizontal="left" vertical="center" indent="1"/>
    </xf>
    <xf numFmtId="9" fontId="54" fillId="0" borderId="0" xfId="1" applyFont="1"/>
    <xf numFmtId="0" fontId="55" fillId="0" borderId="0" xfId="0" applyFont="1" applyAlignment="1">
      <alignment horizontal="left" indent="1"/>
    </xf>
    <xf numFmtId="0" fontId="32" fillId="0" borderId="0" xfId="10" applyFont="1"/>
    <xf numFmtId="41" fontId="8" fillId="0" borderId="0" xfId="0" applyNumberFormat="1" applyFont="1"/>
    <xf numFmtId="0" fontId="6" fillId="0" borderId="0" xfId="0" applyFont="1"/>
    <xf numFmtId="189" fontId="17" fillId="0" borderId="0" xfId="0" applyNumberFormat="1" applyFont="1" applyAlignment="1">
      <alignment horizontal="center"/>
    </xf>
    <xf numFmtId="0" fontId="17" fillId="11" borderId="0" xfId="0" applyFont="1" applyFill="1" applyAlignment="1">
      <alignment vertical="center"/>
    </xf>
    <xf numFmtId="0" fontId="37" fillId="0" borderId="0" xfId="10" applyFont="1"/>
    <xf numFmtId="42" fontId="53" fillId="0" borderId="0" xfId="0" applyNumberFormat="1" applyFont="1"/>
    <xf numFmtId="0" fontId="52" fillId="0" borderId="0" xfId="10" applyFont="1" applyAlignment="1">
      <alignment horizontal="left" indent="1"/>
    </xf>
    <xf numFmtId="0" fontId="56" fillId="0" borderId="0" xfId="10" applyFont="1"/>
    <xf numFmtId="0" fontId="57" fillId="0" borderId="0" xfId="10" applyFont="1"/>
    <xf numFmtId="0" fontId="17" fillId="11" borderId="0" xfId="0" applyFont="1" applyFill="1" applyAlignment="1">
      <alignment horizontal="left" vertical="center"/>
    </xf>
    <xf numFmtId="0" fontId="3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1" fontId="11" fillId="0" borderId="0" xfId="0" applyNumberFormat="1" applyFont="1"/>
    <xf numFmtId="197" fontId="10" fillId="11" borderId="0" xfId="0" applyNumberFormat="1" applyFont="1" applyFill="1" applyAlignment="1">
      <alignment horizontal="left" vertical="center"/>
    </xf>
    <xf numFmtId="42" fontId="11" fillId="0" borderId="0" xfId="0" applyNumberFormat="1" applyFont="1"/>
    <xf numFmtId="9" fontId="11" fillId="0" borderId="0" xfId="1" applyFont="1"/>
    <xf numFmtId="0" fontId="5" fillId="3" borderId="16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/>
    <xf numFmtId="0" fontId="27" fillId="3" borderId="5" xfId="0" applyFont="1" applyFill="1" applyBorder="1" applyAlignment="1">
      <alignment horizontal="center"/>
    </xf>
    <xf numFmtId="185" fontId="5" fillId="3" borderId="17" xfId="0" applyNumberFormat="1" applyFont="1" applyFill="1" applyBorder="1" applyAlignment="1">
      <alignment horizontal="center"/>
    </xf>
    <xf numFmtId="0" fontId="52" fillId="0" borderId="0" xfId="10" applyFont="1" applyAlignment="1">
      <alignment horizontal="center"/>
    </xf>
    <xf numFmtId="176" fontId="11" fillId="0" borderId="0" xfId="4" applyNumberFormat="1" applyFont="1"/>
    <xf numFmtId="176" fontId="11" fillId="0" borderId="0" xfId="4" applyNumberFormat="1" applyFont="1" applyAlignment="1">
      <alignment horizontal="right"/>
    </xf>
    <xf numFmtId="186" fontId="58" fillId="0" borderId="0" xfId="0" applyNumberFormat="1" applyFont="1" applyAlignment="1">
      <alignment horizontal="right"/>
    </xf>
    <xf numFmtId="0" fontId="4" fillId="0" borderId="0" xfId="10" applyFont="1" applyAlignment="1">
      <alignment horizontal="right"/>
    </xf>
    <xf numFmtId="43" fontId="5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47" fillId="0" borderId="0" xfId="0" applyFont="1"/>
    <xf numFmtId="0" fontId="59" fillId="0" borderId="0" xfId="0" applyFont="1"/>
    <xf numFmtId="0" fontId="60" fillId="16" borderId="0" xfId="0" applyFont="1" applyFill="1"/>
    <xf numFmtId="0" fontId="61" fillId="16" borderId="0" xfId="0" applyFont="1" applyFill="1"/>
    <xf numFmtId="0" fontId="61" fillId="0" borderId="0" xfId="0" applyFont="1"/>
    <xf numFmtId="198" fontId="62" fillId="0" borderId="0" xfId="0" applyNumberFormat="1" applyFont="1"/>
    <xf numFmtId="0" fontId="63" fillId="0" borderId="0" xfId="0" applyFont="1"/>
    <xf numFmtId="0" fontId="64" fillId="0" borderId="0" xfId="0" applyFont="1"/>
    <xf numFmtId="1" fontId="64" fillId="0" borderId="0" xfId="0" applyNumberFormat="1" applyFont="1"/>
    <xf numFmtId="0" fontId="35" fillId="16" borderId="0" xfId="3" applyFont="1" applyFill="1"/>
    <xf numFmtId="0" fontId="35" fillId="16" borderId="0" xfId="3" applyFont="1" applyFill="1" applyAlignment="1">
      <alignment horizontal="center"/>
    </xf>
    <xf numFmtId="173" fontId="10" fillId="0" borderId="0" xfId="1" applyNumberFormat="1" applyFont="1"/>
    <xf numFmtId="9" fontId="10" fillId="0" borderId="0" xfId="1" applyFont="1"/>
    <xf numFmtId="42" fontId="10" fillId="0" borderId="0" xfId="3" applyNumberFormat="1" applyFont="1"/>
    <xf numFmtId="199" fontId="43" fillId="0" borderId="0" xfId="0" applyNumberFormat="1" applyFont="1"/>
    <xf numFmtId="0" fontId="17" fillId="8" borderId="0" xfId="3" applyFont="1" applyFill="1" applyAlignment="1">
      <alignment horizontal="left"/>
    </xf>
    <xf numFmtId="0" fontId="17" fillId="8" borderId="0" xfId="3" applyFont="1" applyFill="1"/>
    <xf numFmtId="200" fontId="17" fillId="8" borderId="0" xfId="3" applyNumberFormat="1" applyFont="1" applyFill="1"/>
    <xf numFmtId="201" fontId="17" fillId="8" borderId="0" xfId="3" applyNumberFormat="1" applyFont="1" applyFill="1" applyAlignment="1">
      <alignment horizontal="right"/>
    </xf>
    <xf numFmtId="173" fontId="17" fillId="8" borderId="0" xfId="1" applyNumberFormat="1" applyFont="1" applyFill="1"/>
    <xf numFmtId="9" fontId="17" fillId="8" borderId="0" xfId="1" applyFont="1" applyFill="1"/>
    <xf numFmtId="201" fontId="17" fillId="8" borderId="0" xfId="3" applyNumberFormat="1" applyFont="1" applyFill="1"/>
    <xf numFmtId="200" fontId="17" fillId="8" borderId="0" xfId="3" applyNumberFormat="1" applyFont="1" applyFill="1" applyAlignment="1">
      <alignment horizontal="right"/>
    </xf>
    <xf numFmtId="0" fontId="5" fillId="5" borderId="0" xfId="3" applyFont="1" applyFill="1"/>
    <xf numFmtId="173" fontId="5" fillId="5" borderId="0" xfId="1" applyNumberFormat="1" applyFont="1" applyFill="1"/>
    <xf numFmtId="41" fontId="5" fillId="5" borderId="0" xfId="3" applyNumberFormat="1" applyFont="1" applyFill="1"/>
    <xf numFmtId="9" fontId="5" fillId="5" borderId="0" xfId="1" applyFont="1" applyFill="1"/>
    <xf numFmtId="173" fontId="5" fillId="5" borderId="0" xfId="3" applyNumberFormat="1" applyFont="1" applyFill="1"/>
    <xf numFmtId="43" fontId="5" fillId="5" borderId="0" xfId="3" applyNumberFormat="1" applyFont="1" applyFill="1"/>
    <xf numFmtId="200" fontId="10" fillId="0" borderId="0" xfId="3" applyNumberFormat="1" applyFont="1"/>
    <xf numFmtId="173" fontId="10" fillId="0" borderId="0" xfId="3" applyNumberFormat="1" applyFont="1"/>
    <xf numFmtId="186" fontId="10" fillId="0" borderId="0" xfId="3" applyNumberFormat="1" applyFont="1"/>
    <xf numFmtId="173" fontId="10" fillId="0" borderId="0" xfId="3" applyNumberFormat="1" applyFont="1" applyAlignment="1">
      <alignment horizontal="center"/>
    </xf>
    <xf numFmtId="186" fontId="10" fillId="0" borderId="0" xfId="3" applyNumberFormat="1" applyFont="1" applyAlignment="1">
      <alignment horizontal="center"/>
    </xf>
    <xf numFmtId="200" fontId="4" fillId="0" borderId="0" xfId="0" applyNumberFormat="1" applyFont="1"/>
    <xf numFmtId="0" fontId="5" fillId="8" borderId="0" xfId="3" applyFont="1" applyFill="1"/>
    <xf numFmtId="179" fontId="5" fillId="8" borderId="0" xfId="3" applyNumberFormat="1" applyFont="1" applyFill="1"/>
    <xf numFmtId="198" fontId="5" fillId="8" borderId="0" xfId="3" applyNumberFormat="1" applyFont="1" applyFill="1"/>
    <xf numFmtId="198" fontId="7" fillId="4" borderId="0" xfId="0" applyNumberFormat="1" applyFont="1" applyFill="1" applyAlignment="1">
      <alignment horizontal="center"/>
    </xf>
    <xf numFmtId="198" fontId="10" fillId="4" borderId="0" xfId="0" applyNumberFormat="1" applyFont="1" applyFill="1" applyAlignment="1">
      <alignment horizont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horizontal="right" vertical="center"/>
    </xf>
    <xf numFmtId="15" fontId="46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3" fontId="46" fillId="0" borderId="0" xfId="0" applyNumberFormat="1" applyFont="1" applyAlignment="1">
      <alignment horizontal="right" vertical="center"/>
    </xf>
    <xf numFmtId="0" fontId="17" fillId="18" borderId="0" xfId="3" applyFont="1" applyFill="1"/>
    <xf numFmtId="0" fontId="10" fillId="18" borderId="0" xfId="3" applyFont="1" applyFill="1"/>
    <xf numFmtId="0" fontId="10" fillId="0" borderId="0" xfId="3" applyFont="1" applyAlignment="1">
      <alignment horizontal="right"/>
    </xf>
    <xf numFmtId="44" fontId="10" fillId="0" borderId="0" xfId="3" applyNumberFormat="1" applyFont="1" applyAlignment="1">
      <alignment horizontal="right"/>
    </xf>
    <xf numFmtId="0" fontId="5" fillId="3" borderId="0" xfId="3" applyFont="1" applyFill="1" applyAlignment="1">
      <alignment horizontal="left"/>
    </xf>
    <xf numFmtId="0" fontId="5" fillId="3" borderId="0" xfId="3" applyFont="1" applyFill="1"/>
    <xf numFmtId="8" fontId="10" fillId="0" borderId="0" xfId="3" applyNumberFormat="1" applyFont="1" applyAlignment="1">
      <alignment horizontal="right"/>
    </xf>
    <xf numFmtId="8" fontId="10" fillId="18" borderId="0" xfId="3" applyNumberFormat="1" applyFont="1" applyFill="1" applyAlignment="1">
      <alignment horizontal="right"/>
    </xf>
    <xf numFmtId="0" fontId="10" fillId="18" borderId="0" xfId="3" applyFont="1" applyFill="1" applyAlignment="1">
      <alignment horizontal="right"/>
    </xf>
    <xf numFmtId="8" fontId="17" fillId="0" borderId="0" xfId="3" applyNumberFormat="1" applyFont="1" applyAlignment="1">
      <alignment horizontal="right"/>
    </xf>
    <xf numFmtId="0" fontId="66" fillId="0" borderId="0" xfId="0" applyFont="1" applyAlignment="1">
      <alignment horizontal="left" vertical="center" readingOrder="1"/>
    </xf>
    <xf numFmtId="14" fontId="0" fillId="0" borderId="0" xfId="0" applyNumberFormat="1"/>
    <xf numFmtId="14" fontId="66" fillId="0" borderId="0" xfId="0" applyNumberFormat="1" applyFont="1" applyAlignment="1">
      <alignment horizontal="left" vertical="center" readingOrder="1"/>
    </xf>
    <xf numFmtId="8" fontId="66" fillId="0" borderId="0" xfId="0" applyNumberFormat="1" applyFont="1" applyAlignment="1">
      <alignment horizontal="left" vertical="center" readingOrder="1"/>
    </xf>
    <xf numFmtId="0" fontId="50" fillId="0" borderId="0" xfId="0" applyFont="1"/>
    <xf numFmtId="4" fontId="4" fillId="0" borderId="0" xfId="10" applyNumberFormat="1" applyFont="1"/>
    <xf numFmtId="185" fontId="10" fillId="0" borderId="0" xfId="0" applyNumberFormat="1" applyFont="1" applyAlignment="1">
      <alignment horizontal="left"/>
    </xf>
    <xf numFmtId="0" fontId="4" fillId="19" borderId="0" xfId="10" applyFont="1" applyFill="1"/>
    <xf numFmtId="0" fontId="4" fillId="17" borderId="0" xfId="10" applyFont="1" applyFill="1"/>
    <xf numFmtId="0" fontId="4" fillId="20" borderId="0" xfId="10" applyFont="1" applyFill="1"/>
    <xf numFmtId="0" fontId="13" fillId="15" borderId="5" xfId="10" applyFont="1" applyFill="1" applyBorder="1" applyAlignment="1">
      <alignment horizontal="center"/>
    </xf>
    <xf numFmtId="0" fontId="13" fillId="15" borderId="5" xfId="10" applyFont="1" applyFill="1" applyBorder="1"/>
    <xf numFmtId="0" fontId="4" fillId="0" borderId="0" xfId="10" applyFont="1" applyAlignment="1">
      <alignment horizontal="center"/>
    </xf>
    <xf numFmtId="0" fontId="41" fillId="0" borderId="0" xfId="5" applyFont="1"/>
    <xf numFmtId="166" fontId="0" fillId="0" borderId="0" xfId="0" applyNumberFormat="1"/>
    <xf numFmtId="0" fontId="17" fillId="5" borderId="0" xfId="6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</cellXfs>
  <cellStyles count="11">
    <cellStyle name="Hyperlink" xfId="5" builtinId="8"/>
    <cellStyle name="Normal" xfId="0" builtinId="0"/>
    <cellStyle name="Normal 2" xfId="3" xr:uid="{2875F4C7-1C36-4EC0-A66C-DAB35FE6C8DD}"/>
    <cellStyle name="Normal 2 2" xfId="4" xr:uid="{710407E4-69F8-448B-B4E1-BE02D5262556}"/>
    <cellStyle name="Normal 3 2" xfId="6" xr:uid="{30AE415A-C490-4175-8592-668150F750D1}"/>
    <cellStyle name="Normal 3 2 2" xfId="10" xr:uid="{6FD3E756-4445-4F1D-885B-31441C98F774}"/>
    <cellStyle name="Normal 3 3" xfId="9" xr:uid="{8282F6CB-D314-489C-8B77-B7BCE0EB385E}"/>
    <cellStyle name="Normal 5 2" xfId="7" xr:uid="{73E7770E-2855-43FB-9375-46D83C8D3A0E}"/>
    <cellStyle name="Note" xfId="2" builtinId="10"/>
    <cellStyle name="Percent" xfId="1" builtinId="5"/>
    <cellStyle name="TextNormal" xfId="8" xr:uid="{2126D24C-3BBC-4561-9D3C-DE79A8869E04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Graphs!$K$3</c:f>
          <c:strCache>
            <c:ptCount val="1"/>
            <c:pt idx="0">
              <c:v>Revenue by Segment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02163276105093"/>
          <c:y val="8.9903431121788405E-2"/>
          <c:w val="0.80451055093042123"/>
          <c:h val="0.730321003311859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 Product Revenue 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 formatCode="&quot;FY&quot;\ yy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Summary!$G$10:$P$10</c:f>
              <c:numCache>
                <c:formatCode>_("$"* #,##0_);_("$"* \(#,##0\);_("$"* "-"_);_(@_)</c:formatCode>
                <c:ptCount val="10"/>
                <c:pt idx="0">
                  <c:v>77017</c:v>
                </c:pt>
                <c:pt idx="1">
                  <c:v>118927</c:v>
                </c:pt>
                <c:pt idx="2">
                  <c:v>180413</c:v>
                </c:pt>
                <c:pt idx="3">
                  <c:v>285415</c:v>
                </c:pt>
                <c:pt idx="4">
                  <c:v>375393.05</c:v>
                </c:pt>
                <c:pt idx="5">
                  <c:v>585021.11380000005</c:v>
                </c:pt>
                <c:pt idx="6">
                  <c:v>864635.1615422914</c:v>
                </c:pt>
                <c:pt idx="7">
                  <c:v>1245100.252272018</c:v>
                </c:pt>
                <c:pt idx="8">
                  <c:v>1652459.351131978</c:v>
                </c:pt>
                <c:pt idx="9">
                  <c:v>2089814.3402207252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F-4D4D-8687-AF40840C06AC}"/>
            </c:ext>
          </c:extLst>
        </c:ser>
        <c:ser>
          <c:idx val="1"/>
          <c:order val="1"/>
          <c:tx>
            <c:strRef>
              <c:f>Summary!$C$13</c:f>
              <c:strCache>
                <c:ptCount val="1"/>
                <c:pt idx="0">
                  <c:v>Royalty revenue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 formatCode="&quot;FY&quot;\ yy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Summary!$G$13:$P$13</c:f>
              <c:numCache>
                <c:formatCode>_("$"* #,##0_);_("$"* \(#,##0\);_("$"* "-"_);_(@_)</c:formatCode>
                <c:ptCount val="10"/>
                <c:pt idx="0">
                  <c:v>0</c:v>
                </c:pt>
                <c:pt idx="1">
                  <c:v>21692</c:v>
                </c:pt>
                <c:pt idx="2">
                  <c:v>182652</c:v>
                </c:pt>
                <c:pt idx="3">
                  <c:v>274815</c:v>
                </c:pt>
                <c:pt idx="4">
                  <c:v>296122.49703962984</c:v>
                </c:pt>
                <c:pt idx="5">
                  <c:v>316851.07183240395</c:v>
                </c:pt>
                <c:pt idx="6">
                  <c:v>335862.13614234823</c:v>
                </c:pt>
                <c:pt idx="7">
                  <c:v>352655.24294946564</c:v>
                </c:pt>
                <c:pt idx="8">
                  <c:v>370288.00509693893</c:v>
                </c:pt>
                <c:pt idx="9">
                  <c:v>388802.40535178588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CF-4D4D-8687-AF40840C0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9789808"/>
        <c:axId val="659787888"/>
      </c:barChart>
      <c:dateAx>
        <c:axId val="659789808"/>
        <c:scaling>
          <c:orientation val="minMax"/>
        </c:scaling>
        <c:delete val="0"/>
        <c:axPos val="b"/>
        <c:numFmt formatCode="&quot;FY&quot;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87888"/>
        <c:crosses val="autoZero"/>
        <c:auto val="1"/>
        <c:lblOffset val="100"/>
        <c:baseTimeUnit val="years"/>
      </c:dateAx>
      <c:valAx>
        <c:axId val="6597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8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Graphs!$K$17</c:f>
          <c:strCache>
            <c:ptCount val="1"/>
            <c:pt idx="0">
              <c:v>Revenue vs. OpEx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Summary!$C$20</c:f>
              <c:strCache>
                <c:ptCount val="1"/>
                <c:pt idx="0">
                  <c:v>Revenue: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 formatCode="&quot;FY&quot;\ yy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Summary!$G$20:$P$20</c:f>
              <c:numCache>
                <c:formatCode>_("$"* #,##0_);_("$"* \(#,##0\);_("$"* "-"_);_(@_)</c:formatCode>
                <c:ptCount val="10"/>
                <c:pt idx="0">
                  <c:v>266166</c:v>
                </c:pt>
                <c:pt idx="1">
                  <c:v>377335</c:v>
                </c:pt>
                <c:pt idx="2">
                  <c:v>432770</c:v>
                </c:pt>
                <c:pt idx="3">
                  <c:v>560230</c:v>
                </c:pt>
                <c:pt idx="4">
                  <c:v>673000</c:v>
                </c:pt>
                <c:pt idx="5">
                  <c:v>745000</c:v>
                </c:pt>
                <c:pt idx="6">
                  <c:v>1200497.2976846397</c:v>
                </c:pt>
                <c:pt idx="7">
                  <c:v>1597755.4952214835</c:v>
                </c:pt>
                <c:pt idx="8">
                  <c:v>2022747.3562289169</c:v>
                </c:pt>
                <c:pt idx="9">
                  <c:v>2478616.7455725111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F-47AA-8DE7-24E594282A34}"/>
            </c:ext>
          </c:extLst>
        </c:ser>
        <c:ser>
          <c:idx val="1"/>
          <c:order val="1"/>
          <c:tx>
            <c:strRef>
              <c:f>Summary!$C$26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Summary!$G$7:$P$7</c:f>
              <c:numCache>
                <c:formatCode>"FY"yy</c:formatCode>
                <c:ptCount val="10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 formatCode="&quot;FY&quot;\ yy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Summary!$G$26:$P$26</c:f>
              <c:numCache>
                <c:formatCode>_("$"* #,##0_);_("$"* \(#,##0\);_("$"* "-"_);_(@_)</c:formatCode>
                <c:ptCount val="10"/>
                <c:pt idx="0">
                  <c:v>733143</c:v>
                </c:pt>
                <c:pt idx="1">
                  <c:v>1012248</c:v>
                </c:pt>
                <c:pt idx="2">
                  <c:v>1003457</c:v>
                </c:pt>
                <c:pt idx="3">
                  <c:v>1096203</c:v>
                </c:pt>
                <c:pt idx="4">
                  <c:v>1208000</c:v>
                </c:pt>
                <c:pt idx="5">
                  <c:v>1133225.4516328054</c:v>
                </c:pt>
                <c:pt idx="6">
                  <c:v>900447.83718790638</c:v>
                </c:pt>
                <c:pt idx="7">
                  <c:v>707682.99456993351</c:v>
                </c:pt>
                <c:pt idx="8">
                  <c:v>902047.26206060254</c:v>
                </c:pt>
                <c:pt idx="9">
                  <c:v>831075.50710152602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F-47AA-8DE7-24E594282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666400"/>
        <c:axId val="660667360"/>
      </c:barChart>
      <c:dateAx>
        <c:axId val="660666400"/>
        <c:scaling>
          <c:orientation val="minMax"/>
        </c:scaling>
        <c:delete val="0"/>
        <c:axPos val="b"/>
        <c:numFmt formatCode="&quot;FY&quot;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67360"/>
        <c:crosses val="autoZero"/>
        <c:auto val="1"/>
        <c:lblOffset val="100"/>
        <c:baseTimeUnit val="years"/>
      </c:dateAx>
      <c:valAx>
        <c:axId val="66066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6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Graphs!$J$33</c:f>
          <c:strCache>
            <c:ptCount val="1"/>
            <c:pt idx="0">
              <c:v>OpEx breakout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Model!$C$65</c:f>
              <c:strCache>
                <c:ptCount val="1"/>
                <c:pt idx="0">
                  <c:v>Selling, general and administrative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Model!$G$65:$P$65</c:f>
              <c:numCache>
                <c:formatCode>_(* #,##0_);_(* \(#,##0\);_(* "-"_);_(@_)</c:formatCode>
                <c:ptCount val="10"/>
                <c:pt idx="0">
                  <c:v>219982</c:v>
                </c:pt>
                <c:pt idx="1">
                  <c:v>278139</c:v>
                </c:pt>
                <c:pt idx="2">
                  <c:v>309799</c:v>
                </c:pt>
                <c:pt idx="3">
                  <c:v>321610</c:v>
                </c:pt>
                <c:pt idx="4">
                  <c:v>349000</c:v>
                </c:pt>
                <c:pt idx="5">
                  <c:v>331550</c:v>
                </c:pt>
                <c:pt idx="6">
                  <c:v>315000</c:v>
                </c:pt>
                <c:pt idx="7">
                  <c:v>290000</c:v>
                </c:pt>
                <c:pt idx="8">
                  <c:v>320000</c:v>
                </c:pt>
                <c:pt idx="9">
                  <c:v>304000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2-496D-A341-A92DE8E62816}"/>
            </c:ext>
          </c:extLst>
        </c:ser>
        <c:ser>
          <c:idx val="2"/>
          <c:order val="1"/>
          <c:tx>
            <c:strRef>
              <c:f>Model!$C$66</c:f>
              <c:strCache>
                <c:ptCount val="1"/>
                <c:pt idx="0">
                  <c:v>Research and development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Model!$G$66:$P$66</c:f>
              <c:numCache>
                <c:formatCode>_(* #,##0_);_(* \(#,##0\);_(* "-"_);_(@_)</c:formatCode>
                <c:ptCount val="10"/>
                <c:pt idx="0">
                  <c:v>497153</c:v>
                </c:pt>
                <c:pt idx="1">
                  <c:v>705789</c:v>
                </c:pt>
                <c:pt idx="2">
                  <c:v>648449</c:v>
                </c:pt>
                <c:pt idx="3">
                  <c:v>697865</c:v>
                </c:pt>
                <c:pt idx="4">
                  <c:v>750000</c:v>
                </c:pt>
                <c:pt idx="5">
                  <c:v>712500</c:v>
                </c:pt>
                <c:pt idx="6">
                  <c:v>441750</c:v>
                </c:pt>
                <c:pt idx="7">
                  <c:v>273885</c:v>
                </c:pt>
                <c:pt idx="8">
                  <c:v>400000</c:v>
                </c:pt>
                <c:pt idx="9">
                  <c:v>304000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2-496D-A341-A92DE8E62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701343"/>
        <c:axId val="1622705183"/>
      </c:barChart>
      <c:catAx>
        <c:axId val="1622701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705183"/>
        <c:crosses val="autoZero"/>
        <c:auto val="1"/>
        <c:lblAlgn val="ctr"/>
        <c:lblOffset val="100"/>
        <c:noMultiLvlLbl val="0"/>
      </c:catAx>
      <c:valAx>
        <c:axId val="16227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70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Graphs!$J$42</c:f>
          <c:strCache>
            <c:ptCount val="1"/>
            <c:pt idx="0">
              <c:v>Ultragenyx Pharmaceutical Inc. - Price Volume Graph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Graphs!$M$46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Graphs!$K$47:$K$297</c:f>
              <c:numCache>
                <c:formatCode>d\-mmm\-yy</c:formatCode>
                <c:ptCount val="251"/>
                <c:pt idx="0">
                  <c:v>46042</c:v>
                </c:pt>
                <c:pt idx="1">
                  <c:v>46038</c:v>
                </c:pt>
                <c:pt idx="2">
                  <c:v>46037</c:v>
                </c:pt>
                <c:pt idx="3">
                  <c:v>46036</c:v>
                </c:pt>
                <c:pt idx="4">
                  <c:v>46035</c:v>
                </c:pt>
                <c:pt idx="5">
                  <c:v>46034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46024</c:v>
                </c:pt>
                <c:pt idx="12">
                  <c:v>46022</c:v>
                </c:pt>
                <c:pt idx="13">
                  <c:v>46021</c:v>
                </c:pt>
                <c:pt idx="14">
                  <c:v>46020</c:v>
                </c:pt>
                <c:pt idx="15">
                  <c:v>46017</c:v>
                </c:pt>
                <c:pt idx="16">
                  <c:v>46015</c:v>
                </c:pt>
                <c:pt idx="17">
                  <c:v>46014</c:v>
                </c:pt>
                <c:pt idx="18">
                  <c:v>46013</c:v>
                </c:pt>
                <c:pt idx="19">
                  <c:v>46010</c:v>
                </c:pt>
                <c:pt idx="20">
                  <c:v>46009</c:v>
                </c:pt>
                <c:pt idx="21">
                  <c:v>46008</c:v>
                </c:pt>
                <c:pt idx="22">
                  <c:v>46007</c:v>
                </c:pt>
                <c:pt idx="23">
                  <c:v>46006</c:v>
                </c:pt>
                <c:pt idx="24">
                  <c:v>46003</c:v>
                </c:pt>
                <c:pt idx="25">
                  <c:v>46002</c:v>
                </c:pt>
                <c:pt idx="26">
                  <c:v>46001</c:v>
                </c:pt>
                <c:pt idx="27">
                  <c:v>46000</c:v>
                </c:pt>
                <c:pt idx="28">
                  <c:v>45999</c:v>
                </c:pt>
                <c:pt idx="29">
                  <c:v>45996</c:v>
                </c:pt>
                <c:pt idx="30">
                  <c:v>45995</c:v>
                </c:pt>
                <c:pt idx="31">
                  <c:v>45994</c:v>
                </c:pt>
                <c:pt idx="32">
                  <c:v>45993</c:v>
                </c:pt>
                <c:pt idx="33">
                  <c:v>45992</c:v>
                </c:pt>
                <c:pt idx="34">
                  <c:v>45989</c:v>
                </c:pt>
                <c:pt idx="35">
                  <c:v>45987</c:v>
                </c:pt>
                <c:pt idx="36">
                  <c:v>45986</c:v>
                </c:pt>
                <c:pt idx="37">
                  <c:v>45985</c:v>
                </c:pt>
                <c:pt idx="38">
                  <c:v>45982</c:v>
                </c:pt>
                <c:pt idx="39">
                  <c:v>45981</c:v>
                </c:pt>
                <c:pt idx="40">
                  <c:v>45980</c:v>
                </c:pt>
                <c:pt idx="41">
                  <c:v>45979</c:v>
                </c:pt>
                <c:pt idx="42">
                  <c:v>45978</c:v>
                </c:pt>
                <c:pt idx="43">
                  <c:v>45975</c:v>
                </c:pt>
                <c:pt idx="44">
                  <c:v>45974</c:v>
                </c:pt>
                <c:pt idx="45">
                  <c:v>45973</c:v>
                </c:pt>
                <c:pt idx="46">
                  <c:v>45972</c:v>
                </c:pt>
                <c:pt idx="47">
                  <c:v>45971</c:v>
                </c:pt>
                <c:pt idx="48">
                  <c:v>45968</c:v>
                </c:pt>
                <c:pt idx="49">
                  <c:v>45967</c:v>
                </c:pt>
                <c:pt idx="50">
                  <c:v>45966</c:v>
                </c:pt>
                <c:pt idx="51">
                  <c:v>45965</c:v>
                </c:pt>
                <c:pt idx="52">
                  <c:v>45964</c:v>
                </c:pt>
                <c:pt idx="53">
                  <c:v>45961</c:v>
                </c:pt>
                <c:pt idx="54">
                  <c:v>45960</c:v>
                </c:pt>
                <c:pt idx="55">
                  <c:v>45959</c:v>
                </c:pt>
                <c:pt idx="56">
                  <c:v>45958</c:v>
                </c:pt>
                <c:pt idx="57">
                  <c:v>45957</c:v>
                </c:pt>
                <c:pt idx="58">
                  <c:v>45954</c:v>
                </c:pt>
                <c:pt idx="59">
                  <c:v>45953</c:v>
                </c:pt>
                <c:pt idx="60">
                  <c:v>45952</c:v>
                </c:pt>
                <c:pt idx="61">
                  <c:v>45951</c:v>
                </c:pt>
                <c:pt idx="62">
                  <c:v>45950</c:v>
                </c:pt>
                <c:pt idx="63">
                  <c:v>45947</c:v>
                </c:pt>
                <c:pt idx="64">
                  <c:v>45946</c:v>
                </c:pt>
                <c:pt idx="65">
                  <c:v>45945</c:v>
                </c:pt>
                <c:pt idx="66">
                  <c:v>45944</c:v>
                </c:pt>
                <c:pt idx="67">
                  <c:v>45943</c:v>
                </c:pt>
                <c:pt idx="68">
                  <c:v>45940</c:v>
                </c:pt>
                <c:pt idx="69">
                  <c:v>45939</c:v>
                </c:pt>
                <c:pt idx="70">
                  <c:v>45938</c:v>
                </c:pt>
                <c:pt idx="71">
                  <c:v>45937</c:v>
                </c:pt>
                <c:pt idx="72">
                  <c:v>45936</c:v>
                </c:pt>
                <c:pt idx="73">
                  <c:v>45933</c:v>
                </c:pt>
                <c:pt idx="74">
                  <c:v>45932</c:v>
                </c:pt>
                <c:pt idx="75">
                  <c:v>45931</c:v>
                </c:pt>
                <c:pt idx="76">
                  <c:v>45930</c:v>
                </c:pt>
                <c:pt idx="77">
                  <c:v>45929</c:v>
                </c:pt>
                <c:pt idx="78">
                  <c:v>45926</c:v>
                </c:pt>
                <c:pt idx="79">
                  <c:v>45925</c:v>
                </c:pt>
                <c:pt idx="80">
                  <c:v>45924</c:v>
                </c:pt>
                <c:pt idx="81">
                  <c:v>45923</c:v>
                </c:pt>
                <c:pt idx="82">
                  <c:v>45922</c:v>
                </c:pt>
                <c:pt idx="83">
                  <c:v>45919</c:v>
                </c:pt>
                <c:pt idx="84">
                  <c:v>45918</c:v>
                </c:pt>
                <c:pt idx="85">
                  <c:v>45917</c:v>
                </c:pt>
                <c:pt idx="86">
                  <c:v>45916</c:v>
                </c:pt>
                <c:pt idx="87">
                  <c:v>45915</c:v>
                </c:pt>
                <c:pt idx="88">
                  <c:v>45912</c:v>
                </c:pt>
                <c:pt idx="89">
                  <c:v>45911</c:v>
                </c:pt>
                <c:pt idx="90">
                  <c:v>45910</c:v>
                </c:pt>
                <c:pt idx="91">
                  <c:v>45909</c:v>
                </c:pt>
                <c:pt idx="92">
                  <c:v>45908</c:v>
                </c:pt>
                <c:pt idx="93">
                  <c:v>45905</c:v>
                </c:pt>
                <c:pt idx="94">
                  <c:v>45904</c:v>
                </c:pt>
                <c:pt idx="95">
                  <c:v>45903</c:v>
                </c:pt>
                <c:pt idx="96">
                  <c:v>45902</c:v>
                </c:pt>
                <c:pt idx="97">
                  <c:v>45898</c:v>
                </c:pt>
                <c:pt idx="98">
                  <c:v>45897</c:v>
                </c:pt>
                <c:pt idx="99">
                  <c:v>45896</c:v>
                </c:pt>
                <c:pt idx="100">
                  <c:v>45895</c:v>
                </c:pt>
                <c:pt idx="101">
                  <c:v>45894</c:v>
                </c:pt>
                <c:pt idx="102">
                  <c:v>45891</c:v>
                </c:pt>
                <c:pt idx="103">
                  <c:v>45890</c:v>
                </c:pt>
                <c:pt idx="104">
                  <c:v>45889</c:v>
                </c:pt>
                <c:pt idx="105">
                  <c:v>45888</c:v>
                </c:pt>
                <c:pt idx="106">
                  <c:v>45887</c:v>
                </c:pt>
                <c:pt idx="107">
                  <c:v>45884</c:v>
                </c:pt>
                <c:pt idx="108">
                  <c:v>45883</c:v>
                </c:pt>
                <c:pt idx="109">
                  <c:v>45882</c:v>
                </c:pt>
                <c:pt idx="110">
                  <c:v>45881</c:v>
                </c:pt>
                <c:pt idx="111">
                  <c:v>45880</c:v>
                </c:pt>
                <c:pt idx="112">
                  <c:v>45877</c:v>
                </c:pt>
                <c:pt idx="113">
                  <c:v>45876</c:v>
                </c:pt>
                <c:pt idx="114">
                  <c:v>45875</c:v>
                </c:pt>
                <c:pt idx="115">
                  <c:v>45874</c:v>
                </c:pt>
                <c:pt idx="116">
                  <c:v>45873</c:v>
                </c:pt>
                <c:pt idx="117">
                  <c:v>45870</c:v>
                </c:pt>
                <c:pt idx="118">
                  <c:v>45869</c:v>
                </c:pt>
                <c:pt idx="119">
                  <c:v>45868</c:v>
                </c:pt>
                <c:pt idx="120">
                  <c:v>45867</c:v>
                </c:pt>
                <c:pt idx="121">
                  <c:v>45866</c:v>
                </c:pt>
                <c:pt idx="122">
                  <c:v>45863</c:v>
                </c:pt>
                <c:pt idx="123">
                  <c:v>45862</c:v>
                </c:pt>
                <c:pt idx="124">
                  <c:v>45861</c:v>
                </c:pt>
                <c:pt idx="125">
                  <c:v>45860</c:v>
                </c:pt>
                <c:pt idx="126">
                  <c:v>45859</c:v>
                </c:pt>
                <c:pt idx="127">
                  <c:v>45856</c:v>
                </c:pt>
                <c:pt idx="128">
                  <c:v>45855</c:v>
                </c:pt>
                <c:pt idx="129">
                  <c:v>45854</c:v>
                </c:pt>
                <c:pt idx="130">
                  <c:v>45853</c:v>
                </c:pt>
                <c:pt idx="131">
                  <c:v>45852</c:v>
                </c:pt>
                <c:pt idx="132">
                  <c:v>45849</c:v>
                </c:pt>
                <c:pt idx="133">
                  <c:v>45848</c:v>
                </c:pt>
                <c:pt idx="134">
                  <c:v>45847</c:v>
                </c:pt>
                <c:pt idx="135">
                  <c:v>45846</c:v>
                </c:pt>
                <c:pt idx="136">
                  <c:v>45845</c:v>
                </c:pt>
                <c:pt idx="137">
                  <c:v>45841</c:v>
                </c:pt>
                <c:pt idx="138">
                  <c:v>45840</c:v>
                </c:pt>
                <c:pt idx="139">
                  <c:v>45839</c:v>
                </c:pt>
                <c:pt idx="140">
                  <c:v>45838</c:v>
                </c:pt>
                <c:pt idx="141">
                  <c:v>45835</c:v>
                </c:pt>
                <c:pt idx="142">
                  <c:v>45834</c:v>
                </c:pt>
                <c:pt idx="143">
                  <c:v>45833</c:v>
                </c:pt>
                <c:pt idx="144">
                  <c:v>45832</c:v>
                </c:pt>
                <c:pt idx="145">
                  <c:v>45831</c:v>
                </c:pt>
                <c:pt idx="146">
                  <c:v>45828</c:v>
                </c:pt>
                <c:pt idx="147">
                  <c:v>45826</c:v>
                </c:pt>
                <c:pt idx="148">
                  <c:v>45825</c:v>
                </c:pt>
                <c:pt idx="149">
                  <c:v>45824</c:v>
                </c:pt>
                <c:pt idx="150">
                  <c:v>45821</c:v>
                </c:pt>
                <c:pt idx="151">
                  <c:v>45820</c:v>
                </c:pt>
                <c:pt idx="152">
                  <c:v>45819</c:v>
                </c:pt>
                <c:pt idx="153">
                  <c:v>45818</c:v>
                </c:pt>
                <c:pt idx="154">
                  <c:v>45817</c:v>
                </c:pt>
                <c:pt idx="155">
                  <c:v>45814</c:v>
                </c:pt>
                <c:pt idx="156">
                  <c:v>45813</c:v>
                </c:pt>
                <c:pt idx="157">
                  <c:v>45812</c:v>
                </c:pt>
                <c:pt idx="158">
                  <c:v>45811</c:v>
                </c:pt>
                <c:pt idx="159">
                  <c:v>45810</c:v>
                </c:pt>
                <c:pt idx="160">
                  <c:v>45807</c:v>
                </c:pt>
                <c:pt idx="161">
                  <c:v>45806</c:v>
                </c:pt>
                <c:pt idx="162">
                  <c:v>45805</c:v>
                </c:pt>
                <c:pt idx="163">
                  <c:v>45804</c:v>
                </c:pt>
                <c:pt idx="164">
                  <c:v>45800</c:v>
                </c:pt>
                <c:pt idx="165">
                  <c:v>45799</c:v>
                </c:pt>
                <c:pt idx="166">
                  <c:v>45798</c:v>
                </c:pt>
                <c:pt idx="167">
                  <c:v>45797</c:v>
                </c:pt>
                <c:pt idx="168">
                  <c:v>45796</c:v>
                </c:pt>
                <c:pt idx="169">
                  <c:v>45793</c:v>
                </c:pt>
                <c:pt idx="170">
                  <c:v>45792</c:v>
                </c:pt>
                <c:pt idx="171">
                  <c:v>45791</c:v>
                </c:pt>
                <c:pt idx="172">
                  <c:v>45790</c:v>
                </c:pt>
                <c:pt idx="173">
                  <c:v>45789</c:v>
                </c:pt>
                <c:pt idx="174">
                  <c:v>45786</c:v>
                </c:pt>
                <c:pt idx="175">
                  <c:v>45785</c:v>
                </c:pt>
                <c:pt idx="176">
                  <c:v>45784</c:v>
                </c:pt>
                <c:pt idx="177">
                  <c:v>45783</c:v>
                </c:pt>
                <c:pt idx="178">
                  <c:v>45782</c:v>
                </c:pt>
                <c:pt idx="179">
                  <c:v>45779</c:v>
                </c:pt>
                <c:pt idx="180">
                  <c:v>45778</c:v>
                </c:pt>
                <c:pt idx="181">
                  <c:v>45777</c:v>
                </c:pt>
                <c:pt idx="182">
                  <c:v>45776</c:v>
                </c:pt>
                <c:pt idx="183">
                  <c:v>45775</c:v>
                </c:pt>
                <c:pt idx="184">
                  <c:v>45772</c:v>
                </c:pt>
                <c:pt idx="185">
                  <c:v>45771</c:v>
                </c:pt>
                <c:pt idx="186">
                  <c:v>45770</c:v>
                </c:pt>
                <c:pt idx="187">
                  <c:v>45769</c:v>
                </c:pt>
                <c:pt idx="188">
                  <c:v>45768</c:v>
                </c:pt>
                <c:pt idx="189">
                  <c:v>45764</c:v>
                </c:pt>
                <c:pt idx="190">
                  <c:v>45763</c:v>
                </c:pt>
                <c:pt idx="191">
                  <c:v>45762</c:v>
                </c:pt>
                <c:pt idx="192">
                  <c:v>45761</c:v>
                </c:pt>
                <c:pt idx="193">
                  <c:v>45758</c:v>
                </c:pt>
                <c:pt idx="194">
                  <c:v>45757</c:v>
                </c:pt>
                <c:pt idx="195">
                  <c:v>45756</c:v>
                </c:pt>
                <c:pt idx="196">
                  <c:v>45755</c:v>
                </c:pt>
                <c:pt idx="197">
                  <c:v>45754</c:v>
                </c:pt>
                <c:pt idx="198">
                  <c:v>45751</c:v>
                </c:pt>
                <c:pt idx="199">
                  <c:v>45750</c:v>
                </c:pt>
                <c:pt idx="200">
                  <c:v>45749</c:v>
                </c:pt>
                <c:pt idx="201">
                  <c:v>45748</c:v>
                </c:pt>
                <c:pt idx="202">
                  <c:v>45747</c:v>
                </c:pt>
                <c:pt idx="203">
                  <c:v>45744</c:v>
                </c:pt>
                <c:pt idx="204">
                  <c:v>45743</c:v>
                </c:pt>
                <c:pt idx="205">
                  <c:v>45742</c:v>
                </c:pt>
                <c:pt idx="206">
                  <c:v>45741</c:v>
                </c:pt>
                <c:pt idx="207">
                  <c:v>45740</c:v>
                </c:pt>
                <c:pt idx="208">
                  <c:v>45737</c:v>
                </c:pt>
                <c:pt idx="209">
                  <c:v>45736</c:v>
                </c:pt>
                <c:pt idx="210">
                  <c:v>45735</c:v>
                </c:pt>
                <c:pt idx="211">
                  <c:v>45734</c:v>
                </c:pt>
                <c:pt idx="212">
                  <c:v>45733</c:v>
                </c:pt>
                <c:pt idx="213">
                  <c:v>45730</c:v>
                </c:pt>
                <c:pt idx="214">
                  <c:v>45729</c:v>
                </c:pt>
                <c:pt idx="215">
                  <c:v>45728</c:v>
                </c:pt>
                <c:pt idx="216">
                  <c:v>45727</c:v>
                </c:pt>
                <c:pt idx="217">
                  <c:v>45726</c:v>
                </c:pt>
                <c:pt idx="218">
                  <c:v>45723</c:v>
                </c:pt>
                <c:pt idx="219">
                  <c:v>45722</c:v>
                </c:pt>
                <c:pt idx="220">
                  <c:v>45721</c:v>
                </c:pt>
                <c:pt idx="221">
                  <c:v>45720</c:v>
                </c:pt>
                <c:pt idx="222">
                  <c:v>45719</c:v>
                </c:pt>
                <c:pt idx="223">
                  <c:v>45716</c:v>
                </c:pt>
                <c:pt idx="224">
                  <c:v>45715</c:v>
                </c:pt>
                <c:pt idx="225">
                  <c:v>45714</c:v>
                </c:pt>
                <c:pt idx="226">
                  <c:v>45713</c:v>
                </c:pt>
                <c:pt idx="227">
                  <c:v>45712</c:v>
                </c:pt>
                <c:pt idx="228">
                  <c:v>45709</c:v>
                </c:pt>
                <c:pt idx="229">
                  <c:v>45708</c:v>
                </c:pt>
                <c:pt idx="230">
                  <c:v>45707</c:v>
                </c:pt>
                <c:pt idx="231">
                  <c:v>45706</c:v>
                </c:pt>
                <c:pt idx="232">
                  <c:v>45702</c:v>
                </c:pt>
                <c:pt idx="233">
                  <c:v>45701</c:v>
                </c:pt>
                <c:pt idx="234">
                  <c:v>45700</c:v>
                </c:pt>
                <c:pt idx="235">
                  <c:v>45699</c:v>
                </c:pt>
                <c:pt idx="236">
                  <c:v>45698</c:v>
                </c:pt>
                <c:pt idx="237">
                  <c:v>45695</c:v>
                </c:pt>
                <c:pt idx="238">
                  <c:v>45694</c:v>
                </c:pt>
                <c:pt idx="239">
                  <c:v>45693</c:v>
                </c:pt>
                <c:pt idx="240">
                  <c:v>45692</c:v>
                </c:pt>
                <c:pt idx="241">
                  <c:v>45691</c:v>
                </c:pt>
                <c:pt idx="242">
                  <c:v>45688</c:v>
                </c:pt>
                <c:pt idx="243">
                  <c:v>45687</c:v>
                </c:pt>
                <c:pt idx="244">
                  <c:v>45686</c:v>
                </c:pt>
                <c:pt idx="245">
                  <c:v>45685</c:v>
                </c:pt>
                <c:pt idx="246">
                  <c:v>45684</c:v>
                </c:pt>
                <c:pt idx="247">
                  <c:v>45681</c:v>
                </c:pt>
                <c:pt idx="248">
                  <c:v>45680</c:v>
                </c:pt>
                <c:pt idx="249">
                  <c:v>45679</c:v>
                </c:pt>
                <c:pt idx="250">
                  <c:v>45678</c:v>
                </c:pt>
              </c:numCache>
            </c:numRef>
          </c:cat>
          <c:val>
            <c:numRef>
              <c:f>Graphs!$M$47:$M$297</c:f>
              <c:numCache>
                <c:formatCode>#,##0</c:formatCode>
                <c:ptCount val="251"/>
                <c:pt idx="0">
                  <c:v>2275800</c:v>
                </c:pt>
                <c:pt idx="1">
                  <c:v>1900600</c:v>
                </c:pt>
                <c:pt idx="2">
                  <c:v>1760800</c:v>
                </c:pt>
                <c:pt idx="3">
                  <c:v>2264700</c:v>
                </c:pt>
                <c:pt idx="4">
                  <c:v>3545100</c:v>
                </c:pt>
                <c:pt idx="5">
                  <c:v>4596500</c:v>
                </c:pt>
                <c:pt idx="6">
                  <c:v>2764700</c:v>
                </c:pt>
                <c:pt idx="7">
                  <c:v>2681800</c:v>
                </c:pt>
                <c:pt idx="8">
                  <c:v>4460400</c:v>
                </c:pt>
                <c:pt idx="9">
                  <c:v>3744400</c:v>
                </c:pt>
                <c:pt idx="10">
                  <c:v>3956400</c:v>
                </c:pt>
                <c:pt idx="11">
                  <c:v>3639700</c:v>
                </c:pt>
                <c:pt idx="12">
                  <c:v>3677300</c:v>
                </c:pt>
                <c:pt idx="13">
                  <c:v>11045700</c:v>
                </c:pt>
                <c:pt idx="14">
                  <c:v>21699800</c:v>
                </c:pt>
                <c:pt idx="15">
                  <c:v>629200</c:v>
                </c:pt>
                <c:pt idx="16">
                  <c:v>721600</c:v>
                </c:pt>
                <c:pt idx="17">
                  <c:v>841300</c:v>
                </c:pt>
                <c:pt idx="18">
                  <c:v>2342800</c:v>
                </c:pt>
                <c:pt idx="19">
                  <c:v>2497100</c:v>
                </c:pt>
                <c:pt idx="20">
                  <c:v>1475300</c:v>
                </c:pt>
                <c:pt idx="21">
                  <c:v>1791500</c:v>
                </c:pt>
                <c:pt idx="22">
                  <c:v>1487600</c:v>
                </c:pt>
                <c:pt idx="23">
                  <c:v>1715200</c:v>
                </c:pt>
                <c:pt idx="24">
                  <c:v>1589500</c:v>
                </c:pt>
                <c:pt idx="25">
                  <c:v>1320900</c:v>
                </c:pt>
                <c:pt idx="26">
                  <c:v>1684700</c:v>
                </c:pt>
                <c:pt idx="27">
                  <c:v>2409200</c:v>
                </c:pt>
                <c:pt idx="28">
                  <c:v>1659200</c:v>
                </c:pt>
                <c:pt idx="29">
                  <c:v>1281700</c:v>
                </c:pt>
                <c:pt idx="30">
                  <c:v>1242900</c:v>
                </c:pt>
                <c:pt idx="31">
                  <c:v>2023200</c:v>
                </c:pt>
                <c:pt idx="32">
                  <c:v>949800</c:v>
                </c:pt>
                <c:pt idx="33">
                  <c:v>1042700</c:v>
                </c:pt>
                <c:pt idx="34">
                  <c:v>785200</c:v>
                </c:pt>
                <c:pt idx="35">
                  <c:v>1304200</c:v>
                </c:pt>
                <c:pt idx="36">
                  <c:v>1513900</c:v>
                </c:pt>
                <c:pt idx="37">
                  <c:v>1878400</c:v>
                </c:pt>
                <c:pt idx="38">
                  <c:v>1683000</c:v>
                </c:pt>
                <c:pt idx="39">
                  <c:v>1028300</c:v>
                </c:pt>
                <c:pt idx="40">
                  <c:v>1068100</c:v>
                </c:pt>
                <c:pt idx="41">
                  <c:v>930000</c:v>
                </c:pt>
                <c:pt idx="42">
                  <c:v>1117300</c:v>
                </c:pt>
                <c:pt idx="43">
                  <c:v>1265300</c:v>
                </c:pt>
                <c:pt idx="44">
                  <c:v>1257200</c:v>
                </c:pt>
                <c:pt idx="45">
                  <c:v>1078900</c:v>
                </c:pt>
                <c:pt idx="46">
                  <c:v>1172300</c:v>
                </c:pt>
                <c:pt idx="47">
                  <c:v>1157200</c:v>
                </c:pt>
                <c:pt idx="48">
                  <c:v>1355300</c:v>
                </c:pt>
                <c:pt idx="49">
                  <c:v>1872500</c:v>
                </c:pt>
                <c:pt idx="50">
                  <c:v>2780600</c:v>
                </c:pt>
                <c:pt idx="51">
                  <c:v>1524800</c:v>
                </c:pt>
                <c:pt idx="52">
                  <c:v>1407500</c:v>
                </c:pt>
                <c:pt idx="53">
                  <c:v>1267700</c:v>
                </c:pt>
                <c:pt idx="54">
                  <c:v>1107500</c:v>
                </c:pt>
                <c:pt idx="55">
                  <c:v>1264900</c:v>
                </c:pt>
                <c:pt idx="56">
                  <c:v>1188000</c:v>
                </c:pt>
                <c:pt idx="57">
                  <c:v>1746000</c:v>
                </c:pt>
                <c:pt idx="58">
                  <c:v>1083500</c:v>
                </c:pt>
                <c:pt idx="59">
                  <c:v>1002500</c:v>
                </c:pt>
                <c:pt idx="60">
                  <c:v>934500</c:v>
                </c:pt>
                <c:pt idx="61">
                  <c:v>1179100</c:v>
                </c:pt>
                <c:pt idx="62">
                  <c:v>1306600</c:v>
                </c:pt>
                <c:pt idx="63">
                  <c:v>1238700</c:v>
                </c:pt>
                <c:pt idx="64">
                  <c:v>2046100</c:v>
                </c:pt>
                <c:pt idx="65">
                  <c:v>1570200</c:v>
                </c:pt>
                <c:pt idx="66">
                  <c:v>1229100</c:v>
                </c:pt>
                <c:pt idx="67">
                  <c:v>1003300</c:v>
                </c:pt>
                <c:pt idx="68">
                  <c:v>1574200</c:v>
                </c:pt>
                <c:pt idx="69">
                  <c:v>1642700</c:v>
                </c:pt>
                <c:pt idx="70">
                  <c:v>1276100</c:v>
                </c:pt>
                <c:pt idx="71">
                  <c:v>1452100</c:v>
                </c:pt>
                <c:pt idx="72">
                  <c:v>1320200</c:v>
                </c:pt>
                <c:pt idx="73">
                  <c:v>1364500</c:v>
                </c:pt>
                <c:pt idx="74">
                  <c:v>1223800</c:v>
                </c:pt>
                <c:pt idx="75">
                  <c:v>1961500</c:v>
                </c:pt>
                <c:pt idx="76">
                  <c:v>1623200</c:v>
                </c:pt>
                <c:pt idx="77">
                  <c:v>2408400</c:v>
                </c:pt>
                <c:pt idx="78">
                  <c:v>2659300</c:v>
                </c:pt>
                <c:pt idx="79">
                  <c:v>1611500</c:v>
                </c:pt>
                <c:pt idx="80">
                  <c:v>1753400</c:v>
                </c:pt>
                <c:pt idx="81">
                  <c:v>1389100</c:v>
                </c:pt>
                <c:pt idx="82">
                  <c:v>1600300</c:v>
                </c:pt>
                <c:pt idx="83">
                  <c:v>3627100</c:v>
                </c:pt>
                <c:pt idx="84">
                  <c:v>1675600</c:v>
                </c:pt>
                <c:pt idx="85">
                  <c:v>1366700</c:v>
                </c:pt>
                <c:pt idx="86">
                  <c:v>2063700</c:v>
                </c:pt>
                <c:pt idx="87">
                  <c:v>1993700</c:v>
                </c:pt>
                <c:pt idx="88">
                  <c:v>1391000</c:v>
                </c:pt>
                <c:pt idx="89">
                  <c:v>1656300</c:v>
                </c:pt>
                <c:pt idx="90">
                  <c:v>1905100</c:v>
                </c:pt>
                <c:pt idx="91">
                  <c:v>937000</c:v>
                </c:pt>
                <c:pt idx="92">
                  <c:v>1345000</c:v>
                </c:pt>
                <c:pt idx="93">
                  <c:v>1325400</c:v>
                </c:pt>
                <c:pt idx="94">
                  <c:v>1400500</c:v>
                </c:pt>
                <c:pt idx="95">
                  <c:v>1620100</c:v>
                </c:pt>
                <c:pt idx="96">
                  <c:v>2011800</c:v>
                </c:pt>
                <c:pt idx="97">
                  <c:v>1340100</c:v>
                </c:pt>
                <c:pt idx="98">
                  <c:v>1034000</c:v>
                </c:pt>
                <c:pt idx="99">
                  <c:v>1154000</c:v>
                </c:pt>
                <c:pt idx="100">
                  <c:v>1253200</c:v>
                </c:pt>
                <c:pt idx="101">
                  <c:v>1061500</c:v>
                </c:pt>
                <c:pt idx="102">
                  <c:v>1267900</c:v>
                </c:pt>
                <c:pt idx="103">
                  <c:v>1170400</c:v>
                </c:pt>
                <c:pt idx="104">
                  <c:v>1153400</c:v>
                </c:pt>
                <c:pt idx="105">
                  <c:v>1269700</c:v>
                </c:pt>
                <c:pt idx="106">
                  <c:v>1699400</c:v>
                </c:pt>
                <c:pt idx="107">
                  <c:v>1350300</c:v>
                </c:pt>
                <c:pt idx="108">
                  <c:v>1264200</c:v>
                </c:pt>
                <c:pt idx="109">
                  <c:v>1690800</c:v>
                </c:pt>
                <c:pt idx="110">
                  <c:v>1128500</c:v>
                </c:pt>
                <c:pt idx="111">
                  <c:v>1802100</c:v>
                </c:pt>
                <c:pt idx="112">
                  <c:v>1527900</c:v>
                </c:pt>
                <c:pt idx="113">
                  <c:v>1880400</c:v>
                </c:pt>
                <c:pt idx="114">
                  <c:v>3039000</c:v>
                </c:pt>
                <c:pt idx="115">
                  <c:v>1706200</c:v>
                </c:pt>
                <c:pt idx="116">
                  <c:v>1651600</c:v>
                </c:pt>
                <c:pt idx="117">
                  <c:v>2240500</c:v>
                </c:pt>
                <c:pt idx="118">
                  <c:v>1805700</c:v>
                </c:pt>
                <c:pt idx="119">
                  <c:v>2317600</c:v>
                </c:pt>
                <c:pt idx="120">
                  <c:v>2459900</c:v>
                </c:pt>
                <c:pt idx="121">
                  <c:v>2025700</c:v>
                </c:pt>
                <c:pt idx="122">
                  <c:v>1253300</c:v>
                </c:pt>
                <c:pt idx="123">
                  <c:v>2321700</c:v>
                </c:pt>
                <c:pt idx="124">
                  <c:v>2892700</c:v>
                </c:pt>
                <c:pt idx="125">
                  <c:v>2991800</c:v>
                </c:pt>
                <c:pt idx="126">
                  <c:v>3958600</c:v>
                </c:pt>
                <c:pt idx="127">
                  <c:v>3905800</c:v>
                </c:pt>
                <c:pt idx="128">
                  <c:v>2148100</c:v>
                </c:pt>
                <c:pt idx="129">
                  <c:v>3045900</c:v>
                </c:pt>
                <c:pt idx="130">
                  <c:v>4769200</c:v>
                </c:pt>
                <c:pt idx="131">
                  <c:v>4198300</c:v>
                </c:pt>
                <c:pt idx="132">
                  <c:v>5681300</c:v>
                </c:pt>
                <c:pt idx="133">
                  <c:v>12979000</c:v>
                </c:pt>
                <c:pt idx="134">
                  <c:v>2742600</c:v>
                </c:pt>
                <c:pt idx="135">
                  <c:v>1205400</c:v>
                </c:pt>
                <c:pt idx="136">
                  <c:v>1101900</c:v>
                </c:pt>
                <c:pt idx="137">
                  <c:v>685300</c:v>
                </c:pt>
                <c:pt idx="138">
                  <c:v>1815200</c:v>
                </c:pt>
                <c:pt idx="139">
                  <c:v>689800</c:v>
                </c:pt>
                <c:pt idx="140">
                  <c:v>906900</c:v>
                </c:pt>
                <c:pt idx="141">
                  <c:v>2680700</c:v>
                </c:pt>
                <c:pt idx="142">
                  <c:v>587000</c:v>
                </c:pt>
                <c:pt idx="143">
                  <c:v>690600</c:v>
                </c:pt>
                <c:pt idx="144">
                  <c:v>919100</c:v>
                </c:pt>
                <c:pt idx="145">
                  <c:v>771600</c:v>
                </c:pt>
                <c:pt idx="146">
                  <c:v>1203000</c:v>
                </c:pt>
                <c:pt idx="147">
                  <c:v>1019000</c:v>
                </c:pt>
                <c:pt idx="148">
                  <c:v>704700</c:v>
                </c:pt>
                <c:pt idx="149">
                  <c:v>818500</c:v>
                </c:pt>
                <c:pt idx="150">
                  <c:v>1094000</c:v>
                </c:pt>
                <c:pt idx="151">
                  <c:v>1919800</c:v>
                </c:pt>
                <c:pt idx="152">
                  <c:v>1510900</c:v>
                </c:pt>
                <c:pt idx="153">
                  <c:v>1180300</c:v>
                </c:pt>
                <c:pt idx="154">
                  <c:v>1226100</c:v>
                </c:pt>
                <c:pt idx="155">
                  <c:v>930300</c:v>
                </c:pt>
                <c:pt idx="156">
                  <c:v>1414500</c:v>
                </c:pt>
                <c:pt idx="157">
                  <c:v>759200</c:v>
                </c:pt>
                <c:pt idx="158">
                  <c:v>869200</c:v>
                </c:pt>
                <c:pt idx="159">
                  <c:v>1090200</c:v>
                </c:pt>
                <c:pt idx="160">
                  <c:v>1631400</c:v>
                </c:pt>
                <c:pt idx="161">
                  <c:v>1217600</c:v>
                </c:pt>
                <c:pt idx="162">
                  <c:v>2002400</c:v>
                </c:pt>
                <c:pt idx="163">
                  <c:v>1718000</c:v>
                </c:pt>
                <c:pt idx="164">
                  <c:v>441500</c:v>
                </c:pt>
                <c:pt idx="165">
                  <c:v>514300</c:v>
                </c:pt>
                <c:pt idx="166">
                  <c:v>680800</c:v>
                </c:pt>
                <c:pt idx="167">
                  <c:v>624500</c:v>
                </c:pt>
                <c:pt idx="168">
                  <c:v>676000</c:v>
                </c:pt>
                <c:pt idx="169">
                  <c:v>616600</c:v>
                </c:pt>
                <c:pt idx="170">
                  <c:v>442000</c:v>
                </c:pt>
                <c:pt idx="171">
                  <c:v>581000</c:v>
                </c:pt>
                <c:pt idx="172">
                  <c:v>705700</c:v>
                </c:pt>
                <c:pt idx="173">
                  <c:v>1426600</c:v>
                </c:pt>
                <c:pt idx="174">
                  <c:v>1136700</c:v>
                </c:pt>
                <c:pt idx="175">
                  <c:v>1835400</c:v>
                </c:pt>
                <c:pt idx="176">
                  <c:v>1766600</c:v>
                </c:pt>
                <c:pt idx="177">
                  <c:v>1317600</c:v>
                </c:pt>
                <c:pt idx="178">
                  <c:v>588300</c:v>
                </c:pt>
                <c:pt idx="179">
                  <c:v>1044500</c:v>
                </c:pt>
                <c:pt idx="180">
                  <c:v>662300</c:v>
                </c:pt>
                <c:pt idx="181">
                  <c:v>747400</c:v>
                </c:pt>
                <c:pt idx="182">
                  <c:v>782000</c:v>
                </c:pt>
                <c:pt idx="183">
                  <c:v>551800</c:v>
                </c:pt>
                <c:pt idx="184">
                  <c:v>575400</c:v>
                </c:pt>
                <c:pt idx="185">
                  <c:v>1343500</c:v>
                </c:pt>
                <c:pt idx="186">
                  <c:v>966200</c:v>
                </c:pt>
                <c:pt idx="187">
                  <c:v>1535300</c:v>
                </c:pt>
                <c:pt idx="188">
                  <c:v>1013100</c:v>
                </c:pt>
                <c:pt idx="189">
                  <c:v>690800</c:v>
                </c:pt>
                <c:pt idx="190">
                  <c:v>746200</c:v>
                </c:pt>
                <c:pt idx="191">
                  <c:v>852300</c:v>
                </c:pt>
                <c:pt idx="192">
                  <c:v>1204900</c:v>
                </c:pt>
                <c:pt idx="193">
                  <c:v>1103600</c:v>
                </c:pt>
                <c:pt idx="194">
                  <c:v>1771300</c:v>
                </c:pt>
                <c:pt idx="195">
                  <c:v>2063200</c:v>
                </c:pt>
                <c:pt idx="196">
                  <c:v>1303800</c:v>
                </c:pt>
                <c:pt idx="197">
                  <c:v>1170700</c:v>
                </c:pt>
                <c:pt idx="198">
                  <c:v>879500</c:v>
                </c:pt>
                <c:pt idx="199">
                  <c:v>631800</c:v>
                </c:pt>
                <c:pt idx="200">
                  <c:v>570900</c:v>
                </c:pt>
                <c:pt idx="201">
                  <c:v>993200</c:v>
                </c:pt>
                <c:pt idx="202">
                  <c:v>958400</c:v>
                </c:pt>
                <c:pt idx="203">
                  <c:v>323200</c:v>
                </c:pt>
                <c:pt idx="204">
                  <c:v>558100</c:v>
                </c:pt>
                <c:pt idx="205">
                  <c:v>976700</c:v>
                </c:pt>
                <c:pt idx="206">
                  <c:v>1070000</c:v>
                </c:pt>
                <c:pt idx="207">
                  <c:v>545400</c:v>
                </c:pt>
                <c:pt idx="208">
                  <c:v>935000</c:v>
                </c:pt>
                <c:pt idx="209">
                  <c:v>551400</c:v>
                </c:pt>
                <c:pt idx="210">
                  <c:v>819000</c:v>
                </c:pt>
                <c:pt idx="211">
                  <c:v>423200</c:v>
                </c:pt>
                <c:pt idx="212">
                  <c:v>455300</c:v>
                </c:pt>
                <c:pt idx="213">
                  <c:v>401500</c:v>
                </c:pt>
                <c:pt idx="214">
                  <c:v>446500</c:v>
                </c:pt>
                <c:pt idx="215">
                  <c:v>677500</c:v>
                </c:pt>
                <c:pt idx="216">
                  <c:v>840500</c:v>
                </c:pt>
                <c:pt idx="217">
                  <c:v>914500</c:v>
                </c:pt>
                <c:pt idx="218">
                  <c:v>724700</c:v>
                </c:pt>
                <c:pt idx="219">
                  <c:v>1130400</c:v>
                </c:pt>
                <c:pt idx="220">
                  <c:v>835400</c:v>
                </c:pt>
                <c:pt idx="221">
                  <c:v>1385600</c:v>
                </c:pt>
                <c:pt idx="222">
                  <c:v>708400</c:v>
                </c:pt>
                <c:pt idx="223">
                  <c:v>910500</c:v>
                </c:pt>
                <c:pt idx="224">
                  <c:v>652700</c:v>
                </c:pt>
                <c:pt idx="225">
                  <c:v>690300</c:v>
                </c:pt>
                <c:pt idx="226">
                  <c:v>947400</c:v>
                </c:pt>
                <c:pt idx="227">
                  <c:v>628000</c:v>
                </c:pt>
                <c:pt idx="228">
                  <c:v>616000</c:v>
                </c:pt>
                <c:pt idx="229">
                  <c:v>618700</c:v>
                </c:pt>
                <c:pt idx="230">
                  <c:v>685000</c:v>
                </c:pt>
                <c:pt idx="231">
                  <c:v>818100</c:v>
                </c:pt>
                <c:pt idx="232">
                  <c:v>1211500</c:v>
                </c:pt>
                <c:pt idx="233">
                  <c:v>784300</c:v>
                </c:pt>
                <c:pt idx="234">
                  <c:v>635000</c:v>
                </c:pt>
                <c:pt idx="235">
                  <c:v>571700</c:v>
                </c:pt>
                <c:pt idx="236">
                  <c:v>579600</c:v>
                </c:pt>
                <c:pt idx="237">
                  <c:v>690700</c:v>
                </c:pt>
                <c:pt idx="238">
                  <c:v>761600</c:v>
                </c:pt>
                <c:pt idx="239">
                  <c:v>554500</c:v>
                </c:pt>
                <c:pt idx="240">
                  <c:v>498200</c:v>
                </c:pt>
                <c:pt idx="241">
                  <c:v>754500</c:v>
                </c:pt>
                <c:pt idx="242">
                  <c:v>465600</c:v>
                </c:pt>
                <c:pt idx="243">
                  <c:v>438500</c:v>
                </c:pt>
                <c:pt idx="244">
                  <c:v>393300</c:v>
                </c:pt>
                <c:pt idx="245">
                  <c:v>553400</c:v>
                </c:pt>
                <c:pt idx="246">
                  <c:v>736300</c:v>
                </c:pt>
                <c:pt idx="247">
                  <c:v>763000</c:v>
                </c:pt>
                <c:pt idx="248">
                  <c:v>1513600</c:v>
                </c:pt>
                <c:pt idx="249">
                  <c:v>807100</c:v>
                </c:pt>
                <c:pt idx="250">
                  <c:v>1164800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1E-4AB2-AFDF-8D5732C23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71864303"/>
        <c:axId val="1523117279"/>
      </c:barChart>
      <c:scatterChart>
        <c:scatterStyle val="smoothMarker"/>
        <c:varyColors val="0"/>
        <c:ser>
          <c:idx val="0"/>
          <c:order val="0"/>
          <c:tx>
            <c:strRef>
              <c:f>Graphs!$L$46</c:f>
              <c:strCache>
                <c:ptCount val="1"/>
                <c:pt idx="0">
                  <c:v>Close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Graphs!$K$47:$K$297</c:f>
              <c:numCache>
                <c:formatCode>d\-mmm\-yy</c:formatCode>
                <c:ptCount val="251"/>
                <c:pt idx="0">
                  <c:v>46042</c:v>
                </c:pt>
                <c:pt idx="1">
                  <c:v>46038</c:v>
                </c:pt>
                <c:pt idx="2">
                  <c:v>46037</c:v>
                </c:pt>
                <c:pt idx="3">
                  <c:v>46036</c:v>
                </c:pt>
                <c:pt idx="4">
                  <c:v>46035</c:v>
                </c:pt>
                <c:pt idx="5">
                  <c:v>46034</c:v>
                </c:pt>
                <c:pt idx="6">
                  <c:v>46031</c:v>
                </c:pt>
                <c:pt idx="7">
                  <c:v>46030</c:v>
                </c:pt>
                <c:pt idx="8">
                  <c:v>46029</c:v>
                </c:pt>
                <c:pt idx="9">
                  <c:v>46028</c:v>
                </c:pt>
                <c:pt idx="10">
                  <c:v>46027</c:v>
                </c:pt>
                <c:pt idx="11">
                  <c:v>46024</c:v>
                </c:pt>
                <c:pt idx="12">
                  <c:v>46022</c:v>
                </c:pt>
                <c:pt idx="13">
                  <c:v>46021</c:v>
                </c:pt>
                <c:pt idx="14">
                  <c:v>46020</c:v>
                </c:pt>
                <c:pt idx="15">
                  <c:v>46017</c:v>
                </c:pt>
                <c:pt idx="16">
                  <c:v>46015</c:v>
                </c:pt>
                <c:pt idx="17">
                  <c:v>46014</c:v>
                </c:pt>
                <c:pt idx="18">
                  <c:v>46013</c:v>
                </c:pt>
                <c:pt idx="19">
                  <c:v>46010</c:v>
                </c:pt>
                <c:pt idx="20">
                  <c:v>46009</c:v>
                </c:pt>
                <c:pt idx="21">
                  <c:v>46008</c:v>
                </c:pt>
                <c:pt idx="22">
                  <c:v>46007</c:v>
                </c:pt>
                <c:pt idx="23">
                  <c:v>46006</c:v>
                </c:pt>
                <c:pt idx="24">
                  <c:v>46003</c:v>
                </c:pt>
                <c:pt idx="25">
                  <c:v>46002</c:v>
                </c:pt>
                <c:pt idx="26">
                  <c:v>46001</c:v>
                </c:pt>
                <c:pt idx="27">
                  <c:v>46000</c:v>
                </c:pt>
                <c:pt idx="28">
                  <c:v>45999</c:v>
                </c:pt>
                <c:pt idx="29">
                  <c:v>45996</c:v>
                </c:pt>
                <c:pt idx="30">
                  <c:v>45995</c:v>
                </c:pt>
                <c:pt idx="31">
                  <c:v>45994</c:v>
                </c:pt>
                <c:pt idx="32">
                  <c:v>45993</c:v>
                </c:pt>
                <c:pt idx="33">
                  <c:v>45992</c:v>
                </c:pt>
                <c:pt idx="34">
                  <c:v>45989</c:v>
                </c:pt>
                <c:pt idx="35">
                  <c:v>45987</c:v>
                </c:pt>
                <c:pt idx="36">
                  <c:v>45986</c:v>
                </c:pt>
                <c:pt idx="37">
                  <c:v>45985</c:v>
                </c:pt>
                <c:pt idx="38">
                  <c:v>45982</c:v>
                </c:pt>
                <c:pt idx="39">
                  <c:v>45981</c:v>
                </c:pt>
                <c:pt idx="40">
                  <c:v>45980</c:v>
                </c:pt>
                <c:pt idx="41">
                  <c:v>45979</c:v>
                </c:pt>
                <c:pt idx="42">
                  <c:v>45978</c:v>
                </c:pt>
                <c:pt idx="43">
                  <c:v>45975</c:v>
                </c:pt>
                <c:pt idx="44">
                  <c:v>45974</c:v>
                </c:pt>
                <c:pt idx="45">
                  <c:v>45973</c:v>
                </c:pt>
                <c:pt idx="46">
                  <c:v>45972</c:v>
                </c:pt>
                <c:pt idx="47">
                  <c:v>45971</c:v>
                </c:pt>
                <c:pt idx="48">
                  <c:v>45968</c:v>
                </c:pt>
                <c:pt idx="49">
                  <c:v>45967</c:v>
                </c:pt>
                <c:pt idx="50">
                  <c:v>45966</c:v>
                </c:pt>
                <c:pt idx="51">
                  <c:v>45965</c:v>
                </c:pt>
                <c:pt idx="52">
                  <c:v>45964</c:v>
                </c:pt>
                <c:pt idx="53">
                  <c:v>45961</c:v>
                </c:pt>
                <c:pt idx="54">
                  <c:v>45960</c:v>
                </c:pt>
                <c:pt idx="55">
                  <c:v>45959</c:v>
                </c:pt>
                <c:pt idx="56">
                  <c:v>45958</c:v>
                </c:pt>
                <c:pt idx="57">
                  <c:v>45957</c:v>
                </c:pt>
                <c:pt idx="58">
                  <c:v>45954</c:v>
                </c:pt>
                <c:pt idx="59">
                  <c:v>45953</c:v>
                </c:pt>
                <c:pt idx="60">
                  <c:v>45952</c:v>
                </c:pt>
                <c:pt idx="61">
                  <c:v>45951</c:v>
                </c:pt>
                <c:pt idx="62">
                  <c:v>45950</c:v>
                </c:pt>
                <c:pt idx="63">
                  <c:v>45947</c:v>
                </c:pt>
                <c:pt idx="64">
                  <c:v>45946</c:v>
                </c:pt>
                <c:pt idx="65">
                  <c:v>45945</c:v>
                </c:pt>
                <c:pt idx="66">
                  <c:v>45944</c:v>
                </c:pt>
                <c:pt idx="67">
                  <c:v>45943</c:v>
                </c:pt>
                <c:pt idx="68">
                  <c:v>45940</c:v>
                </c:pt>
                <c:pt idx="69">
                  <c:v>45939</c:v>
                </c:pt>
                <c:pt idx="70">
                  <c:v>45938</c:v>
                </c:pt>
                <c:pt idx="71">
                  <c:v>45937</c:v>
                </c:pt>
                <c:pt idx="72">
                  <c:v>45936</c:v>
                </c:pt>
                <c:pt idx="73">
                  <c:v>45933</c:v>
                </c:pt>
                <c:pt idx="74">
                  <c:v>45932</c:v>
                </c:pt>
                <c:pt idx="75">
                  <c:v>45931</c:v>
                </c:pt>
                <c:pt idx="76">
                  <c:v>45930</c:v>
                </c:pt>
                <c:pt idx="77">
                  <c:v>45929</c:v>
                </c:pt>
                <c:pt idx="78">
                  <c:v>45926</c:v>
                </c:pt>
                <c:pt idx="79">
                  <c:v>45925</c:v>
                </c:pt>
                <c:pt idx="80">
                  <c:v>45924</c:v>
                </c:pt>
                <c:pt idx="81">
                  <c:v>45923</c:v>
                </c:pt>
                <c:pt idx="82">
                  <c:v>45922</c:v>
                </c:pt>
                <c:pt idx="83">
                  <c:v>45919</c:v>
                </c:pt>
                <c:pt idx="84">
                  <c:v>45918</c:v>
                </c:pt>
                <c:pt idx="85">
                  <c:v>45917</c:v>
                </c:pt>
                <c:pt idx="86">
                  <c:v>45916</c:v>
                </c:pt>
                <c:pt idx="87">
                  <c:v>45915</c:v>
                </c:pt>
                <c:pt idx="88">
                  <c:v>45912</c:v>
                </c:pt>
                <c:pt idx="89">
                  <c:v>45911</c:v>
                </c:pt>
                <c:pt idx="90">
                  <c:v>45910</c:v>
                </c:pt>
                <c:pt idx="91">
                  <c:v>45909</c:v>
                </c:pt>
                <c:pt idx="92">
                  <c:v>45908</c:v>
                </c:pt>
                <c:pt idx="93">
                  <c:v>45905</c:v>
                </c:pt>
                <c:pt idx="94">
                  <c:v>45904</c:v>
                </c:pt>
                <c:pt idx="95">
                  <c:v>45903</c:v>
                </c:pt>
                <c:pt idx="96">
                  <c:v>45902</c:v>
                </c:pt>
                <c:pt idx="97">
                  <c:v>45898</c:v>
                </c:pt>
                <c:pt idx="98">
                  <c:v>45897</c:v>
                </c:pt>
                <c:pt idx="99">
                  <c:v>45896</c:v>
                </c:pt>
                <c:pt idx="100">
                  <c:v>45895</c:v>
                </c:pt>
                <c:pt idx="101">
                  <c:v>45894</c:v>
                </c:pt>
                <c:pt idx="102">
                  <c:v>45891</c:v>
                </c:pt>
                <c:pt idx="103">
                  <c:v>45890</c:v>
                </c:pt>
                <c:pt idx="104">
                  <c:v>45889</c:v>
                </c:pt>
                <c:pt idx="105">
                  <c:v>45888</c:v>
                </c:pt>
                <c:pt idx="106">
                  <c:v>45887</c:v>
                </c:pt>
                <c:pt idx="107">
                  <c:v>45884</c:v>
                </c:pt>
                <c:pt idx="108">
                  <c:v>45883</c:v>
                </c:pt>
                <c:pt idx="109">
                  <c:v>45882</c:v>
                </c:pt>
                <c:pt idx="110">
                  <c:v>45881</c:v>
                </c:pt>
                <c:pt idx="111">
                  <c:v>45880</c:v>
                </c:pt>
                <c:pt idx="112">
                  <c:v>45877</c:v>
                </c:pt>
                <c:pt idx="113">
                  <c:v>45876</c:v>
                </c:pt>
                <c:pt idx="114">
                  <c:v>45875</c:v>
                </c:pt>
                <c:pt idx="115">
                  <c:v>45874</c:v>
                </c:pt>
                <c:pt idx="116">
                  <c:v>45873</c:v>
                </c:pt>
                <c:pt idx="117">
                  <c:v>45870</c:v>
                </c:pt>
                <c:pt idx="118">
                  <c:v>45869</c:v>
                </c:pt>
                <c:pt idx="119">
                  <c:v>45868</c:v>
                </c:pt>
                <c:pt idx="120">
                  <c:v>45867</c:v>
                </c:pt>
                <c:pt idx="121">
                  <c:v>45866</c:v>
                </c:pt>
                <c:pt idx="122">
                  <c:v>45863</c:v>
                </c:pt>
                <c:pt idx="123">
                  <c:v>45862</c:v>
                </c:pt>
                <c:pt idx="124">
                  <c:v>45861</c:v>
                </c:pt>
                <c:pt idx="125">
                  <c:v>45860</c:v>
                </c:pt>
                <c:pt idx="126">
                  <c:v>45859</c:v>
                </c:pt>
                <c:pt idx="127">
                  <c:v>45856</c:v>
                </c:pt>
                <c:pt idx="128">
                  <c:v>45855</c:v>
                </c:pt>
                <c:pt idx="129">
                  <c:v>45854</c:v>
                </c:pt>
                <c:pt idx="130">
                  <c:v>45853</c:v>
                </c:pt>
                <c:pt idx="131">
                  <c:v>45852</c:v>
                </c:pt>
                <c:pt idx="132">
                  <c:v>45849</c:v>
                </c:pt>
                <c:pt idx="133">
                  <c:v>45848</c:v>
                </c:pt>
                <c:pt idx="134">
                  <c:v>45847</c:v>
                </c:pt>
                <c:pt idx="135">
                  <c:v>45846</c:v>
                </c:pt>
                <c:pt idx="136">
                  <c:v>45845</c:v>
                </c:pt>
                <c:pt idx="137">
                  <c:v>45841</c:v>
                </c:pt>
                <c:pt idx="138">
                  <c:v>45840</c:v>
                </c:pt>
                <c:pt idx="139">
                  <c:v>45839</c:v>
                </c:pt>
                <c:pt idx="140">
                  <c:v>45838</c:v>
                </c:pt>
                <c:pt idx="141">
                  <c:v>45835</c:v>
                </c:pt>
                <c:pt idx="142">
                  <c:v>45834</c:v>
                </c:pt>
                <c:pt idx="143">
                  <c:v>45833</c:v>
                </c:pt>
                <c:pt idx="144">
                  <c:v>45832</c:v>
                </c:pt>
                <c:pt idx="145">
                  <c:v>45831</c:v>
                </c:pt>
                <c:pt idx="146">
                  <c:v>45828</c:v>
                </c:pt>
                <c:pt idx="147">
                  <c:v>45826</c:v>
                </c:pt>
                <c:pt idx="148">
                  <c:v>45825</c:v>
                </c:pt>
                <c:pt idx="149">
                  <c:v>45824</c:v>
                </c:pt>
                <c:pt idx="150">
                  <c:v>45821</c:v>
                </c:pt>
                <c:pt idx="151">
                  <c:v>45820</c:v>
                </c:pt>
                <c:pt idx="152">
                  <c:v>45819</c:v>
                </c:pt>
                <c:pt idx="153">
                  <c:v>45818</c:v>
                </c:pt>
                <c:pt idx="154">
                  <c:v>45817</c:v>
                </c:pt>
                <c:pt idx="155">
                  <c:v>45814</c:v>
                </c:pt>
                <c:pt idx="156">
                  <c:v>45813</c:v>
                </c:pt>
                <c:pt idx="157">
                  <c:v>45812</c:v>
                </c:pt>
                <c:pt idx="158">
                  <c:v>45811</c:v>
                </c:pt>
                <c:pt idx="159">
                  <c:v>45810</c:v>
                </c:pt>
                <c:pt idx="160">
                  <c:v>45807</c:v>
                </c:pt>
                <c:pt idx="161">
                  <c:v>45806</c:v>
                </c:pt>
                <c:pt idx="162">
                  <c:v>45805</c:v>
                </c:pt>
                <c:pt idx="163">
                  <c:v>45804</c:v>
                </c:pt>
                <c:pt idx="164">
                  <c:v>45800</c:v>
                </c:pt>
                <c:pt idx="165">
                  <c:v>45799</c:v>
                </c:pt>
                <c:pt idx="166">
                  <c:v>45798</c:v>
                </c:pt>
                <c:pt idx="167">
                  <c:v>45797</c:v>
                </c:pt>
                <c:pt idx="168">
                  <c:v>45796</c:v>
                </c:pt>
                <c:pt idx="169">
                  <c:v>45793</c:v>
                </c:pt>
                <c:pt idx="170">
                  <c:v>45792</c:v>
                </c:pt>
                <c:pt idx="171">
                  <c:v>45791</c:v>
                </c:pt>
                <c:pt idx="172">
                  <c:v>45790</c:v>
                </c:pt>
                <c:pt idx="173">
                  <c:v>45789</c:v>
                </c:pt>
                <c:pt idx="174">
                  <c:v>45786</c:v>
                </c:pt>
                <c:pt idx="175">
                  <c:v>45785</c:v>
                </c:pt>
                <c:pt idx="176">
                  <c:v>45784</c:v>
                </c:pt>
                <c:pt idx="177">
                  <c:v>45783</c:v>
                </c:pt>
                <c:pt idx="178">
                  <c:v>45782</c:v>
                </c:pt>
                <c:pt idx="179">
                  <c:v>45779</c:v>
                </c:pt>
                <c:pt idx="180">
                  <c:v>45778</c:v>
                </c:pt>
                <c:pt idx="181">
                  <c:v>45777</c:v>
                </c:pt>
                <c:pt idx="182">
                  <c:v>45776</c:v>
                </c:pt>
                <c:pt idx="183">
                  <c:v>45775</c:v>
                </c:pt>
                <c:pt idx="184">
                  <c:v>45772</c:v>
                </c:pt>
                <c:pt idx="185">
                  <c:v>45771</c:v>
                </c:pt>
                <c:pt idx="186">
                  <c:v>45770</c:v>
                </c:pt>
                <c:pt idx="187">
                  <c:v>45769</c:v>
                </c:pt>
                <c:pt idx="188">
                  <c:v>45768</c:v>
                </c:pt>
                <c:pt idx="189">
                  <c:v>45764</c:v>
                </c:pt>
                <c:pt idx="190">
                  <c:v>45763</c:v>
                </c:pt>
                <c:pt idx="191">
                  <c:v>45762</c:v>
                </c:pt>
                <c:pt idx="192">
                  <c:v>45761</c:v>
                </c:pt>
                <c:pt idx="193">
                  <c:v>45758</c:v>
                </c:pt>
                <c:pt idx="194">
                  <c:v>45757</c:v>
                </c:pt>
                <c:pt idx="195">
                  <c:v>45756</c:v>
                </c:pt>
                <c:pt idx="196">
                  <c:v>45755</c:v>
                </c:pt>
                <c:pt idx="197">
                  <c:v>45754</c:v>
                </c:pt>
                <c:pt idx="198">
                  <c:v>45751</c:v>
                </c:pt>
                <c:pt idx="199">
                  <c:v>45750</c:v>
                </c:pt>
                <c:pt idx="200">
                  <c:v>45749</c:v>
                </c:pt>
                <c:pt idx="201">
                  <c:v>45748</c:v>
                </c:pt>
                <c:pt idx="202">
                  <c:v>45747</c:v>
                </c:pt>
                <c:pt idx="203">
                  <c:v>45744</c:v>
                </c:pt>
                <c:pt idx="204">
                  <c:v>45743</c:v>
                </c:pt>
                <c:pt idx="205">
                  <c:v>45742</c:v>
                </c:pt>
                <c:pt idx="206">
                  <c:v>45741</c:v>
                </c:pt>
                <c:pt idx="207">
                  <c:v>45740</c:v>
                </c:pt>
                <c:pt idx="208">
                  <c:v>45737</c:v>
                </c:pt>
                <c:pt idx="209">
                  <c:v>45736</c:v>
                </c:pt>
                <c:pt idx="210">
                  <c:v>45735</c:v>
                </c:pt>
                <c:pt idx="211">
                  <c:v>45734</c:v>
                </c:pt>
                <c:pt idx="212">
                  <c:v>45733</c:v>
                </c:pt>
                <c:pt idx="213">
                  <c:v>45730</c:v>
                </c:pt>
                <c:pt idx="214">
                  <c:v>45729</c:v>
                </c:pt>
                <c:pt idx="215">
                  <c:v>45728</c:v>
                </c:pt>
                <c:pt idx="216">
                  <c:v>45727</c:v>
                </c:pt>
                <c:pt idx="217">
                  <c:v>45726</c:v>
                </c:pt>
                <c:pt idx="218">
                  <c:v>45723</c:v>
                </c:pt>
                <c:pt idx="219">
                  <c:v>45722</c:v>
                </c:pt>
                <c:pt idx="220">
                  <c:v>45721</c:v>
                </c:pt>
                <c:pt idx="221">
                  <c:v>45720</c:v>
                </c:pt>
                <c:pt idx="222">
                  <c:v>45719</c:v>
                </c:pt>
                <c:pt idx="223">
                  <c:v>45716</c:v>
                </c:pt>
                <c:pt idx="224">
                  <c:v>45715</c:v>
                </c:pt>
                <c:pt idx="225">
                  <c:v>45714</c:v>
                </c:pt>
                <c:pt idx="226">
                  <c:v>45713</c:v>
                </c:pt>
                <c:pt idx="227">
                  <c:v>45712</c:v>
                </c:pt>
                <c:pt idx="228">
                  <c:v>45709</c:v>
                </c:pt>
                <c:pt idx="229">
                  <c:v>45708</c:v>
                </c:pt>
                <c:pt idx="230">
                  <c:v>45707</c:v>
                </c:pt>
                <c:pt idx="231">
                  <c:v>45706</c:v>
                </c:pt>
                <c:pt idx="232">
                  <c:v>45702</c:v>
                </c:pt>
                <c:pt idx="233">
                  <c:v>45701</c:v>
                </c:pt>
                <c:pt idx="234">
                  <c:v>45700</c:v>
                </c:pt>
                <c:pt idx="235">
                  <c:v>45699</c:v>
                </c:pt>
                <c:pt idx="236">
                  <c:v>45698</c:v>
                </c:pt>
                <c:pt idx="237">
                  <c:v>45695</c:v>
                </c:pt>
                <c:pt idx="238">
                  <c:v>45694</c:v>
                </c:pt>
                <c:pt idx="239">
                  <c:v>45693</c:v>
                </c:pt>
                <c:pt idx="240">
                  <c:v>45692</c:v>
                </c:pt>
                <c:pt idx="241">
                  <c:v>45691</c:v>
                </c:pt>
                <c:pt idx="242">
                  <c:v>45688</c:v>
                </c:pt>
                <c:pt idx="243">
                  <c:v>45687</c:v>
                </c:pt>
                <c:pt idx="244">
                  <c:v>45686</c:v>
                </c:pt>
                <c:pt idx="245">
                  <c:v>45685</c:v>
                </c:pt>
                <c:pt idx="246">
                  <c:v>45684</c:v>
                </c:pt>
                <c:pt idx="247">
                  <c:v>45681</c:v>
                </c:pt>
                <c:pt idx="248">
                  <c:v>45680</c:v>
                </c:pt>
                <c:pt idx="249">
                  <c:v>45679</c:v>
                </c:pt>
                <c:pt idx="250">
                  <c:v>45678</c:v>
                </c:pt>
              </c:numCache>
            </c:numRef>
          </c:xVal>
          <c:yVal>
            <c:numRef>
              <c:f>Graphs!$L$47:$L$297</c:f>
              <c:numCache>
                <c:formatCode>General</c:formatCode>
                <c:ptCount val="251"/>
                <c:pt idx="0">
                  <c:v>22.63</c:v>
                </c:pt>
                <c:pt idx="1">
                  <c:v>22.49</c:v>
                </c:pt>
                <c:pt idx="2">
                  <c:v>23.5</c:v>
                </c:pt>
                <c:pt idx="3">
                  <c:v>24.07</c:v>
                </c:pt>
                <c:pt idx="4">
                  <c:v>24.11</c:v>
                </c:pt>
                <c:pt idx="5">
                  <c:v>24.37</c:v>
                </c:pt>
                <c:pt idx="6">
                  <c:v>22.51</c:v>
                </c:pt>
                <c:pt idx="7">
                  <c:v>23.21</c:v>
                </c:pt>
                <c:pt idx="8">
                  <c:v>24.2</c:v>
                </c:pt>
                <c:pt idx="9">
                  <c:v>22.54</c:v>
                </c:pt>
                <c:pt idx="10">
                  <c:v>23.11</c:v>
                </c:pt>
                <c:pt idx="11">
                  <c:v>23.6</c:v>
                </c:pt>
                <c:pt idx="12">
                  <c:v>23</c:v>
                </c:pt>
                <c:pt idx="13">
                  <c:v>22.78</c:v>
                </c:pt>
                <c:pt idx="14">
                  <c:v>19.72</c:v>
                </c:pt>
                <c:pt idx="15">
                  <c:v>34.19</c:v>
                </c:pt>
                <c:pt idx="16">
                  <c:v>34.58</c:v>
                </c:pt>
                <c:pt idx="17">
                  <c:v>34.130000000000003</c:v>
                </c:pt>
                <c:pt idx="18">
                  <c:v>34.75</c:v>
                </c:pt>
                <c:pt idx="19">
                  <c:v>33.5</c:v>
                </c:pt>
                <c:pt idx="20">
                  <c:v>32.840000000000003</c:v>
                </c:pt>
                <c:pt idx="21">
                  <c:v>33.21</c:v>
                </c:pt>
                <c:pt idx="22">
                  <c:v>34.340000000000003</c:v>
                </c:pt>
                <c:pt idx="23">
                  <c:v>36.229999999999997</c:v>
                </c:pt>
                <c:pt idx="24">
                  <c:v>36.229999999999997</c:v>
                </c:pt>
                <c:pt idx="25">
                  <c:v>36.200000000000003</c:v>
                </c:pt>
                <c:pt idx="26">
                  <c:v>36</c:v>
                </c:pt>
                <c:pt idx="27">
                  <c:v>36.299999999999997</c:v>
                </c:pt>
                <c:pt idx="28">
                  <c:v>36.450000000000003</c:v>
                </c:pt>
                <c:pt idx="29">
                  <c:v>36.380000000000003</c:v>
                </c:pt>
                <c:pt idx="30">
                  <c:v>36.54</c:v>
                </c:pt>
                <c:pt idx="31">
                  <c:v>36.450000000000003</c:v>
                </c:pt>
                <c:pt idx="32">
                  <c:v>33.47</c:v>
                </c:pt>
                <c:pt idx="33">
                  <c:v>33.369999999999997</c:v>
                </c:pt>
                <c:pt idx="34">
                  <c:v>34.75</c:v>
                </c:pt>
                <c:pt idx="35">
                  <c:v>33.76</c:v>
                </c:pt>
                <c:pt idx="36">
                  <c:v>33.53</c:v>
                </c:pt>
                <c:pt idx="37">
                  <c:v>32.78</c:v>
                </c:pt>
                <c:pt idx="38">
                  <c:v>33.590000000000003</c:v>
                </c:pt>
                <c:pt idx="39">
                  <c:v>31.18</c:v>
                </c:pt>
                <c:pt idx="40">
                  <c:v>31.86</c:v>
                </c:pt>
                <c:pt idx="41">
                  <c:v>32.83</c:v>
                </c:pt>
                <c:pt idx="42">
                  <c:v>32.54</c:v>
                </c:pt>
                <c:pt idx="43">
                  <c:v>33.08</c:v>
                </c:pt>
                <c:pt idx="44">
                  <c:v>32.9</c:v>
                </c:pt>
                <c:pt idx="45">
                  <c:v>33.53</c:v>
                </c:pt>
                <c:pt idx="46">
                  <c:v>33.25</c:v>
                </c:pt>
                <c:pt idx="47">
                  <c:v>31.94</c:v>
                </c:pt>
                <c:pt idx="48">
                  <c:v>30.63</c:v>
                </c:pt>
                <c:pt idx="49">
                  <c:v>30.95</c:v>
                </c:pt>
                <c:pt idx="50">
                  <c:v>31.87</c:v>
                </c:pt>
                <c:pt idx="51">
                  <c:v>32.46</c:v>
                </c:pt>
                <c:pt idx="52">
                  <c:v>33.47</c:v>
                </c:pt>
                <c:pt idx="53">
                  <c:v>34.6</c:v>
                </c:pt>
                <c:pt idx="54">
                  <c:v>35.17</c:v>
                </c:pt>
                <c:pt idx="55">
                  <c:v>34.590000000000003</c:v>
                </c:pt>
                <c:pt idx="56">
                  <c:v>34.770000000000003</c:v>
                </c:pt>
                <c:pt idx="57">
                  <c:v>35.31</c:v>
                </c:pt>
                <c:pt idx="58">
                  <c:v>33.53</c:v>
                </c:pt>
                <c:pt idx="59">
                  <c:v>33.630000000000003</c:v>
                </c:pt>
                <c:pt idx="60">
                  <c:v>33.14</c:v>
                </c:pt>
                <c:pt idx="61">
                  <c:v>34.19</c:v>
                </c:pt>
                <c:pt idx="62">
                  <c:v>34.4</c:v>
                </c:pt>
                <c:pt idx="63">
                  <c:v>32.630000000000003</c:v>
                </c:pt>
                <c:pt idx="64">
                  <c:v>33.97</c:v>
                </c:pt>
                <c:pt idx="65">
                  <c:v>33.43</c:v>
                </c:pt>
                <c:pt idx="66">
                  <c:v>31.69</c:v>
                </c:pt>
                <c:pt idx="67">
                  <c:v>32.020000000000003</c:v>
                </c:pt>
                <c:pt idx="68">
                  <c:v>31.45</c:v>
                </c:pt>
                <c:pt idx="69">
                  <c:v>31.66</c:v>
                </c:pt>
                <c:pt idx="70">
                  <c:v>30.86</c:v>
                </c:pt>
                <c:pt idx="71">
                  <c:v>29.74</c:v>
                </c:pt>
                <c:pt idx="72">
                  <c:v>30.19</c:v>
                </c:pt>
                <c:pt idx="73">
                  <c:v>31.21</c:v>
                </c:pt>
                <c:pt idx="74">
                  <c:v>30.9</c:v>
                </c:pt>
                <c:pt idx="75">
                  <c:v>29.99</c:v>
                </c:pt>
                <c:pt idx="76">
                  <c:v>30.08</c:v>
                </c:pt>
                <c:pt idx="77">
                  <c:v>30.36</c:v>
                </c:pt>
                <c:pt idx="78">
                  <c:v>29.08</c:v>
                </c:pt>
                <c:pt idx="79">
                  <c:v>27.82</c:v>
                </c:pt>
                <c:pt idx="80">
                  <c:v>28.76</c:v>
                </c:pt>
                <c:pt idx="81">
                  <c:v>28.4</c:v>
                </c:pt>
                <c:pt idx="82">
                  <c:v>29.47</c:v>
                </c:pt>
                <c:pt idx="83">
                  <c:v>28.13</c:v>
                </c:pt>
                <c:pt idx="84">
                  <c:v>29.11</c:v>
                </c:pt>
                <c:pt idx="85">
                  <c:v>28.71</c:v>
                </c:pt>
                <c:pt idx="86">
                  <c:v>29.48</c:v>
                </c:pt>
                <c:pt idx="87">
                  <c:v>29</c:v>
                </c:pt>
                <c:pt idx="88">
                  <c:v>30.31</c:v>
                </c:pt>
                <c:pt idx="89">
                  <c:v>31.23</c:v>
                </c:pt>
                <c:pt idx="90">
                  <c:v>31.29</c:v>
                </c:pt>
                <c:pt idx="91">
                  <c:v>31.5</c:v>
                </c:pt>
                <c:pt idx="92">
                  <c:v>31.51</c:v>
                </c:pt>
                <c:pt idx="93">
                  <c:v>31.82</c:v>
                </c:pt>
                <c:pt idx="94">
                  <c:v>31.28</c:v>
                </c:pt>
                <c:pt idx="95">
                  <c:v>31.55</c:v>
                </c:pt>
                <c:pt idx="96">
                  <c:v>32.03</c:v>
                </c:pt>
                <c:pt idx="97">
                  <c:v>29.96</c:v>
                </c:pt>
                <c:pt idx="98">
                  <c:v>30.3</c:v>
                </c:pt>
                <c:pt idx="99">
                  <c:v>30.08</c:v>
                </c:pt>
                <c:pt idx="100">
                  <c:v>29.56</c:v>
                </c:pt>
                <c:pt idx="101">
                  <c:v>29.27</c:v>
                </c:pt>
                <c:pt idx="102">
                  <c:v>29.78</c:v>
                </c:pt>
                <c:pt idx="103">
                  <c:v>29.52</c:v>
                </c:pt>
                <c:pt idx="104">
                  <c:v>29.36</c:v>
                </c:pt>
                <c:pt idx="105">
                  <c:v>29.12</c:v>
                </c:pt>
                <c:pt idx="106">
                  <c:v>29.7</c:v>
                </c:pt>
                <c:pt idx="107">
                  <c:v>29.69</c:v>
                </c:pt>
                <c:pt idx="108">
                  <c:v>29.01</c:v>
                </c:pt>
                <c:pt idx="109">
                  <c:v>28.97</c:v>
                </c:pt>
                <c:pt idx="110">
                  <c:v>28.11</c:v>
                </c:pt>
                <c:pt idx="111">
                  <c:v>27.39</c:v>
                </c:pt>
                <c:pt idx="112">
                  <c:v>27.54</c:v>
                </c:pt>
                <c:pt idx="113">
                  <c:v>27.83</c:v>
                </c:pt>
                <c:pt idx="114">
                  <c:v>28.05</c:v>
                </c:pt>
                <c:pt idx="115">
                  <c:v>28.92</c:v>
                </c:pt>
                <c:pt idx="116">
                  <c:v>28.46</c:v>
                </c:pt>
                <c:pt idx="117">
                  <c:v>28.44</c:v>
                </c:pt>
                <c:pt idx="118">
                  <c:v>27.32</c:v>
                </c:pt>
                <c:pt idx="119">
                  <c:v>27.14</c:v>
                </c:pt>
                <c:pt idx="120">
                  <c:v>27.66</c:v>
                </c:pt>
                <c:pt idx="121">
                  <c:v>27.61</c:v>
                </c:pt>
                <c:pt idx="122">
                  <c:v>27.34</c:v>
                </c:pt>
                <c:pt idx="123">
                  <c:v>27.3</c:v>
                </c:pt>
                <c:pt idx="124">
                  <c:v>28.01</c:v>
                </c:pt>
                <c:pt idx="125">
                  <c:v>26.44</c:v>
                </c:pt>
                <c:pt idx="126">
                  <c:v>26.39</c:v>
                </c:pt>
                <c:pt idx="127">
                  <c:v>26.31</c:v>
                </c:pt>
                <c:pt idx="128">
                  <c:v>27.41</c:v>
                </c:pt>
                <c:pt idx="129">
                  <c:v>27.31</c:v>
                </c:pt>
                <c:pt idx="130">
                  <c:v>27.2</c:v>
                </c:pt>
                <c:pt idx="131">
                  <c:v>29.23</c:v>
                </c:pt>
                <c:pt idx="132">
                  <c:v>29.51</c:v>
                </c:pt>
                <c:pt idx="133">
                  <c:v>31.03</c:v>
                </c:pt>
                <c:pt idx="134">
                  <c:v>41.44</c:v>
                </c:pt>
                <c:pt idx="135">
                  <c:v>39.42</c:v>
                </c:pt>
                <c:pt idx="136">
                  <c:v>39.61</c:v>
                </c:pt>
                <c:pt idx="137">
                  <c:v>39.909999999999997</c:v>
                </c:pt>
                <c:pt idx="138">
                  <c:v>39.46</c:v>
                </c:pt>
                <c:pt idx="139">
                  <c:v>36.26</c:v>
                </c:pt>
                <c:pt idx="140">
                  <c:v>36.36</c:v>
                </c:pt>
                <c:pt idx="141">
                  <c:v>36.520000000000003</c:v>
                </c:pt>
                <c:pt idx="142">
                  <c:v>37.119999999999997</c:v>
                </c:pt>
                <c:pt idx="143">
                  <c:v>37.43</c:v>
                </c:pt>
                <c:pt idx="144">
                  <c:v>37.159999999999997</c:v>
                </c:pt>
                <c:pt idx="145">
                  <c:v>36.83</c:v>
                </c:pt>
                <c:pt idx="146">
                  <c:v>37.14</c:v>
                </c:pt>
                <c:pt idx="147">
                  <c:v>37.35</c:v>
                </c:pt>
                <c:pt idx="148">
                  <c:v>36.659999999999997</c:v>
                </c:pt>
                <c:pt idx="149">
                  <c:v>37.11</c:v>
                </c:pt>
                <c:pt idx="150">
                  <c:v>37.49</c:v>
                </c:pt>
                <c:pt idx="151">
                  <c:v>39.29</c:v>
                </c:pt>
                <c:pt idx="152">
                  <c:v>37.51</c:v>
                </c:pt>
                <c:pt idx="153">
                  <c:v>37.51</c:v>
                </c:pt>
                <c:pt idx="154">
                  <c:v>37.04</c:v>
                </c:pt>
                <c:pt idx="155">
                  <c:v>37.17</c:v>
                </c:pt>
                <c:pt idx="156">
                  <c:v>36.909999999999997</c:v>
                </c:pt>
                <c:pt idx="157">
                  <c:v>36.61</c:v>
                </c:pt>
                <c:pt idx="158">
                  <c:v>36.4</c:v>
                </c:pt>
                <c:pt idx="159">
                  <c:v>36.14</c:v>
                </c:pt>
                <c:pt idx="160">
                  <c:v>34.03</c:v>
                </c:pt>
                <c:pt idx="161">
                  <c:v>35.03</c:v>
                </c:pt>
                <c:pt idx="162">
                  <c:v>34.35</c:v>
                </c:pt>
                <c:pt idx="163">
                  <c:v>35.08</c:v>
                </c:pt>
                <c:pt idx="164">
                  <c:v>35.659999999999997</c:v>
                </c:pt>
                <c:pt idx="165">
                  <c:v>35.51</c:v>
                </c:pt>
                <c:pt idx="166">
                  <c:v>35.409999999999997</c:v>
                </c:pt>
                <c:pt idx="167">
                  <c:v>37.35</c:v>
                </c:pt>
                <c:pt idx="168">
                  <c:v>36.19</c:v>
                </c:pt>
                <c:pt idx="169">
                  <c:v>35.61</c:v>
                </c:pt>
                <c:pt idx="170">
                  <c:v>34.840000000000003</c:v>
                </c:pt>
                <c:pt idx="171">
                  <c:v>34.72</c:v>
                </c:pt>
                <c:pt idx="172">
                  <c:v>35.4</c:v>
                </c:pt>
                <c:pt idx="173">
                  <c:v>36.090000000000003</c:v>
                </c:pt>
                <c:pt idx="174">
                  <c:v>35.11</c:v>
                </c:pt>
                <c:pt idx="175">
                  <c:v>35.979999999999997</c:v>
                </c:pt>
                <c:pt idx="176">
                  <c:v>33.42</c:v>
                </c:pt>
                <c:pt idx="177">
                  <c:v>35.06</c:v>
                </c:pt>
                <c:pt idx="178">
                  <c:v>38.869999999999997</c:v>
                </c:pt>
                <c:pt idx="179">
                  <c:v>39.299999999999997</c:v>
                </c:pt>
                <c:pt idx="180">
                  <c:v>38.97</c:v>
                </c:pt>
                <c:pt idx="181">
                  <c:v>38.979999999999997</c:v>
                </c:pt>
                <c:pt idx="182">
                  <c:v>38.07</c:v>
                </c:pt>
                <c:pt idx="183">
                  <c:v>37.979999999999997</c:v>
                </c:pt>
                <c:pt idx="184">
                  <c:v>38.090000000000003</c:v>
                </c:pt>
                <c:pt idx="185">
                  <c:v>37.64</c:v>
                </c:pt>
                <c:pt idx="186">
                  <c:v>37.31</c:v>
                </c:pt>
                <c:pt idx="187">
                  <c:v>35.909999999999997</c:v>
                </c:pt>
                <c:pt idx="188">
                  <c:v>35.4</c:v>
                </c:pt>
                <c:pt idx="189">
                  <c:v>35.69</c:v>
                </c:pt>
                <c:pt idx="190">
                  <c:v>34.979999999999997</c:v>
                </c:pt>
                <c:pt idx="191">
                  <c:v>35.340000000000003</c:v>
                </c:pt>
                <c:pt idx="192">
                  <c:v>34.92</c:v>
                </c:pt>
                <c:pt idx="193">
                  <c:v>34.14</c:v>
                </c:pt>
                <c:pt idx="194">
                  <c:v>33.159999999999997</c:v>
                </c:pt>
                <c:pt idx="195">
                  <c:v>33.909999999999997</c:v>
                </c:pt>
                <c:pt idx="196">
                  <c:v>31.06</c:v>
                </c:pt>
                <c:pt idx="197">
                  <c:v>32.14</c:v>
                </c:pt>
                <c:pt idx="198">
                  <c:v>32.43</c:v>
                </c:pt>
                <c:pt idx="199">
                  <c:v>35.130000000000003</c:v>
                </c:pt>
                <c:pt idx="200">
                  <c:v>35.369999999999997</c:v>
                </c:pt>
                <c:pt idx="201">
                  <c:v>33.840000000000003</c:v>
                </c:pt>
                <c:pt idx="202">
                  <c:v>36.21</c:v>
                </c:pt>
                <c:pt idx="203">
                  <c:v>37.82</c:v>
                </c:pt>
                <c:pt idx="204">
                  <c:v>38.89</c:v>
                </c:pt>
                <c:pt idx="205">
                  <c:v>37.979999999999997</c:v>
                </c:pt>
                <c:pt idx="206">
                  <c:v>38.69</c:v>
                </c:pt>
                <c:pt idx="207">
                  <c:v>39.36</c:v>
                </c:pt>
                <c:pt idx="208">
                  <c:v>39.18</c:v>
                </c:pt>
                <c:pt idx="209">
                  <c:v>38.89</c:v>
                </c:pt>
                <c:pt idx="210">
                  <c:v>39.68</c:v>
                </c:pt>
                <c:pt idx="211">
                  <c:v>38.86</c:v>
                </c:pt>
                <c:pt idx="212">
                  <c:v>39.64</c:v>
                </c:pt>
                <c:pt idx="213">
                  <c:v>39.340000000000003</c:v>
                </c:pt>
                <c:pt idx="214">
                  <c:v>39.25</c:v>
                </c:pt>
                <c:pt idx="215">
                  <c:v>40.29</c:v>
                </c:pt>
                <c:pt idx="216">
                  <c:v>38.33</c:v>
                </c:pt>
                <c:pt idx="217">
                  <c:v>37.5</c:v>
                </c:pt>
                <c:pt idx="218">
                  <c:v>38.619999999999997</c:v>
                </c:pt>
                <c:pt idx="219">
                  <c:v>40.020000000000003</c:v>
                </c:pt>
                <c:pt idx="220">
                  <c:v>40.869999999999997</c:v>
                </c:pt>
                <c:pt idx="221">
                  <c:v>41.1</c:v>
                </c:pt>
                <c:pt idx="222">
                  <c:v>41.26</c:v>
                </c:pt>
                <c:pt idx="223">
                  <c:v>42.92</c:v>
                </c:pt>
                <c:pt idx="224">
                  <c:v>41.97</c:v>
                </c:pt>
                <c:pt idx="225">
                  <c:v>41.62</c:v>
                </c:pt>
                <c:pt idx="226">
                  <c:v>40.799999999999997</c:v>
                </c:pt>
                <c:pt idx="227">
                  <c:v>41.84</c:v>
                </c:pt>
                <c:pt idx="228">
                  <c:v>42.59</c:v>
                </c:pt>
                <c:pt idx="229">
                  <c:v>44.48</c:v>
                </c:pt>
                <c:pt idx="230">
                  <c:v>44.29</c:v>
                </c:pt>
                <c:pt idx="231">
                  <c:v>43.62</c:v>
                </c:pt>
                <c:pt idx="232">
                  <c:v>42.49</c:v>
                </c:pt>
                <c:pt idx="233">
                  <c:v>43.52</c:v>
                </c:pt>
                <c:pt idx="234">
                  <c:v>43.43</c:v>
                </c:pt>
                <c:pt idx="235">
                  <c:v>43.58</c:v>
                </c:pt>
                <c:pt idx="236">
                  <c:v>44.78</c:v>
                </c:pt>
                <c:pt idx="237">
                  <c:v>45.35</c:v>
                </c:pt>
                <c:pt idx="238">
                  <c:v>45.78</c:v>
                </c:pt>
                <c:pt idx="239">
                  <c:v>45.37</c:v>
                </c:pt>
                <c:pt idx="240">
                  <c:v>44.18</c:v>
                </c:pt>
                <c:pt idx="241">
                  <c:v>43.42</c:v>
                </c:pt>
                <c:pt idx="242">
                  <c:v>43.03</c:v>
                </c:pt>
                <c:pt idx="243">
                  <c:v>43.4</c:v>
                </c:pt>
                <c:pt idx="244">
                  <c:v>42.47</c:v>
                </c:pt>
                <c:pt idx="245">
                  <c:v>42.49</c:v>
                </c:pt>
                <c:pt idx="246">
                  <c:v>43.27</c:v>
                </c:pt>
                <c:pt idx="247">
                  <c:v>44.05</c:v>
                </c:pt>
                <c:pt idx="248">
                  <c:v>44.85</c:v>
                </c:pt>
                <c:pt idx="249">
                  <c:v>42.94</c:v>
                </c:pt>
                <c:pt idx="250">
                  <c:v>41.28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1E-4AB2-AFDF-8D5732C23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557599"/>
        <c:axId val="1520558559"/>
      </c:scatterChart>
      <c:dateAx>
        <c:axId val="157186430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117279"/>
        <c:crosses val="autoZero"/>
        <c:auto val="1"/>
        <c:lblOffset val="100"/>
        <c:baseTimeUnit val="days"/>
      </c:dateAx>
      <c:valAx>
        <c:axId val="15231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6430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5205585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57599"/>
        <c:crosses val="max"/>
        <c:crossBetween val="midCat"/>
      </c:valAx>
      <c:valAx>
        <c:axId val="1520557599"/>
        <c:scaling>
          <c:orientation val="minMax"/>
        </c:scaling>
        <c:delete val="1"/>
        <c:axPos val="t"/>
        <c:numFmt formatCode="d\-mmm\-yy" sourceLinked="1"/>
        <c:majorTickMark val="out"/>
        <c:minorTickMark val="none"/>
        <c:tickLblPos val="nextTo"/>
        <c:crossAx val="152055855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2</xdr:row>
      <xdr:rowOff>0</xdr:rowOff>
    </xdr:from>
    <xdr:to>
      <xdr:col>2</xdr:col>
      <xdr:colOff>2192128</xdr:colOff>
      <xdr:row>10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E3DF-BE5B-459C-7AE2-BB9B036CF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19100"/>
          <a:ext cx="4147928" cy="1657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0</xdr:row>
      <xdr:rowOff>127000</xdr:rowOff>
    </xdr:from>
    <xdr:to>
      <xdr:col>7</xdr:col>
      <xdr:colOff>384175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052E1-C3F5-364E-838D-9947E229D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79375</xdr:colOff>
      <xdr:row>16</xdr:row>
      <xdr:rowOff>6350</xdr:rowOff>
    </xdr:from>
    <xdr:to>
      <xdr:col>7</xdr:col>
      <xdr:colOff>384175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E725-07E1-0798-2B16-BC63EF3BF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73025</xdr:colOff>
      <xdr:row>31</xdr:row>
      <xdr:rowOff>44450</xdr:rowOff>
    </xdr:from>
    <xdr:to>
      <xdr:col>7</xdr:col>
      <xdr:colOff>377825</xdr:colOff>
      <xdr:row>46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597B67-B95E-38C5-2C33-AC1FBD85B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10991</xdr:colOff>
      <xdr:row>47</xdr:row>
      <xdr:rowOff>26865</xdr:rowOff>
    </xdr:from>
    <xdr:to>
      <xdr:col>7</xdr:col>
      <xdr:colOff>316768</xdr:colOff>
      <xdr:row>62</xdr:row>
      <xdr:rowOff>7815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B38EE9-2312-D281-078F-C33978CD5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9063f627c2eb15/Documents/BFLYMODEL.xlsx" TargetMode="External"/><Relationship Id="rId1" Type="http://schemas.openxmlformats.org/officeDocument/2006/relationships/externalLinkPath" Target="BFLY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9063f627c2eb15/Documents/AVDLMODEL.xlsx" TargetMode="External"/><Relationship Id="rId1" Type="http://schemas.openxmlformats.org/officeDocument/2006/relationships/externalLinkPath" Target="AVDL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ummary"/>
      <sheetName val="Graphs"/>
      <sheetName val="Q3"/>
      <sheetName val="Model"/>
      <sheetName val="Drivers"/>
      <sheetName val="DCF"/>
      <sheetName val="WACC"/>
      <sheetName val="Valsum"/>
      <sheetName val="ValGraph"/>
      <sheetName val="PubComps"/>
      <sheetName val="PubComps_Data"/>
      <sheetName val="MAComps"/>
      <sheetName val="Sample"/>
      <sheetName val="PPT"/>
    </sheetNames>
    <sheetDataSet>
      <sheetData sheetId="0"/>
      <sheetData sheetId="1">
        <row r="45">
          <cell r="J45">
            <v>-30396.711285383673</v>
          </cell>
        </row>
      </sheetData>
      <sheetData sheetId="2"/>
      <sheetData sheetId="3"/>
      <sheetData sheetId="4">
        <row r="68">
          <cell r="J68">
            <v>63650</v>
          </cell>
        </row>
        <row r="84">
          <cell r="C84" t="str">
            <v>Total operating expenses</v>
          </cell>
        </row>
      </sheetData>
      <sheetData sheetId="5"/>
      <sheetData sheetId="6">
        <row r="22">
          <cell r="G22">
            <v>-88.775000000000006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L29">
            <v>88.775000000000006</v>
          </cell>
        </row>
        <row r="30">
          <cell r="G30"/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</sheetData>
      <sheetData sheetId="7">
        <row r="40">
          <cell r="L40">
            <v>0.10883791648500157</v>
          </cell>
        </row>
      </sheetData>
      <sheetData sheetId="8"/>
      <sheetData sheetId="9"/>
      <sheetData sheetId="10">
        <row r="36">
          <cell r="S36">
            <v>11.704419790869675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ummary"/>
      <sheetName val="Graphs"/>
      <sheetName val="Model"/>
      <sheetName val="Drivers"/>
      <sheetName val="Q1"/>
      <sheetName val="NPV"/>
      <sheetName val="WACC"/>
      <sheetName val="ValSum"/>
      <sheetName val="ValGraph"/>
      <sheetName val="PubComps"/>
      <sheetName val="PubComps_Data"/>
      <sheetName val="MAComps"/>
      <sheetName val="PPT"/>
    </sheetNames>
    <sheetDataSet>
      <sheetData sheetId="0"/>
      <sheetData sheetId="1"/>
      <sheetData sheetId="2"/>
      <sheetData sheetId="3"/>
      <sheetData sheetId="4">
        <row r="65">
          <cell r="N65">
            <v>0</v>
          </cell>
          <cell r="O65">
            <v>0</v>
          </cell>
          <cell r="P65">
            <v>68832.922972922213</v>
          </cell>
          <cell r="Q65">
            <v>195418.69530927253</v>
          </cell>
          <cell r="R65">
            <v>284266.71874413185</v>
          </cell>
          <cell r="S65">
            <v>326943.54452247714</v>
          </cell>
          <cell r="T65">
            <v>351859.30311338109</v>
          </cell>
          <cell r="U65">
            <v>362548.91951778263</v>
          </cell>
          <cell r="V65">
            <v>369699.34217148001</v>
          </cell>
          <cell r="W65">
            <v>373296.16877516627</v>
          </cell>
          <cell r="X65">
            <v>373338.19874350278</v>
          </cell>
          <cell r="Y65">
            <v>369824.23122077889</v>
          </cell>
          <cell r="Z65">
            <v>366309.46767969371</v>
          </cell>
        </row>
      </sheetData>
      <sheetData sheetId="5"/>
      <sheetData sheetId="6"/>
      <sheetData sheetId="7"/>
      <sheetData sheetId="8"/>
      <sheetData sheetId="9"/>
      <sheetData sheetId="10">
        <row r="37">
          <cell r="S37">
            <v>14.299153513558895</v>
          </cell>
        </row>
      </sheetData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A3C1-CCEB-4E58-935A-4EB12F18AABC}">
  <dimension ref="B2:F34"/>
  <sheetViews>
    <sheetView showGridLines="0" zoomScale="77" workbookViewId="0">
      <selection activeCell="F28" sqref="F28"/>
    </sheetView>
  </sheetViews>
  <sheetFormatPr defaultRowHeight="14.5"/>
  <cols>
    <col min="2" max="2" width="24.1796875" customWidth="1"/>
    <col min="3" max="3" width="53" bestFit="1" customWidth="1"/>
    <col min="4" max="4" width="12.54296875" bestFit="1" customWidth="1"/>
  </cols>
  <sheetData>
    <row r="2" spans="2:6" ht="18.5">
      <c r="B2" s="621" t="str">
        <f>Company_Name&amp;" - Operating Model and Valuation - Cover Page and Navigation"</f>
        <v>Ultragenyx Pharmaceutical Inc. - Operating Model and Valuation - Cover Page and Navigation</v>
      </c>
      <c r="C2" s="512"/>
      <c r="D2" s="512"/>
      <c r="E2" s="512"/>
      <c r="F2" s="512"/>
    </row>
    <row r="3" spans="2:6" ht="16">
      <c r="B3" s="512"/>
      <c r="C3" s="512"/>
      <c r="D3" s="512"/>
      <c r="E3" s="512"/>
      <c r="F3" s="512"/>
    </row>
    <row r="4" spans="2:6" ht="16">
      <c r="B4" s="512"/>
      <c r="C4" s="512"/>
      <c r="D4" s="512"/>
      <c r="E4" s="512"/>
      <c r="F4" s="512"/>
    </row>
    <row r="5" spans="2:6" ht="16">
      <c r="C5" s="512"/>
      <c r="D5" s="512"/>
      <c r="E5" s="512"/>
      <c r="F5" s="512"/>
    </row>
    <row r="6" spans="2:6" ht="16">
      <c r="B6" s="512"/>
      <c r="C6" s="512"/>
      <c r="D6" s="512"/>
      <c r="E6" s="512"/>
      <c r="F6" s="512"/>
    </row>
    <row r="7" spans="2:6" ht="16">
      <c r="B7" s="512"/>
      <c r="C7" s="512"/>
      <c r="D7" s="512"/>
      <c r="E7" s="512"/>
      <c r="F7" s="512"/>
    </row>
    <row r="8" spans="2:6" ht="16">
      <c r="B8" s="512"/>
      <c r="D8" s="512"/>
      <c r="E8" s="512"/>
      <c r="F8" s="512"/>
    </row>
    <row r="9" spans="2:6" ht="16">
      <c r="B9" s="512"/>
      <c r="C9" s="348"/>
      <c r="D9" s="512"/>
      <c r="E9" s="512"/>
      <c r="F9" s="512"/>
    </row>
    <row r="10" spans="2:6" ht="16">
      <c r="B10" s="512"/>
      <c r="C10" s="512"/>
      <c r="D10" s="512"/>
      <c r="E10" s="512"/>
      <c r="F10" s="512"/>
    </row>
    <row r="11" spans="2:6" ht="16">
      <c r="B11" s="512"/>
      <c r="C11" s="512"/>
      <c r="D11" s="512"/>
      <c r="E11" s="512"/>
      <c r="F11" s="512"/>
    </row>
    <row r="12" spans="2:6" ht="16">
      <c r="B12" s="512"/>
      <c r="C12" s="512" t="s">
        <v>3</v>
      </c>
      <c r="D12" s="622" t="str">
        <f>Company_Name</f>
        <v>Ultragenyx Pharmaceutical Inc.</v>
      </c>
      <c r="E12" s="512"/>
      <c r="F12" s="512"/>
    </row>
    <row r="13" spans="2:6" ht="16">
      <c r="B13" s="512"/>
      <c r="C13" s="512" t="s">
        <v>597</v>
      </c>
      <c r="D13" s="512" t="s">
        <v>598</v>
      </c>
      <c r="E13" s="512"/>
      <c r="F13" s="512"/>
    </row>
    <row r="14" spans="2:6" ht="16">
      <c r="B14" s="512"/>
      <c r="C14" s="512" t="s">
        <v>599</v>
      </c>
      <c r="D14" s="512" t="s">
        <v>600</v>
      </c>
      <c r="E14" s="512"/>
      <c r="F14" s="512"/>
    </row>
    <row r="15" spans="2:6" ht="16">
      <c r="B15" s="512"/>
      <c r="C15" s="512"/>
      <c r="D15" s="512"/>
      <c r="E15" s="512"/>
      <c r="F15" s="512"/>
    </row>
    <row r="16" spans="2:6" ht="16">
      <c r="B16" s="512"/>
      <c r="C16" s="512" t="s">
        <v>601</v>
      </c>
      <c r="D16" s="512" t="str">
        <f ca="1">MID(CELL("filename"),SEARCH("[",CELL("filename"))+1, SEARCH("]",CELL("filename"))-SEARCH("[",CELL("filename"))-1)</f>
        <v>IOVAMODEL.xlsx</v>
      </c>
      <c r="E16" s="512"/>
      <c r="F16" s="512"/>
    </row>
    <row r="17" spans="2:6" ht="16">
      <c r="B17" s="512"/>
      <c r="C17" s="512" t="s">
        <v>602</v>
      </c>
      <c r="D17" s="623">
        <f>Valuation_Date</f>
        <v>45677</v>
      </c>
      <c r="E17" s="512"/>
      <c r="F17" s="512"/>
    </row>
    <row r="18" spans="2:6" ht="16">
      <c r="B18" s="512"/>
      <c r="C18" s="512"/>
      <c r="D18" s="512"/>
      <c r="E18" s="512"/>
      <c r="F18" s="512"/>
    </row>
    <row r="19" spans="2:6" ht="16">
      <c r="B19" s="512"/>
      <c r="C19" s="512" t="s">
        <v>603</v>
      </c>
      <c r="D19" s="624"/>
      <c r="E19" s="512"/>
      <c r="F19" s="512"/>
    </row>
    <row r="20" spans="2:6" ht="16">
      <c r="B20" s="512"/>
      <c r="C20" s="512" t="s">
        <v>604</v>
      </c>
      <c r="D20" s="625"/>
      <c r="E20" s="512"/>
      <c r="F20" s="512"/>
    </row>
    <row r="21" spans="2:6" ht="16">
      <c r="B21" s="512"/>
      <c r="C21" s="512" t="s">
        <v>605</v>
      </c>
      <c r="D21" s="626"/>
      <c r="E21" s="512"/>
      <c r="F21" s="512"/>
    </row>
    <row r="22" spans="2:6" ht="16">
      <c r="B22" s="512"/>
      <c r="C22" s="512"/>
      <c r="D22" s="512"/>
      <c r="E22" s="512"/>
      <c r="F22" s="512"/>
    </row>
    <row r="23" spans="2:6" ht="16">
      <c r="B23" s="627" t="s">
        <v>20</v>
      </c>
      <c r="C23" s="628" t="s">
        <v>606</v>
      </c>
      <c r="D23" s="628" t="s">
        <v>607</v>
      </c>
      <c r="E23" s="628"/>
      <c r="F23" s="628"/>
    </row>
    <row r="24" spans="2:6" ht="16">
      <c r="B24" s="629">
        <f ca="1">_xlfn.SHEET(INDIRECT(D24&amp;"!A1"))</f>
        <v>2</v>
      </c>
      <c r="C24" s="512" t="s">
        <v>608</v>
      </c>
      <c r="D24" s="630" t="s">
        <v>609</v>
      </c>
      <c r="E24" s="512"/>
      <c r="F24" s="512"/>
    </row>
    <row r="25" spans="2:6" ht="16">
      <c r="B25" s="629">
        <f t="shared" ref="B25:B34" ca="1" si="0">_xlfn.SHEET(INDIRECT(D25&amp;"!A1"))</f>
        <v>3</v>
      </c>
      <c r="C25" s="512" t="s">
        <v>610</v>
      </c>
      <c r="D25" s="630" t="s">
        <v>611</v>
      </c>
      <c r="E25" s="512"/>
      <c r="F25" s="512"/>
    </row>
    <row r="26" spans="2:6" ht="16">
      <c r="B26" s="629">
        <f ca="1">_xlfn.SHEET(INDIRECT(D26&amp;"!A1"))</f>
        <v>4</v>
      </c>
      <c r="C26" s="512" t="s">
        <v>612</v>
      </c>
      <c r="D26" s="630" t="s">
        <v>613</v>
      </c>
      <c r="E26" s="512"/>
      <c r="F26" s="512"/>
    </row>
    <row r="27" spans="2:6" ht="16">
      <c r="B27" s="629">
        <f ca="1">_xlfn.SHEET(INDIRECT(D27&amp;"!A1"))</f>
        <v>5</v>
      </c>
      <c r="C27" s="512" t="s">
        <v>614</v>
      </c>
      <c r="D27" s="630" t="s">
        <v>615</v>
      </c>
      <c r="E27" s="512"/>
      <c r="F27" s="512"/>
    </row>
    <row r="28" spans="2:6" ht="16">
      <c r="B28" s="629">
        <f t="shared" ca="1" si="0"/>
        <v>6</v>
      </c>
      <c r="C28" s="512" t="s">
        <v>616</v>
      </c>
      <c r="D28" s="630" t="s">
        <v>617</v>
      </c>
      <c r="E28" s="512"/>
      <c r="F28" s="512"/>
    </row>
    <row r="29" spans="2:6" ht="16">
      <c r="B29" s="629">
        <f t="shared" ca="1" si="0"/>
        <v>7</v>
      </c>
      <c r="C29" s="512" t="s">
        <v>629</v>
      </c>
      <c r="D29" s="630" t="s">
        <v>628</v>
      </c>
      <c r="E29" s="512"/>
      <c r="F29" s="512"/>
    </row>
    <row r="30" spans="2:6" ht="16">
      <c r="B30" s="629">
        <f t="shared" ca="1" si="0"/>
        <v>8</v>
      </c>
      <c r="C30" s="512" t="s">
        <v>618</v>
      </c>
      <c r="D30" s="630" t="s">
        <v>619</v>
      </c>
      <c r="E30" s="512"/>
      <c r="F30" s="512"/>
    </row>
    <row r="31" spans="2:6" ht="16">
      <c r="B31" s="629">
        <f t="shared" ca="1" si="0"/>
        <v>9</v>
      </c>
      <c r="C31" s="512" t="s">
        <v>620</v>
      </c>
      <c r="D31" s="630" t="s">
        <v>621</v>
      </c>
      <c r="E31" s="512"/>
      <c r="F31" s="512"/>
    </row>
    <row r="32" spans="2:6" ht="16">
      <c r="B32" s="629" t="e">
        <f t="shared" ca="1" si="0"/>
        <v>#REF!</v>
      </c>
      <c r="C32" s="512" t="s">
        <v>622</v>
      </c>
      <c r="D32" s="630" t="s">
        <v>623</v>
      </c>
      <c r="E32" s="512"/>
      <c r="F32" s="512"/>
    </row>
    <row r="33" spans="2:6" ht="16">
      <c r="B33" s="629">
        <f t="shared" ca="1" si="0"/>
        <v>10</v>
      </c>
      <c r="C33" s="512" t="s">
        <v>624</v>
      </c>
      <c r="D33" s="630" t="s">
        <v>625</v>
      </c>
      <c r="E33" s="512"/>
      <c r="F33" s="512"/>
    </row>
    <row r="34" spans="2:6" ht="16">
      <c r="B34" s="629">
        <f t="shared" ca="1" si="0"/>
        <v>11</v>
      </c>
      <c r="C34" s="512" t="s">
        <v>626</v>
      </c>
      <c r="D34" s="630" t="s">
        <v>627</v>
      </c>
      <c r="E34" s="512"/>
      <c r="F34" s="512"/>
    </row>
  </sheetData>
  <hyperlinks>
    <hyperlink ref="D24" location="Summary!A1" display="Summary" xr:uid="{ACB06302-FAF6-4C38-A8F3-3A0641C2158E}"/>
    <hyperlink ref="D25" location="Graphs!A1" display="Graphs" xr:uid="{FE6B68A2-6082-4ECA-9E22-062D302B3121}"/>
    <hyperlink ref="D26" location="WMT_Model!A1" display="WMT_Model" xr:uid="{34414EF1-C13D-4C6F-97A7-7D7820639FE6}"/>
    <hyperlink ref="D28" location="Q1_Results!A1" display="Q1_Results" xr:uid="{EEC2DD32-E6BA-483B-96DA-CFB939295077}"/>
    <hyperlink ref="D29" location="DCF!A1" display="DCF" xr:uid="{FB85A1B9-225F-487F-9DC1-B7A536511044}"/>
    <hyperlink ref="D30" location="WACC!A1" display="WACC" xr:uid="{B33C0D62-97E6-4BF2-B0E1-4F04A033ECA6}"/>
    <hyperlink ref="D31" location="ValSum!A1" display="ValSum" xr:uid="{88860A70-C122-4344-BB94-D9F36FB123BC}"/>
    <hyperlink ref="D32" location="ValGraph!A1" display="ValGraph" xr:uid="{B23E470B-5ABE-49EC-A6DD-F5FD5CD9FDB8}"/>
    <hyperlink ref="D33" location="Public_Comps!A1" display="Public_Comps" xr:uid="{B05F55C7-63BE-4A35-A95B-14047DFB9AF4}"/>
    <hyperlink ref="D34" location="Public_Comps_Data!A1" display="Public_Comps_Data" xr:uid="{01CC8FAB-A29B-4ADB-9D4F-0DBA6F29BA8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55ED-E43B-4366-8B5A-DD1BC8AC582C}">
  <dimension ref="B2:T61"/>
  <sheetViews>
    <sheetView showGridLines="0" zoomScale="36" workbookViewId="0">
      <selection activeCell="H58" sqref="H58"/>
    </sheetView>
  </sheetViews>
  <sheetFormatPr defaultRowHeight="14.5"/>
  <cols>
    <col min="3" max="3" width="38.26953125" bestFit="1" customWidth="1"/>
    <col min="4" max="4" width="24.81640625" bestFit="1" customWidth="1"/>
    <col min="5" max="5" width="7.7265625" bestFit="1" customWidth="1"/>
    <col min="6" max="6" width="7.7265625" customWidth="1"/>
    <col min="7" max="7" width="12.6328125" bestFit="1" customWidth="1"/>
    <col min="8" max="11" width="13" bestFit="1" customWidth="1"/>
    <col min="12" max="12" width="12.08984375" bestFit="1" customWidth="1"/>
    <col min="13" max="14" width="12.26953125" bestFit="1" customWidth="1"/>
    <col min="15" max="16" width="13" bestFit="1" customWidth="1"/>
    <col min="18" max="18" width="10.26953125" bestFit="1" customWidth="1"/>
  </cols>
  <sheetData>
    <row r="2" spans="2:20" ht="16"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</row>
    <row r="3" spans="2:20" ht="18.5">
      <c r="B3" s="512"/>
      <c r="C3" s="513" t="str">
        <f>Company_Name&amp;" - Summary of Operating Model and Valuation - "&amp;Scenario&amp;" Case"</f>
        <v>Ultragenyx Pharmaceutical Inc. - Summary of Operating Model and Valuation - Base Case</v>
      </c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</row>
    <row r="4" spans="2:20" ht="16">
      <c r="B4" s="512"/>
      <c r="C4" s="371" t="s">
        <v>507</v>
      </c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</row>
    <row r="5" spans="2:20" ht="16"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</row>
    <row r="6" spans="2:20" ht="16">
      <c r="B6" s="512"/>
      <c r="C6" s="355"/>
      <c r="D6" s="355"/>
      <c r="E6" s="356"/>
      <c r="F6" s="356"/>
      <c r="G6" s="356"/>
      <c r="H6" s="514" t="s">
        <v>0</v>
      </c>
      <c r="I6" s="514"/>
      <c r="J6" s="515"/>
      <c r="K6" s="4"/>
      <c r="L6" s="514"/>
      <c r="M6" s="514"/>
      <c r="N6" s="514" t="s">
        <v>447</v>
      </c>
      <c r="O6" s="514"/>
      <c r="P6" s="514"/>
      <c r="Q6" s="514"/>
      <c r="R6" s="514"/>
      <c r="S6" s="512"/>
    </row>
    <row r="7" spans="2:20" ht="16">
      <c r="B7" s="512"/>
      <c r="C7" s="5" t="s">
        <v>529</v>
      </c>
      <c r="D7" s="5"/>
      <c r="E7" s="517" t="s">
        <v>2</v>
      </c>
      <c r="F7" s="517"/>
      <c r="G7" s="436">
        <v>44561</v>
      </c>
      <c r="H7" s="436">
        <f>EOMONTH(G7,12)</f>
        <v>44926</v>
      </c>
      <c r="I7" s="436">
        <f t="shared" ref="I7:O7" si="0">EOMONTH(H7,12)</f>
        <v>45291</v>
      </c>
      <c r="J7" s="436">
        <f t="shared" si="0"/>
        <v>45657</v>
      </c>
      <c r="K7" s="9">
        <f t="shared" si="0"/>
        <v>46022</v>
      </c>
      <c r="L7" s="436">
        <f t="shared" si="0"/>
        <v>46387</v>
      </c>
      <c r="M7" s="436">
        <f t="shared" si="0"/>
        <v>46752</v>
      </c>
      <c r="N7" s="436">
        <f t="shared" si="0"/>
        <v>47118</v>
      </c>
      <c r="O7" s="436">
        <f t="shared" si="0"/>
        <v>47483</v>
      </c>
      <c r="P7" s="436">
        <f t="shared" ref="P7" si="1">EOMONTH(O7,12)</f>
        <v>47848</v>
      </c>
      <c r="Q7" s="436"/>
      <c r="R7" s="436" t="s">
        <v>530</v>
      </c>
      <c r="S7" s="512"/>
    </row>
    <row r="8" spans="2:20" ht="16">
      <c r="B8" s="512"/>
      <c r="C8" s="518" t="s">
        <v>531</v>
      </c>
      <c r="D8" s="518"/>
      <c r="E8" s="519"/>
      <c r="F8" s="519"/>
      <c r="G8" s="519"/>
      <c r="H8" s="520"/>
      <c r="I8" s="520"/>
      <c r="J8" s="520"/>
      <c r="K8" s="520"/>
      <c r="L8" s="520"/>
      <c r="M8" s="520"/>
      <c r="N8" s="520"/>
      <c r="O8" s="520"/>
      <c r="P8" s="520"/>
      <c r="Q8" s="516"/>
      <c r="R8" s="520"/>
      <c r="S8" s="512"/>
    </row>
    <row r="9" spans="2:20" ht="16">
      <c r="B9" s="512"/>
      <c r="C9" s="521"/>
      <c r="H9" s="522"/>
      <c r="I9" s="522"/>
      <c r="J9" s="522"/>
      <c r="K9" s="522"/>
      <c r="L9" s="522"/>
      <c r="M9" s="522"/>
      <c r="N9" s="522"/>
      <c r="O9" s="522"/>
      <c r="P9" s="512"/>
      <c r="Q9" s="512"/>
      <c r="S9" s="512"/>
      <c r="T9" s="523"/>
    </row>
    <row r="10" spans="2:20" ht="16">
      <c r="B10" s="512"/>
      <c r="C10" s="524" t="s">
        <v>532</v>
      </c>
      <c r="E10" s="525" t="s">
        <v>129</v>
      </c>
      <c r="F10" s="525"/>
      <c r="G10" s="539">
        <f>Model!G59</f>
        <v>77017</v>
      </c>
      <c r="H10" s="539">
        <f>Model!H59</f>
        <v>118927</v>
      </c>
      <c r="I10" s="539">
        <f>Model!I59</f>
        <v>180413</v>
      </c>
      <c r="J10" s="539">
        <f>Model!J59</f>
        <v>285415</v>
      </c>
      <c r="K10" s="539">
        <f>Model!K59</f>
        <v>375393.05</v>
      </c>
      <c r="L10" s="539">
        <f>Model!L59</f>
        <v>585021.11380000005</v>
      </c>
      <c r="M10" s="539">
        <f>Model!M59</f>
        <v>864635.1615422914</v>
      </c>
      <c r="N10" s="539">
        <f>Model!N59</f>
        <v>1245100.252272018</v>
      </c>
      <c r="O10" s="539">
        <f>Model!O59</f>
        <v>1652459.351131978</v>
      </c>
      <c r="P10" s="539">
        <f>Model!P59</f>
        <v>2089814.3402207252</v>
      </c>
      <c r="Q10" s="527"/>
      <c r="R10" s="528">
        <f>(P10/G10)^(1/YEARFRAC(G$7,P$7,))-1</f>
        <v>0.44304582619903177</v>
      </c>
      <c r="S10" s="512"/>
      <c r="T10" s="529"/>
    </row>
    <row r="11" spans="2:20" ht="16">
      <c r="B11" s="512"/>
      <c r="C11" s="530"/>
      <c r="E11" s="525" t="s">
        <v>15</v>
      </c>
      <c r="F11" s="525"/>
      <c r="G11" s="525"/>
      <c r="H11" s="531">
        <f>H10/G10-1</f>
        <v>0.54416557383434827</v>
      </c>
      <c r="I11" s="531">
        <f>I10/H10-1</f>
        <v>0.51700623071295837</v>
      </c>
      <c r="J11" s="531">
        <f t="shared" ref="J11:P11" si="2">J10/I10-1</f>
        <v>0.58200905699700134</v>
      </c>
      <c r="K11" s="531">
        <f t="shared" si="2"/>
        <v>0.31525340293957926</v>
      </c>
      <c r="L11" s="531">
        <f t="shared" si="2"/>
        <v>0.55842286851075174</v>
      </c>
      <c r="M11" s="531">
        <f t="shared" si="2"/>
        <v>0.47795548083053019</v>
      </c>
      <c r="N11" s="531">
        <f t="shared" si="2"/>
        <v>0.44002963059132671</v>
      </c>
      <c r="O11" s="531">
        <f t="shared" si="2"/>
        <v>0.32716971835530884</v>
      </c>
      <c r="P11" s="531">
        <f t="shared" si="2"/>
        <v>0.26466913621151855</v>
      </c>
      <c r="Q11" s="512"/>
      <c r="R11" s="512"/>
      <c r="S11" s="512"/>
      <c r="T11" s="532"/>
    </row>
    <row r="12" spans="2:20" ht="16">
      <c r="B12" s="512"/>
      <c r="E12" s="525"/>
      <c r="F12" s="525"/>
      <c r="G12" s="525"/>
      <c r="H12" s="526"/>
      <c r="I12" s="526"/>
      <c r="J12" s="526"/>
      <c r="K12" s="526"/>
      <c r="L12" s="526"/>
      <c r="M12" s="526"/>
      <c r="N12" s="526"/>
      <c r="O12" s="526"/>
      <c r="P12" s="527"/>
      <c r="Q12" s="527"/>
      <c r="R12" s="528"/>
      <c r="S12" s="512"/>
      <c r="T12" s="523"/>
    </row>
    <row r="13" spans="2:20" ht="16">
      <c r="B13" s="512"/>
      <c r="C13" s="51" t="s">
        <v>27</v>
      </c>
      <c r="E13" s="525" t="s">
        <v>129</v>
      </c>
      <c r="F13" s="525"/>
      <c r="G13" s="539">
        <f>Model!G60</f>
        <v>0</v>
      </c>
      <c r="H13" s="539">
        <f>Model!H60</f>
        <v>21692</v>
      </c>
      <c r="I13" s="539">
        <f>Model!I60</f>
        <v>182652</v>
      </c>
      <c r="J13" s="539">
        <f>Model!J60</f>
        <v>274815</v>
      </c>
      <c r="K13" s="539">
        <f>Model!K60</f>
        <v>296122.49703962984</v>
      </c>
      <c r="L13" s="539">
        <f>Model!L60</f>
        <v>316851.07183240395</v>
      </c>
      <c r="M13" s="539">
        <f>Model!M60</f>
        <v>335862.13614234823</v>
      </c>
      <c r="N13" s="539">
        <f>Model!N60</f>
        <v>352655.24294946564</v>
      </c>
      <c r="O13" s="539">
        <f>Model!O60</f>
        <v>370288.00509693893</v>
      </c>
      <c r="P13" s="539">
        <f>Model!P60</f>
        <v>388802.40535178588</v>
      </c>
      <c r="Q13" s="512"/>
      <c r="R13" s="528">
        <f>(P13/H13)^(1/YEARFRAC(H$7,P$7,))-1</f>
        <v>0.43442771712921968</v>
      </c>
      <c r="S13" s="512"/>
      <c r="T13" s="523"/>
    </row>
    <row r="14" spans="2:20" ht="16">
      <c r="B14" s="512"/>
      <c r="E14" s="525" t="s">
        <v>15</v>
      </c>
      <c r="F14" s="525"/>
      <c r="G14" s="525"/>
      <c r="H14" s="531"/>
      <c r="I14" s="531">
        <f>I13/H13-1</f>
        <v>7.4202470957034858</v>
      </c>
      <c r="J14" s="531">
        <f t="shared" ref="J14" si="3">J13/I13-1</f>
        <v>0.50458248472505085</v>
      </c>
      <c r="K14" s="531">
        <f t="shared" ref="K14" si="4">K13/J13-1</f>
        <v>7.7533966630751072E-2</v>
      </c>
      <c r="L14" s="531">
        <f t="shared" ref="L14" si="5">L13/K13-1</f>
        <v>7.0000000000000062E-2</v>
      </c>
      <c r="M14" s="531">
        <f t="shared" ref="M14" si="6">M13/L13-1</f>
        <v>6.0000000000000053E-2</v>
      </c>
      <c r="N14" s="531">
        <f t="shared" ref="N14" si="7">N13/M13-1</f>
        <v>5.0000000000000044E-2</v>
      </c>
      <c r="O14" s="531">
        <f t="shared" ref="O14" si="8">O13/N13-1</f>
        <v>5.0000000000000044E-2</v>
      </c>
      <c r="P14" s="531">
        <f t="shared" ref="P14" si="9">P13/O13-1</f>
        <v>5.0000000000000044E-2</v>
      </c>
      <c r="Q14" s="512"/>
      <c r="R14" s="528"/>
      <c r="S14" s="512"/>
      <c r="T14" s="523"/>
    </row>
    <row r="15" spans="2:20" ht="16">
      <c r="B15" s="512"/>
      <c r="C15" s="530"/>
      <c r="E15" s="525"/>
      <c r="F15" s="525"/>
      <c r="G15" s="525"/>
      <c r="H15" s="531"/>
      <c r="I15" s="531"/>
      <c r="J15" s="531"/>
      <c r="K15" s="531"/>
      <c r="L15" s="531"/>
      <c r="M15" s="531"/>
      <c r="N15" s="531"/>
      <c r="O15" s="531"/>
      <c r="P15" s="512"/>
      <c r="Q15" s="512"/>
      <c r="R15" s="528"/>
      <c r="S15" s="512"/>
      <c r="T15" s="523"/>
    </row>
    <row r="16" spans="2:20" ht="16">
      <c r="B16" s="512"/>
      <c r="C16" s="51" t="s">
        <v>28</v>
      </c>
      <c r="E16" s="525" t="s">
        <v>129</v>
      </c>
      <c r="F16" s="525"/>
      <c r="G16" s="539">
        <f>Model!G61</f>
        <v>189149</v>
      </c>
      <c r="H16" s="539">
        <f>Model!H61</f>
        <v>236716</v>
      </c>
      <c r="I16" s="539">
        <f>Model!I61</f>
        <v>69705</v>
      </c>
      <c r="J16" s="539">
        <f>Model!J61</f>
        <v>0</v>
      </c>
      <c r="K16" s="539">
        <f>Model!K61</f>
        <v>0</v>
      </c>
      <c r="L16" s="539">
        <f>Model!L61</f>
        <v>0</v>
      </c>
      <c r="M16" s="539">
        <f>Model!M61</f>
        <v>0</v>
      </c>
      <c r="N16" s="539">
        <f>Model!N61</f>
        <v>0</v>
      </c>
      <c r="O16" s="539">
        <f>Model!O61</f>
        <v>0</v>
      </c>
      <c r="P16" s="539">
        <f>Model!P61</f>
        <v>0</v>
      </c>
      <c r="Q16" s="512"/>
      <c r="R16" s="528"/>
      <c r="S16" s="512"/>
      <c r="T16" s="523"/>
    </row>
    <row r="17" spans="2:20" ht="16">
      <c r="B17" s="512"/>
      <c r="C17" s="533"/>
      <c r="E17" s="525"/>
      <c r="F17" s="525"/>
      <c r="G17" s="525"/>
      <c r="H17" s="534"/>
      <c r="I17" s="534"/>
      <c r="J17" s="534"/>
      <c r="K17" s="534"/>
      <c r="L17" s="534"/>
      <c r="M17" s="534"/>
      <c r="N17" s="534"/>
      <c r="O17" s="534"/>
      <c r="P17" s="512"/>
      <c r="Q17" s="512"/>
      <c r="R17" s="528"/>
      <c r="S17" s="512"/>
      <c r="T17" s="523"/>
    </row>
    <row r="18" spans="2:20" ht="16">
      <c r="B18" s="512"/>
      <c r="C18" s="518" t="s">
        <v>533</v>
      </c>
      <c r="D18" s="518"/>
      <c r="E18" s="519"/>
      <c r="F18" s="519"/>
      <c r="G18" s="519"/>
      <c r="H18" s="520"/>
      <c r="I18" s="520"/>
      <c r="J18" s="520"/>
      <c r="K18" s="520"/>
      <c r="L18" s="520"/>
      <c r="M18" s="520"/>
      <c r="N18" s="520"/>
      <c r="O18" s="520"/>
      <c r="P18" s="520"/>
      <c r="Q18" s="512"/>
      <c r="R18" s="520"/>
      <c r="S18" s="512"/>
    </row>
    <row r="19" spans="2:20" ht="16">
      <c r="B19" s="512"/>
      <c r="C19" s="63"/>
      <c r="D19" s="63"/>
      <c r="E19" s="535"/>
      <c r="F19" s="535"/>
      <c r="G19" s="535"/>
      <c r="H19" s="536"/>
      <c r="I19" s="536"/>
      <c r="J19" s="536"/>
      <c r="K19" s="536"/>
      <c r="L19" s="536"/>
      <c r="M19" s="536"/>
      <c r="N19" s="536"/>
      <c r="O19" s="536"/>
      <c r="P19" s="512"/>
      <c r="Q19" s="512"/>
      <c r="R19" s="536"/>
      <c r="S19" s="512"/>
    </row>
    <row r="20" spans="2:20" ht="16">
      <c r="B20" s="512"/>
      <c r="C20" s="537" t="s">
        <v>394</v>
      </c>
      <c r="D20" s="538"/>
      <c r="E20" s="525" t="s">
        <v>129</v>
      </c>
      <c r="F20" s="525"/>
      <c r="G20" s="539">
        <f>Model!G62</f>
        <v>266166</v>
      </c>
      <c r="H20" s="539">
        <f>Model!H62</f>
        <v>377335</v>
      </c>
      <c r="I20" s="539">
        <f>Model!I62</f>
        <v>432770</v>
      </c>
      <c r="J20" s="539">
        <f>Model!J62</f>
        <v>560230</v>
      </c>
      <c r="K20" s="539">
        <f>Model!K62</f>
        <v>673000</v>
      </c>
      <c r="L20" s="539">
        <f>Model!L62</f>
        <v>745000</v>
      </c>
      <c r="M20" s="539">
        <f>Model!M62</f>
        <v>1200497.2976846397</v>
      </c>
      <c r="N20" s="539">
        <f>Model!N62</f>
        <v>1597755.4952214835</v>
      </c>
      <c r="O20" s="539">
        <f>Model!O62</f>
        <v>2022747.3562289169</v>
      </c>
      <c r="P20" s="539">
        <f>Model!P62</f>
        <v>2478616.7455725111</v>
      </c>
      <c r="Q20" s="512"/>
      <c r="R20" s="528">
        <f>(P20/G20)^(1/YEARFRAC(G$7,P$7,))-1</f>
        <v>0.28136535616436098</v>
      </c>
      <c r="S20" s="512"/>
    </row>
    <row r="21" spans="2:20" ht="16">
      <c r="B21" s="512"/>
      <c r="C21" s="530" t="s">
        <v>534</v>
      </c>
      <c r="D21" s="540"/>
      <c r="E21" s="525" t="s">
        <v>15</v>
      </c>
      <c r="F21" s="525"/>
      <c r="G21" s="525"/>
      <c r="H21" s="531">
        <f t="shared" ref="H21:I21" si="10">H20/G20-1</f>
        <v>0.41766792152265886</v>
      </c>
      <c r="I21" s="531">
        <f t="shared" si="10"/>
        <v>0.14691189526548021</v>
      </c>
      <c r="J21" s="531">
        <f t="shared" ref="J21" si="11">J20/I20-1</f>
        <v>0.29452133927952495</v>
      </c>
      <c r="K21" s="531">
        <f t="shared" ref="K21" si="12">K20/J20-1</f>
        <v>0.20129232636595673</v>
      </c>
      <c r="L21" s="531">
        <f t="shared" ref="L21" si="13">L20/K20-1</f>
        <v>0.10698365527488862</v>
      </c>
      <c r="M21" s="531">
        <f t="shared" ref="M21" si="14">M20/L20-1</f>
        <v>0.61140576870421426</v>
      </c>
      <c r="N21" s="531">
        <f t="shared" ref="N21" si="15">N20/M20-1</f>
        <v>0.33091136340166938</v>
      </c>
      <c r="O21" s="531">
        <f t="shared" ref="O21" si="16">O20/N20-1</f>
        <v>0.26599305230273695</v>
      </c>
      <c r="P21" s="531">
        <f t="shared" ref="P21" si="17">P20/O20-1</f>
        <v>0.22537139299170228</v>
      </c>
      <c r="Q21" s="512"/>
      <c r="R21" s="512"/>
      <c r="S21" s="512"/>
    </row>
    <row r="22" spans="2:20" ht="16">
      <c r="B22" s="512"/>
      <c r="C22" s="541"/>
      <c r="D22" s="542"/>
      <c r="E22" s="542"/>
      <c r="F22" s="542"/>
      <c r="G22" s="542"/>
      <c r="H22" s="539"/>
      <c r="I22" s="539"/>
      <c r="J22" s="539"/>
      <c r="K22" s="539"/>
      <c r="L22" s="539"/>
      <c r="M22" s="539"/>
      <c r="N22" s="539"/>
      <c r="O22" s="539"/>
      <c r="P22" s="512"/>
      <c r="Q22" s="512"/>
      <c r="R22" s="512"/>
      <c r="S22" s="512"/>
    </row>
    <row r="23" spans="2:20" ht="16">
      <c r="B23" s="512"/>
      <c r="C23" s="537" t="s">
        <v>535</v>
      </c>
      <c r="D23" s="538"/>
      <c r="E23" s="525" t="s">
        <v>129</v>
      </c>
      <c r="F23" s="525"/>
      <c r="G23" s="539">
        <f>Model!G62-Model!G64</f>
        <v>250158</v>
      </c>
      <c r="H23" s="539">
        <f>Model!H62-Model!H64</f>
        <v>349015</v>
      </c>
      <c r="I23" s="539">
        <f>Model!I62-Model!I64</f>
        <v>387561</v>
      </c>
      <c r="J23" s="539">
        <f>Model!J62-Model!J64</f>
        <v>483502</v>
      </c>
      <c r="K23" s="539">
        <f>Model!K62-Model!K64</f>
        <v>564000</v>
      </c>
      <c r="L23" s="539">
        <f>Model!L62-Model!L64</f>
        <v>655824.5483671946</v>
      </c>
      <c r="M23" s="539">
        <f>Model!M62-Model!M64</f>
        <v>1056799.4604967334</v>
      </c>
      <c r="N23" s="539">
        <f>Model!N62-Model!N64</f>
        <v>1453957.50065155</v>
      </c>
      <c r="O23" s="539">
        <f>Model!O62-Model!O64</f>
        <v>1840700.0941683145</v>
      </c>
      <c r="P23" s="539">
        <f>Model!P62-Model!P64</f>
        <v>2255541.2384709851</v>
      </c>
      <c r="Q23" s="512"/>
      <c r="R23" s="528">
        <f>(P23/G23)^(1/YEARFRAC(G$7,P$7,))-1</f>
        <v>0.27677730047715743</v>
      </c>
      <c r="S23" s="512"/>
    </row>
    <row r="24" spans="2:20" ht="16">
      <c r="B24" s="512"/>
      <c r="C24" s="530" t="s">
        <v>536</v>
      </c>
      <c r="D24" s="540"/>
      <c r="E24" s="525" t="s">
        <v>15</v>
      </c>
      <c r="F24" s="525"/>
      <c r="G24" s="525"/>
      <c r="H24" s="531">
        <f>G23/H20</f>
        <v>0.66295996925808631</v>
      </c>
      <c r="I24" s="531">
        <f t="shared" ref="I24:P24" si="18">H23/I20</f>
        <v>0.80646763869954019</v>
      </c>
      <c r="J24" s="531">
        <f t="shared" si="18"/>
        <v>0.69178908662513605</v>
      </c>
      <c r="K24" s="531">
        <f t="shared" si="18"/>
        <v>0.71842793462109955</v>
      </c>
      <c r="L24" s="531">
        <f t="shared" si="18"/>
        <v>0.75704697986577185</v>
      </c>
      <c r="M24" s="531">
        <f t="shared" si="18"/>
        <v>0.54629406466142172</v>
      </c>
      <c r="N24" s="531">
        <f t="shared" si="18"/>
        <v>0.6614275235837872</v>
      </c>
      <c r="O24" s="531">
        <f t="shared" si="18"/>
        <v>0.71880331281817467</v>
      </c>
      <c r="P24" s="531">
        <f t="shared" si="18"/>
        <v>0.74263199321004725</v>
      </c>
      <c r="Q24" s="512"/>
      <c r="R24" s="512"/>
      <c r="S24" s="512"/>
    </row>
    <row r="25" spans="2:20" ht="16">
      <c r="B25" s="512"/>
      <c r="C25" s="530"/>
      <c r="D25" s="540"/>
      <c r="E25" s="525"/>
      <c r="F25" s="525"/>
      <c r="G25" s="525"/>
      <c r="H25" s="531"/>
      <c r="I25" s="531"/>
      <c r="J25" s="531"/>
      <c r="K25" s="531"/>
      <c r="L25" s="531"/>
      <c r="M25" s="531"/>
      <c r="N25" s="531"/>
      <c r="O25" s="531"/>
      <c r="P25" s="512"/>
      <c r="Q25" s="512"/>
      <c r="R25" s="512"/>
      <c r="S25" s="512"/>
    </row>
    <row r="26" spans="2:20" ht="16">
      <c r="B26" s="512"/>
      <c r="C26" s="543" t="str">
        <f>[1]Model!C84</f>
        <v>Total operating expenses</v>
      </c>
      <c r="D26" s="540"/>
      <c r="E26" s="525" t="s">
        <v>129</v>
      </c>
      <c r="F26" s="525"/>
      <c r="G26" s="539">
        <f>-Model!G67</f>
        <v>733143</v>
      </c>
      <c r="H26" s="539">
        <f>-Model!H67</f>
        <v>1012248</v>
      </c>
      <c r="I26" s="539">
        <f>-Model!I67</f>
        <v>1003457</v>
      </c>
      <c r="J26" s="539">
        <f>-Model!J67</f>
        <v>1096203</v>
      </c>
      <c r="K26" s="539">
        <f>-Model!K67</f>
        <v>1208000</v>
      </c>
      <c r="L26" s="539">
        <f>-Model!L67</f>
        <v>1133225.4516328054</v>
      </c>
      <c r="M26" s="539">
        <f>-Model!M67</f>
        <v>900447.83718790638</v>
      </c>
      <c r="N26" s="539">
        <f>-Model!N67</f>
        <v>707682.99456993351</v>
      </c>
      <c r="O26" s="539">
        <f>-Model!O67</f>
        <v>902047.26206060254</v>
      </c>
      <c r="P26" s="539">
        <f>-Model!P67</f>
        <v>831075.50710152602</v>
      </c>
      <c r="Q26" s="512"/>
      <c r="R26" s="528">
        <f>(P26/G26)^(1/YEARFRAC(G$7,P$7,))-1</f>
        <v>1.4028587948243576E-2</v>
      </c>
      <c r="S26" s="512"/>
    </row>
    <row r="27" spans="2:20" ht="16">
      <c r="B27" s="512"/>
      <c r="C27" s="530"/>
      <c r="D27" s="540"/>
      <c r="E27" s="525"/>
      <c r="F27" s="525"/>
      <c r="G27" s="525"/>
      <c r="H27" s="531"/>
      <c r="I27" s="531"/>
      <c r="J27" s="531"/>
      <c r="K27" s="531"/>
      <c r="L27" s="531"/>
      <c r="M27" s="531"/>
      <c r="N27" s="531"/>
      <c r="O27" s="531"/>
      <c r="P27" s="512"/>
      <c r="Q27" s="512"/>
      <c r="R27" s="512"/>
      <c r="S27" s="512"/>
    </row>
    <row r="28" spans="2:20" ht="16">
      <c r="B28" s="512"/>
      <c r="C28" s="544" t="s">
        <v>184</v>
      </c>
      <c r="D28" s="523"/>
      <c r="E28" s="525"/>
      <c r="F28" s="525"/>
      <c r="G28" s="539">
        <f>Model!G69</f>
        <v>-466977</v>
      </c>
      <c r="H28" s="539">
        <f>Model!H69</f>
        <v>-634913</v>
      </c>
      <c r="I28" s="539">
        <f>Model!I69</f>
        <v>-570687</v>
      </c>
      <c r="J28" s="539">
        <f>Model!J69</f>
        <v>-535973</v>
      </c>
      <c r="K28" s="539">
        <f>Model!K69</f>
        <v>-535000</v>
      </c>
      <c r="L28" s="539">
        <f>Model!L69</f>
        <v>-388225.4516328054</v>
      </c>
      <c r="M28" s="539">
        <f>Model!M69</f>
        <v>300049.46049673331</v>
      </c>
      <c r="N28" s="539">
        <f>Model!N69</f>
        <v>890072.50065155001</v>
      </c>
      <c r="O28" s="539">
        <f>Model!O69</f>
        <v>1120700.0941683142</v>
      </c>
      <c r="P28" s="539">
        <f>Model!P69</f>
        <v>1647541.2384709851</v>
      </c>
      <c r="Q28" s="512"/>
      <c r="R28" s="528">
        <f>(P28/G28)^(1/YEARFRAC(G$7,P$7,))-1</f>
        <v>-2.1503708465771676</v>
      </c>
      <c r="S28" s="512"/>
    </row>
    <row r="29" spans="2:20" ht="16">
      <c r="B29" s="512"/>
      <c r="C29" s="530" t="s">
        <v>537</v>
      </c>
      <c r="D29" s="542"/>
      <c r="E29" s="542"/>
      <c r="F29" s="542"/>
      <c r="G29" s="542"/>
      <c r="H29" s="531">
        <f t="shared" ref="H29:O29" si="19">H28/H20</f>
        <v>-1.6826241933560364</v>
      </c>
      <c r="I29" s="531">
        <f t="shared" si="19"/>
        <v>-1.3186842895764495</v>
      </c>
      <c r="J29" s="531">
        <f t="shared" si="19"/>
        <v>-0.95670171179694052</v>
      </c>
      <c r="K29" s="531">
        <f t="shared" si="19"/>
        <v>-0.79494799405646355</v>
      </c>
      <c r="L29" s="531">
        <f t="shared" si="19"/>
        <v>-0.52110798876886633</v>
      </c>
      <c r="M29" s="531">
        <f t="shared" si="19"/>
        <v>0.24993763923952933</v>
      </c>
      <c r="N29" s="531">
        <f t="shared" si="19"/>
        <v>0.55707678885383316</v>
      </c>
      <c r="O29" s="531">
        <f t="shared" si="19"/>
        <v>0.55404847803517943</v>
      </c>
      <c r="P29" s="512"/>
      <c r="Q29" s="512"/>
      <c r="R29" s="512"/>
      <c r="S29" s="512"/>
    </row>
    <row r="30" spans="2:20" ht="16">
      <c r="B30" s="512"/>
      <c r="C30" s="541"/>
      <c r="D30" s="542"/>
      <c r="E30" s="542"/>
      <c r="F30" s="542"/>
      <c r="G30" s="542"/>
      <c r="H30" s="539"/>
      <c r="I30" s="539"/>
      <c r="J30" s="539"/>
      <c r="K30" s="539"/>
      <c r="L30" s="539"/>
      <c r="M30" s="539"/>
      <c r="N30" s="539"/>
      <c r="O30" s="539"/>
      <c r="P30" s="512"/>
      <c r="Q30" s="512"/>
      <c r="R30" s="512"/>
      <c r="S30" s="512"/>
    </row>
    <row r="31" spans="2:20" ht="16">
      <c r="B31" s="512"/>
      <c r="C31" s="537" t="s">
        <v>538</v>
      </c>
      <c r="D31" s="538"/>
      <c r="E31" s="525" t="s">
        <v>129</v>
      </c>
      <c r="F31" s="525"/>
      <c r="G31" s="539">
        <f>Model!G78</f>
        <v>-538221</v>
      </c>
      <c r="H31" s="539">
        <f>Model!H78</f>
        <v>-687719</v>
      </c>
      <c r="I31" s="539">
        <f>Model!I78</f>
        <v>-609943</v>
      </c>
      <c r="J31" s="539">
        <f>Model!J78</f>
        <v>-567586</v>
      </c>
      <c r="K31" s="539">
        <f>Model!K78</f>
        <v>-586936.59</v>
      </c>
      <c r="L31" s="539">
        <f>Model!L78</f>
        <v>-451266.59560674342</v>
      </c>
      <c r="M31" s="539">
        <f>Model!M78</f>
        <v>221576.01143834676</v>
      </c>
      <c r="N31" s="539">
        <f>Model!N78</f>
        <v>822459.43577304087</v>
      </c>
      <c r="O31" s="539">
        <f>Model!O78</f>
        <v>1082853.1094703502</v>
      </c>
      <c r="P31" s="539">
        <f>Model!P78</f>
        <v>1651310.2965467945</v>
      </c>
      <c r="Q31" s="512"/>
      <c r="R31" s="528">
        <f>(P31/G31)^(1/YEARFRAC(G$7,P$7,))-1</f>
        <v>-2.1326518795670086</v>
      </c>
      <c r="S31" s="512"/>
    </row>
    <row r="32" spans="2:20" ht="16">
      <c r="B32" s="512"/>
      <c r="C32" s="545" t="s">
        <v>539</v>
      </c>
      <c r="D32" s="523"/>
      <c r="E32" s="525" t="s">
        <v>540</v>
      </c>
      <c r="F32" s="525"/>
      <c r="G32" s="560">
        <f>Model!G85</f>
        <v>-6.7</v>
      </c>
      <c r="H32" s="560">
        <f>Model!H85</f>
        <v>-10.119999999999999</v>
      </c>
      <c r="I32" s="560">
        <f>Model!I85</f>
        <v>-8.25</v>
      </c>
      <c r="J32" s="560">
        <f>Model!J85</f>
        <v>-6.29</v>
      </c>
      <c r="K32" s="560">
        <f>Model!K85</f>
        <v>-5.2093263703530726</v>
      </c>
      <c r="L32" s="560">
        <f>Model!L85</f>
        <v>-3.7395412509723465</v>
      </c>
      <c r="M32" s="560">
        <f>Model!M85</f>
        <v>3.2817712488863195</v>
      </c>
      <c r="N32" s="560">
        <f>Model!N85</f>
        <v>9.298903922099381</v>
      </c>
      <c r="O32" s="560">
        <f>Model!O85</f>
        <v>11.637731617227375</v>
      </c>
      <c r="P32" s="560">
        <f>Model!P85</f>
        <v>17.016768244828949</v>
      </c>
      <c r="Q32" s="512"/>
      <c r="R32" s="528"/>
      <c r="S32" s="512"/>
    </row>
    <row r="33" spans="2:19" ht="16">
      <c r="B33" s="512"/>
      <c r="C33" s="530"/>
      <c r="D33" s="542"/>
      <c r="E33" s="542"/>
      <c r="F33" s="542"/>
      <c r="G33" s="542"/>
      <c r="H33" s="539"/>
      <c r="I33" s="539"/>
      <c r="J33" s="539"/>
      <c r="K33" s="539"/>
      <c r="L33" s="539"/>
      <c r="M33" s="539"/>
      <c r="N33" s="539"/>
      <c r="O33" s="539"/>
      <c r="P33" s="512"/>
      <c r="Q33" s="512"/>
      <c r="R33" s="512"/>
      <c r="S33" s="512"/>
    </row>
    <row r="34" spans="2:19" ht="16">
      <c r="B34" s="512"/>
      <c r="C34" s="234" t="s">
        <v>541</v>
      </c>
      <c r="D34" s="523"/>
      <c r="E34" s="525" t="s">
        <v>129</v>
      </c>
      <c r="F34" s="525"/>
      <c r="G34" s="546">
        <f>Model!G172</f>
        <v>-73093</v>
      </c>
      <c r="H34" s="546">
        <f>Model!H172</f>
        <v>-116123</v>
      </c>
      <c r="I34" s="546">
        <f>Model!I172</f>
        <v>-44267</v>
      </c>
      <c r="J34" s="546">
        <f>Model!J172</f>
        <v>-7491</v>
      </c>
      <c r="K34" s="546">
        <f>Model!K172</f>
        <v>-6980</v>
      </c>
      <c r="L34" s="546">
        <f>Model!L172</f>
        <v>-6631</v>
      </c>
      <c r="M34" s="546">
        <f>Model!M172</f>
        <v>-3150</v>
      </c>
      <c r="N34" s="546">
        <f>Model!N172</f>
        <v>-2900</v>
      </c>
      <c r="O34" s="546">
        <f>Model!O172</f>
        <v>-3200</v>
      </c>
      <c r="P34" s="546">
        <f>Model!P172</f>
        <v>-3040</v>
      </c>
      <c r="Q34" s="512"/>
      <c r="R34" s="528">
        <f>(P34/G34)^(1/YEARFRAC(G$7,P$7,))-1</f>
        <v>-0.29764721199050592</v>
      </c>
      <c r="S34" s="512"/>
    </row>
    <row r="35" spans="2:19" ht="16">
      <c r="B35" s="512"/>
      <c r="C35" s="540" t="s">
        <v>542</v>
      </c>
      <c r="D35" s="523"/>
      <c r="E35" s="525" t="s">
        <v>15</v>
      </c>
      <c r="F35" s="525"/>
      <c r="G35" s="525"/>
      <c r="H35" s="546"/>
      <c r="I35" s="546"/>
      <c r="J35" s="546"/>
      <c r="K35" s="546"/>
      <c r="L35" s="546"/>
      <c r="M35" s="546"/>
      <c r="N35" s="546"/>
      <c r="O35" s="546"/>
      <c r="P35" s="512"/>
      <c r="Q35" s="512"/>
      <c r="R35" s="528"/>
      <c r="S35" s="512"/>
    </row>
    <row r="36" spans="2:19" ht="16">
      <c r="B36" s="512"/>
      <c r="C36" s="540"/>
      <c r="D36" s="523"/>
      <c r="E36" s="525"/>
      <c r="F36" s="525"/>
      <c r="G36" s="525"/>
      <c r="H36" s="546"/>
      <c r="I36" s="546"/>
      <c r="J36" s="546"/>
      <c r="K36" s="546"/>
      <c r="L36" s="546"/>
      <c r="M36" s="546"/>
      <c r="N36" s="546"/>
      <c r="O36" s="546"/>
      <c r="P36" s="512"/>
      <c r="Q36" s="512"/>
      <c r="R36" s="528"/>
      <c r="S36" s="512"/>
    </row>
    <row r="37" spans="2:19" ht="16">
      <c r="B37" s="512"/>
      <c r="C37" s="547" t="s">
        <v>543</v>
      </c>
      <c r="D37" s="523"/>
      <c r="E37" s="525" t="s">
        <v>129</v>
      </c>
      <c r="F37" s="525"/>
      <c r="G37" s="546">
        <f>Model!G168</f>
        <v>-423935</v>
      </c>
      <c r="H37" s="546">
        <f>Model!H168</f>
        <v>-366459</v>
      </c>
      <c r="I37" s="546">
        <f>Model!I168</f>
        <v>-476285</v>
      </c>
      <c r="J37" s="546">
        <f>Model!J168</f>
        <v>-414188</v>
      </c>
      <c r="K37" s="546">
        <f>Model!K168</f>
        <v>-18419.914255175729</v>
      </c>
      <c r="L37" s="546">
        <f>Model!L168</f>
        <v>-352456.34712848469</v>
      </c>
      <c r="M37" s="546">
        <f>Model!M168</f>
        <v>140716.0333953815</v>
      </c>
      <c r="N37" s="546">
        <f>Model!N168</f>
        <v>737315.00764922565</v>
      </c>
      <c r="O37" s="546">
        <f>Model!O168</f>
        <v>1056373.8800574949</v>
      </c>
      <c r="P37" s="546">
        <f>Model!P168</f>
        <v>1501170.4897735291</v>
      </c>
      <c r="Q37" s="512"/>
      <c r="R37" s="528"/>
      <c r="S37" s="512"/>
    </row>
    <row r="38" spans="2:19" ht="16">
      <c r="B38" s="512"/>
      <c r="C38" s="64" t="s">
        <v>544</v>
      </c>
      <c r="D38" s="523"/>
      <c r="E38" s="525" t="s">
        <v>129</v>
      </c>
      <c r="F38" s="525"/>
      <c r="G38" s="546">
        <f>Model!G179</f>
        <v>-195372</v>
      </c>
      <c r="H38" s="546">
        <f>Model!H179</f>
        <v>-291652</v>
      </c>
      <c r="I38" s="546">
        <f>Model!I179</f>
        <v>168000</v>
      </c>
      <c r="J38" s="546">
        <f>Model!J179</f>
        <v>-17768</v>
      </c>
      <c r="K38" s="546">
        <f>Model!K179</f>
        <v>-93799.997593274282</v>
      </c>
      <c r="L38" s="546">
        <f>Model!L179</f>
        <v>6414.5168922711164</v>
      </c>
      <c r="M38" s="546">
        <f>Model!M179</f>
        <v>68561.754695305077</v>
      </c>
      <c r="N38" s="546">
        <f>Model!N179</f>
        <v>-3289.6173934105173</v>
      </c>
      <c r="O38" s="546">
        <f>Model!O179</f>
        <v>15102.905839571933</v>
      </c>
      <c r="P38" s="546">
        <f>Model!P179</f>
        <v>22101.977349743</v>
      </c>
      <c r="Q38" s="512"/>
      <c r="R38" s="528"/>
      <c r="S38" s="512"/>
    </row>
    <row r="39" spans="2:19" ht="16">
      <c r="B39" s="512"/>
      <c r="C39" s="547" t="s">
        <v>545</v>
      </c>
      <c r="D39" s="523"/>
      <c r="E39" s="525" t="s">
        <v>129</v>
      </c>
      <c r="F39" s="525"/>
      <c r="G39" s="546">
        <f>Model!G192</f>
        <v>118552</v>
      </c>
      <c r="H39" s="546">
        <f>Model!H192</f>
        <v>501208</v>
      </c>
      <c r="I39" s="546">
        <f>Model!I192</f>
        <v>388142</v>
      </c>
      <c r="J39" s="546">
        <f>Model!J192</f>
        <v>399241</v>
      </c>
      <c r="K39" s="546">
        <f>Model!K192</f>
        <v>0</v>
      </c>
      <c r="L39" s="546">
        <f>Model!L192</f>
        <v>0</v>
      </c>
      <c r="M39" s="546">
        <f>Model!M192</f>
        <v>0</v>
      </c>
      <c r="N39" s="546">
        <f>Model!N192</f>
        <v>0</v>
      </c>
      <c r="O39" s="546">
        <f>Model!O192</f>
        <v>0</v>
      </c>
      <c r="P39" s="546">
        <f>Model!P192</f>
        <v>0</v>
      </c>
      <c r="Q39" s="512"/>
      <c r="R39" s="528"/>
      <c r="S39" s="512"/>
    </row>
    <row r="40" spans="2:19" ht="16">
      <c r="B40" s="512"/>
      <c r="C40" s="540"/>
      <c r="D40" s="523"/>
      <c r="E40" s="525"/>
      <c r="F40" s="525"/>
      <c r="G40" s="525"/>
      <c r="H40" s="546"/>
      <c r="I40" s="546"/>
      <c r="J40" s="546"/>
      <c r="K40" s="546"/>
      <c r="L40" s="546"/>
      <c r="M40" s="546"/>
      <c r="N40" s="546"/>
      <c r="O40" s="546"/>
      <c r="P40" s="512"/>
      <c r="Q40" s="512"/>
      <c r="R40" s="528"/>
      <c r="S40" s="512"/>
    </row>
    <row r="41" spans="2:19" ht="16">
      <c r="B41" s="512"/>
      <c r="C41" s="51" t="s">
        <v>546</v>
      </c>
      <c r="D41" s="523"/>
      <c r="E41" s="525" t="s">
        <v>129</v>
      </c>
      <c r="F41" s="525"/>
      <c r="G41" s="548">
        <f>Model!G106</f>
        <v>1522397</v>
      </c>
      <c r="H41" s="548">
        <f>Model!H106</f>
        <v>1545444</v>
      </c>
      <c r="I41" s="548">
        <f>Model!I106</f>
        <v>1491013</v>
      </c>
      <c r="J41" s="548">
        <f>Model!J106</f>
        <v>1503456</v>
      </c>
      <c r="K41" s="548">
        <f>Model!K106</f>
        <v>1504434.2333884437</v>
      </c>
      <c r="L41" s="548">
        <f>Model!L106</f>
        <v>1162273.3589813707</v>
      </c>
      <c r="M41" s="548">
        <f>Model!M106</f>
        <v>1422569.4186241447</v>
      </c>
      <c r="N41" s="548">
        <f>Model!N106</f>
        <v>2235992.1312562986</v>
      </c>
      <c r="O41" s="548">
        <f>Model!O106</f>
        <v>3349640.6510715466</v>
      </c>
      <c r="P41" s="548">
        <f>Model!P106</f>
        <v>4940679.8787408583</v>
      </c>
      <c r="Q41" s="512"/>
      <c r="R41" s="528"/>
      <c r="S41" s="512"/>
    </row>
    <row r="42" spans="2:19" ht="16">
      <c r="B42" s="512"/>
      <c r="C42" s="234" t="s">
        <v>547</v>
      </c>
      <c r="D42" s="523"/>
      <c r="E42" s="525" t="s">
        <v>129</v>
      </c>
      <c r="F42" s="525"/>
      <c r="G42" s="548">
        <f>Model!G92</f>
        <v>307584</v>
      </c>
      <c r="H42" s="548">
        <f>Model!H92</f>
        <v>132944</v>
      </c>
      <c r="I42" s="548">
        <f>Model!I92</f>
        <v>213584</v>
      </c>
      <c r="J42" s="548">
        <f>Model!J92</f>
        <v>173729</v>
      </c>
      <c r="K42" s="548">
        <f>Model!K92</f>
        <v>60426.088151549993</v>
      </c>
      <c r="L42" s="548">
        <f>Model!L92</f>
        <v>-286670.99208466359</v>
      </c>
      <c r="M42" s="548">
        <f>Model!M92</f>
        <v>-78443.516493977018</v>
      </c>
      <c r="N42" s="548">
        <f>Model!N92</f>
        <v>654153.48313683807</v>
      </c>
      <c r="O42" s="548">
        <f>Model!O92</f>
        <v>1724476.0307526549</v>
      </c>
      <c r="P42" s="548">
        <f>Model!P92</f>
        <v>3246576.4500243645</v>
      </c>
      <c r="Q42" s="512"/>
      <c r="R42" s="528"/>
      <c r="S42" s="512"/>
    </row>
    <row r="43" spans="2:19" ht="16">
      <c r="B43" s="512"/>
      <c r="C43" s="541"/>
      <c r="D43" s="540"/>
      <c r="E43" s="525"/>
      <c r="F43" s="525"/>
      <c r="G43" s="525"/>
      <c r="H43" s="546"/>
      <c r="I43" s="546"/>
      <c r="J43" s="546"/>
      <c r="K43" s="546"/>
      <c r="L43" s="546"/>
      <c r="M43" s="546"/>
      <c r="N43" s="546"/>
      <c r="O43" s="546"/>
      <c r="P43" s="512"/>
      <c r="Q43" s="512"/>
      <c r="R43" s="512"/>
      <c r="S43" s="512"/>
    </row>
    <row r="44" spans="2:19" ht="16">
      <c r="B44" s="512"/>
      <c r="C44" s="64" t="s">
        <v>395</v>
      </c>
      <c r="D44" s="542"/>
      <c r="E44" s="525" t="s">
        <v>129</v>
      </c>
      <c r="F44" s="525"/>
      <c r="G44" s="539">
        <f>Model!G83</f>
        <v>-453738</v>
      </c>
      <c r="H44" s="539">
        <f>Model!H83</f>
        <v>-616693</v>
      </c>
      <c r="I44" s="539">
        <f>Model!I83</f>
        <v>-544681</v>
      </c>
      <c r="J44" s="539">
        <f>Model!J83</f>
        <v>-500430</v>
      </c>
      <c r="K44" s="539">
        <f>Model!K83</f>
        <v>-508221.88069164573</v>
      </c>
      <c r="L44" s="539">
        <f>Model!L83</f>
        <v>-364829.64444486215</v>
      </c>
      <c r="M44" s="539">
        <f>Model!M83</f>
        <v>320169.60304134933</v>
      </c>
      <c r="N44" s="539">
        <f>Model!N83</f>
        <v>907201.06664001558</v>
      </c>
      <c r="O44" s="539">
        <f>Model!O83</f>
        <v>1135377.0965767028</v>
      </c>
      <c r="P44" s="539">
        <f>Model!P83</f>
        <v>1660155.9099655123</v>
      </c>
      <c r="Q44" s="512"/>
      <c r="R44" s="528">
        <f>(P44/G44)^(1/YEARFRAC(G$7,P$7,))-1</f>
        <v>-2.1550312834567187</v>
      </c>
      <c r="S44" s="512"/>
    </row>
    <row r="45" spans="2:19" ht="16">
      <c r="B45" s="512"/>
      <c r="C45" s="50" t="s">
        <v>548</v>
      </c>
      <c r="D45" s="523"/>
      <c r="E45" s="525" t="s">
        <v>15</v>
      </c>
      <c r="F45" s="525"/>
      <c r="G45" s="525"/>
      <c r="H45" s="549">
        <f t="shared" ref="H45:P45" si="20">H44/H20</f>
        <v>-1.6343381875521752</v>
      </c>
      <c r="I45" s="549">
        <f t="shared" si="20"/>
        <v>-1.2585923238671812</v>
      </c>
      <c r="J45" s="549">
        <f t="shared" si="20"/>
        <v>-0.89325812612676936</v>
      </c>
      <c r="K45" s="549">
        <f t="shared" si="20"/>
        <v>-0.75515881232042459</v>
      </c>
      <c r="L45" s="549">
        <f t="shared" si="20"/>
        <v>-0.48970422073135861</v>
      </c>
      <c r="M45" s="549">
        <f t="shared" si="20"/>
        <v>0.26669747916871622</v>
      </c>
      <c r="N45" s="549">
        <f t="shared" si="20"/>
        <v>0.56779718132921075</v>
      </c>
      <c r="O45" s="549">
        <f t="shared" si="20"/>
        <v>0.56130445212566171</v>
      </c>
      <c r="P45" s="549">
        <f t="shared" si="20"/>
        <v>0.66979129102189994</v>
      </c>
      <c r="Q45" s="512"/>
      <c r="R45" s="528"/>
      <c r="S45" s="512"/>
    </row>
    <row r="46" spans="2:19" ht="16">
      <c r="B46" s="512"/>
      <c r="C46" s="541"/>
      <c r="D46" s="523"/>
      <c r="E46" s="525"/>
      <c r="F46" s="525"/>
      <c r="G46" s="525"/>
      <c r="H46" s="534"/>
      <c r="I46" s="534"/>
      <c r="J46" s="534"/>
      <c r="K46" s="534"/>
      <c r="L46" s="534"/>
      <c r="M46" s="534"/>
      <c r="N46" s="534"/>
      <c r="O46" s="534"/>
      <c r="P46" s="512"/>
      <c r="Q46" s="512"/>
      <c r="R46" s="528"/>
      <c r="S46" s="512"/>
    </row>
    <row r="47" spans="2:19" ht="16">
      <c r="B47" s="512"/>
      <c r="C47" s="355"/>
      <c r="D47" s="355"/>
      <c r="E47" s="356"/>
      <c r="F47" s="356"/>
      <c r="G47" s="356"/>
      <c r="H47" s="550" t="s">
        <v>379</v>
      </c>
      <c r="I47" s="551"/>
      <c r="J47" s="551" t="s">
        <v>1</v>
      </c>
      <c r="K47" s="511"/>
      <c r="L47" s="511"/>
      <c r="M47" s="511"/>
      <c r="N47" s="511"/>
      <c r="O47" s="511"/>
      <c r="P47" s="512"/>
      <c r="Q47" s="512"/>
      <c r="R47" s="512"/>
      <c r="S47" s="512"/>
    </row>
    <row r="48" spans="2:19" ht="16">
      <c r="B48" s="512"/>
      <c r="C48" s="552" t="s">
        <v>549</v>
      </c>
      <c r="D48" s="552"/>
      <c r="E48" s="553" t="s">
        <v>2</v>
      </c>
      <c r="F48" s="553"/>
      <c r="G48" s="553"/>
      <c r="H48" s="554"/>
      <c r="I48" s="385">
        <f>K7</f>
        <v>46022</v>
      </c>
      <c r="J48" s="385">
        <f>L7</f>
        <v>46387</v>
      </c>
      <c r="K48" s="501"/>
      <c r="L48" s="501"/>
      <c r="M48" s="501"/>
      <c r="N48" s="501"/>
      <c r="O48" s="501"/>
      <c r="P48" s="512"/>
      <c r="Q48" s="512"/>
      <c r="R48" s="512"/>
      <c r="S48" s="512"/>
    </row>
    <row r="49" spans="2:19" ht="16">
      <c r="B49" s="512"/>
      <c r="C49" s="523" t="s">
        <v>550</v>
      </c>
      <c r="E49" s="555" t="s">
        <v>551</v>
      </c>
      <c r="F49" s="555"/>
      <c r="G49" s="555"/>
      <c r="H49" s="556" cm="1">
        <f t="array" ref="H49:J49">PubComps!N36:P36</f>
        <v>3.4784195311608808</v>
      </c>
      <c r="I49" s="556">
        <v>5.4271575596184416</v>
      </c>
      <c r="J49" s="557">
        <v>3.2685039736517125</v>
      </c>
      <c r="K49" s="556"/>
      <c r="L49" s="556"/>
      <c r="M49" s="556"/>
      <c r="N49" s="556"/>
      <c r="O49" s="556"/>
      <c r="P49" s="512"/>
      <c r="Q49" s="512"/>
      <c r="R49" s="512"/>
      <c r="S49" s="512"/>
    </row>
    <row r="50" spans="2:19" ht="16">
      <c r="B50" s="512"/>
      <c r="C50" s="523" t="str">
        <f>"EV / Revenue - "&amp;Company_Name&amp;":"</f>
        <v>EV / Revenue - Ultragenyx Pharmaceutical Inc.:</v>
      </c>
      <c r="E50" s="555" t="s">
        <v>551</v>
      </c>
      <c r="F50" s="555"/>
      <c r="G50" s="555"/>
      <c r="H50" s="556" cm="1">
        <f t="array" ref="H50:J50">PubComps!N40:P40</f>
        <v>3.9865888652874713</v>
      </c>
      <c r="I50" s="556">
        <v>3.3185834769687963</v>
      </c>
      <c r="J50" s="557">
        <v>2.9978613154362415</v>
      </c>
      <c r="K50" s="556"/>
      <c r="L50" s="556"/>
      <c r="M50" s="556"/>
      <c r="N50" s="556"/>
      <c r="O50" s="556"/>
      <c r="P50" s="512"/>
      <c r="Q50" s="512"/>
      <c r="R50" s="512"/>
      <c r="S50" s="512"/>
    </row>
    <row r="51" spans="2:19" ht="16">
      <c r="B51" s="512"/>
      <c r="C51" s="523" t="s">
        <v>552</v>
      </c>
      <c r="E51" s="525" t="s">
        <v>15</v>
      </c>
      <c r="F51" s="525"/>
      <c r="G51" s="525"/>
      <c r="H51" s="512"/>
      <c r="I51" s="512"/>
      <c r="J51" s="558">
        <f>PubComps!W17</f>
        <v>0.15154256072436378</v>
      </c>
      <c r="K51" s="512"/>
      <c r="L51" s="512"/>
      <c r="M51" s="512"/>
      <c r="N51" s="512"/>
      <c r="O51" s="512"/>
      <c r="P51" s="512"/>
      <c r="Q51" s="512"/>
      <c r="R51" s="512"/>
      <c r="S51" s="512"/>
    </row>
    <row r="52" spans="2:19" ht="16">
      <c r="B52" s="512"/>
      <c r="C52" s="523" t="str">
        <f>"Projected Revenue Growth - "&amp;Company_Name&amp;":"</f>
        <v>Projected Revenue Growth - Ultragenyx Pharmaceutical Inc.:</v>
      </c>
      <c r="E52" s="525" t="s">
        <v>15</v>
      </c>
      <c r="F52" s="525"/>
      <c r="G52" s="525"/>
      <c r="H52" s="512"/>
      <c r="I52" s="512"/>
      <c r="J52" s="558">
        <f>PubComps!W21</f>
        <v>6.4013840830449809E-2</v>
      </c>
      <c r="K52" s="512"/>
      <c r="L52" s="512"/>
      <c r="M52" s="512"/>
      <c r="N52" s="512"/>
      <c r="O52" s="512"/>
      <c r="P52" s="512"/>
      <c r="Q52" s="512"/>
      <c r="R52" s="512"/>
      <c r="S52" s="512"/>
    </row>
    <row r="53" spans="2:19" ht="16">
      <c r="B53" s="512"/>
      <c r="C53" s="512"/>
      <c r="E53" s="512"/>
      <c r="F53" s="512"/>
      <c r="G53" s="512"/>
      <c r="H53" s="512"/>
      <c r="I53" s="512"/>
      <c r="J53" s="559"/>
      <c r="K53" s="512"/>
      <c r="L53" s="512"/>
      <c r="M53" s="512"/>
      <c r="N53" s="512"/>
      <c r="O53" s="512"/>
      <c r="P53" s="512"/>
      <c r="Q53" s="512"/>
      <c r="R53" s="512"/>
      <c r="S53" s="512"/>
    </row>
    <row r="54" spans="2:19" ht="16">
      <c r="B54" s="512"/>
      <c r="C54" s="523" t="s">
        <v>553</v>
      </c>
      <c r="E54" s="555" t="s">
        <v>551</v>
      </c>
      <c r="F54" s="555"/>
      <c r="G54" s="555"/>
      <c r="H54" s="556" cm="1">
        <f t="array" ref="H54:J54">PubComps!Q36:S36</f>
        <v>10.759601701110643</v>
      </c>
      <c r="I54" s="556">
        <v>15.526996855345912</v>
      </c>
      <c r="J54" s="557">
        <v>13.125439138469659</v>
      </c>
      <c r="K54" s="556"/>
      <c r="L54" s="556"/>
      <c r="M54" s="556"/>
      <c r="N54" s="556"/>
      <c r="O54" s="556"/>
      <c r="P54" s="512"/>
      <c r="Q54" s="512"/>
      <c r="R54" s="512"/>
      <c r="S54" s="512"/>
    </row>
    <row r="55" spans="2:19" ht="16">
      <c r="B55" s="512"/>
      <c r="C55" s="523" t="str">
        <f>"EV / EBITDA - "&amp;Company_Name&amp;":"</f>
        <v>EV / EBITDA - Ultragenyx Pharmaceutical Inc.:</v>
      </c>
      <c r="E55" s="555" t="s">
        <v>551</v>
      </c>
      <c r="F55" s="555"/>
      <c r="G55" s="555"/>
      <c r="H55" s="556" t="str" cm="1">
        <f t="array" ref="H55:J55">PubComps!Q40:S40</f>
        <v>NM</v>
      </c>
      <c r="I55" s="556" t="str">
        <v>NM</v>
      </c>
      <c r="J55" s="557" t="str">
        <v>NM</v>
      </c>
      <c r="K55" s="556"/>
      <c r="L55" s="556"/>
      <c r="M55" s="556"/>
      <c r="N55" s="556"/>
      <c r="O55" s="556"/>
      <c r="P55" s="512"/>
      <c r="Q55" s="512"/>
      <c r="R55" s="512"/>
      <c r="S55" s="512"/>
    </row>
    <row r="56" spans="2:19" ht="16">
      <c r="B56" s="512"/>
      <c r="C56" s="523" t="s">
        <v>554</v>
      </c>
      <c r="E56" s="525" t="s">
        <v>15</v>
      </c>
      <c r="F56" s="525"/>
      <c r="G56" s="525"/>
      <c r="H56" s="512"/>
      <c r="I56" s="512"/>
      <c r="J56" s="558">
        <f>PubComps!X17</f>
        <v>0.8354569958343544</v>
      </c>
      <c r="K56" s="512"/>
      <c r="L56" s="512"/>
      <c r="M56" s="512"/>
      <c r="N56" s="512"/>
      <c r="O56" s="512"/>
      <c r="P56" s="512"/>
      <c r="Q56" s="512"/>
      <c r="R56" s="512"/>
      <c r="S56" s="512"/>
    </row>
    <row r="57" spans="2:19" ht="16">
      <c r="B57" s="512"/>
      <c r="C57" s="523" t="str">
        <f>"Projected EBITDA Growth - "&amp;Company_Name&amp;":"</f>
        <v>Projected EBITDA Growth - Ultragenyx Pharmaceutical Inc.:</v>
      </c>
      <c r="E57" s="525" t="s">
        <v>15</v>
      </c>
      <c r="F57" s="525"/>
      <c r="G57" s="525"/>
      <c r="H57" s="512"/>
      <c r="I57" s="512"/>
      <c r="J57" s="558">
        <f>PubComps!X21</f>
        <v>0.2139737991266375</v>
      </c>
      <c r="K57" s="512"/>
      <c r="L57" s="512"/>
      <c r="M57" s="512"/>
      <c r="N57" s="512"/>
      <c r="O57" s="512"/>
      <c r="P57" s="512"/>
      <c r="Q57" s="512"/>
      <c r="R57" s="512"/>
      <c r="S57" s="512"/>
    </row>
    <row r="58" spans="2:19" ht="16">
      <c r="B58" s="512"/>
      <c r="C58" s="512"/>
      <c r="E58" s="512"/>
      <c r="F58" s="512"/>
      <c r="G58" s="512"/>
      <c r="H58" s="512"/>
      <c r="I58" s="512"/>
      <c r="J58" s="559"/>
      <c r="K58" s="512"/>
      <c r="L58" s="512"/>
      <c r="M58" s="512"/>
      <c r="N58" s="512"/>
      <c r="O58" s="512"/>
      <c r="P58" s="512"/>
      <c r="Q58" s="512"/>
      <c r="R58" s="512"/>
      <c r="S58" s="512"/>
    </row>
    <row r="59" spans="2:19" ht="16">
      <c r="B59" s="512"/>
      <c r="C59" s="523" t="s">
        <v>555</v>
      </c>
      <c r="E59" s="555" t="s">
        <v>551</v>
      </c>
      <c r="F59" s="555"/>
      <c r="G59" s="555"/>
      <c r="H59" s="557" cm="1">
        <f t="array" ref="H59:J59">PubComps!T36:V36</f>
        <v>13.070050228310501</v>
      </c>
      <c r="I59" s="557">
        <v>18.145034049196674</v>
      </c>
      <c r="J59" s="557">
        <v>14.770237922374429</v>
      </c>
      <c r="K59" s="556"/>
      <c r="L59" s="556"/>
      <c r="M59" s="556"/>
      <c r="N59" s="556"/>
      <c r="O59" s="556"/>
      <c r="P59" s="512"/>
      <c r="Q59" s="512"/>
      <c r="R59" s="512"/>
      <c r="S59" s="512"/>
    </row>
    <row r="60" spans="2:19" ht="16">
      <c r="B60" s="512"/>
      <c r="C60" s="523" t="str">
        <f>"P / E - "&amp;Company_Name&amp;":"</f>
        <v>P / E - Ultragenyx Pharmaceutical Inc.:</v>
      </c>
      <c r="E60" s="555" t="s">
        <v>551</v>
      </c>
      <c r="F60" s="555"/>
      <c r="G60" s="555"/>
      <c r="H60" s="557" t="str" cm="1">
        <f t="array" ref="H60:J60">PubComps!T40:V40</f>
        <v>NM</v>
      </c>
      <c r="I60" s="557" t="str">
        <v>NM</v>
      </c>
      <c r="J60" s="557" t="str">
        <v>NM</v>
      </c>
      <c r="K60" s="556"/>
      <c r="L60" s="556"/>
      <c r="M60" s="556"/>
      <c r="N60" s="556"/>
      <c r="O60" s="556"/>
      <c r="P60" s="512"/>
      <c r="Q60" s="512"/>
      <c r="R60" s="512"/>
      <c r="S60" s="512"/>
    </row>
    <row r="61" spans="2:19" ht="16">
      <c r="B61" s="512"/>
      <c r="C61" s="512"/>
      <c r="D61" s="512"/>
      <c r="E61" s="512"/>
      <c r="F61" s="512"/>
      <c r="G61" s="512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4417-9DCA-439F-A04F-5A89CED07A03}">
  <dimension ref="J3:M297"/>
  <sheetViews>
    <sheetView showGridLines="0" topLeftCell="A7" zoomScale="74" zoomScaleNormal="130" workbookViewId="0">
      <selection activeCell="P44" sqref="P44"/>
    </sheetView>
  </sheetViews>
  <sheetFormatPr defaultRowHeight="14.5"/>
  <sheetData>
    <row r="3" spans="11:11">
      <c r="K3" t="str">
        <f>"Revenue by Segment"</f>
        <v>Revenue by Segment</v>
      </c>
    </row>
    <row r="17" spans="11:11">
      <c r="K17" t="str">
        <f>"Revenue vs. OpEx"</f>
        <v>Revenue vs. OpEx</v>
      </c>
    </row>
    <row r="33" spans="10:13">
      <c r="J33" t="str">
        <f>"OpEx breakout"</f>
        <v>OpEx breakout</v>
      </c>
    </row>
    <row r="42" spans="10:13">
      <c r="J42" t="str">
        <f>Company_Name&amp;" - Price Volume Graph"</f>
        <v>Ultragenyx Pharmaceutical Inc. - Price Volume Graph</v>
      </c>
    </row>
    <row r="46" spans="10:13">
      <c r="K46" s="602" t="s">
        <v>503</v>
      </c>
      <c r="L46" s="603" t="s">
        <v>578</v>
      </c>
      <c r="M46" s="603" t="s">
        <v>579</v>
      </c>
    </row>
    <row r="47" spans="10:13">
      <c r="K47" s="604">
        <v>46042</v>
      </c>
      <c r="L47" s="605">
        <v>22.63</v>
      </c>
      <c r="M47" s="606">
        <v>2275800</v>
      </c>
    </row>
    <row r="48" spans="10:13">
      <c r="K48" s="604">
        <v>46038</v>
      </c>
      <c r="L48" s="605">
        <v>22.49</v>
      </c>
      <c r="M48" s="606">
        <v>1900600</v>
      </c>
    </row>
    <row r="49" spans="11:13">
      <c r="K49" s="604">
        <v>46037</v>
      </c>
      <c r="L49" s="605">
        <v>23.5</v>
      </c>
      <c r="M49" s="606">
        <v>1760800</v>
      </c>
    </row>
    <row r="50" spans="11:13">
      <c r="K50" s="604">
        <v>46036</v>
      </c>
      <c r="L50" s="605">
        <v>24.07</v>
      </c>
      <c r="M50" s="606">
        <v>2264700</v>
      </c>
    </row>
    <row r="51" spans="11:13">
      <c r="K51" s="604">
        <v>46035</v>
      </c>
      <c r="L51" s="605">
        <v>24.11</v>
      </c>
      <c r="M51" s="606">
        <v>3545100</v>
      </c>
    </row>
    <row r="52" spans="11:13">
      <c r="K52" s="604">
        <v>46034</v>
      </c>
      <c r="L52" s="605">
        <v>24.37</v>
      </c>
      <c r="M52" s="606">
        <v>4596500</v>
      </c>
    </row>
    <row r="53" spans="11:13">
      <c r="K53" s="604">
        <v>46031</v>
      </c>
      <c r="L53" s="605">
        <v>22.51</v>
      </c>
      <c r="M53" s="606">
        <v>2764700</v>
      </c>
    </row>
    <row r="54" spans="11:13">
      <c r="K54" s="604">
        <v>46030</v>
      </c>
      <c r="L54" s="605">
        <v>23.21</v>
      </c>
      <c r="M54" s="606">
        <v>2681800</v>
      </c>
    </row>
    <row r="55" spans="11:13">
      <c r="K55" s="604">
        <v>46029</v>
      </c>
      <c r="L55" s="605">
        <v>24.2</v>
      </c>
      <c r="M55" s="606">
        <v>4460400</v>
      </c>
    </row>
    <row r="56" spans="11:13">
      <c r="K56" s="604">
        <v>46028</v>
      </c>
      <c r="L56" s="605">
        <v>22.54</v>
      </c>
      <c r="M56" s="606">
        <v>3744400</v>
      </c>
    </row>
    <row r="57" spans="11:13">
      <c r="K57" s="604">
        <v>46027</v>
      </c>
      <c r="L57" s="605">
        <v>23.11</v>
      </c>
      <c r="M57" s="606">
        <v>3956400</v>
      </c>
    </row>
    <row r="58" spans="11:13">
      <c r="K58" s="604">
        <v>46024</v>
      </c>
      <c r="L58" s="605">
        <v>23.6</v>
      </c>
      <c r="M58" s="606">
        <v>3639700</v>
      </c>
    </row>
    <row r="59" spans="11:13">
      <c r="K59" s="604">
        <v>46022</v>
      </c>
      <c r="L59" s="605">
        <v>23</v>
      </c>
      <c r="M59" s="606">
        <v>3677300</v>
      </c>
    </row>
    <row r="60" spans="11:13">
      <c r="K60" s="604">
        <v>46021</v>
      </c>
      <c r="L60" s="605">
        <v>22.78</v>
      </c>
      <c r="M60" s="606">
        <v>11045700</v>
      </c>
    </row>
    <row r="61" spans="11:13">
      <c r="K61" s="604">
        <v>46020</v>
      </c>
      <c r="L61" s="605">
        <v>19.72</v>
      </c>
      <c r="M61" s="606">
        <v>21699800</v>
      </c>
    </row>
    <row r="62" spans="11:13">
      <c r="K62" s="604">
        <v>46017</v>
      </c>
      <c r="L62" s="605">
        <v>34.19</v>
      </c>
      <c r="M62" s="606">
        <v>629200</v>
      </c>
    </row>
    <row r="63" spans="11:13">
      <c r="K63" s="604">
        <v>46015</v>
      </c>
      <c r="L63" s="605">
        <v>34.58</v>
      </c>
      <c r="M63" s="606">
        <v>721600</v>
      </c>
    </row>
    <row r="64" spans="11:13">
      <c r="K64" s="604">
        <v>46014</v>
      </c>
      <c r="L64" s="605">
        <v>34.130000000000003</v>
      </c>
      <c r="M64" s="606">
        <v>841300</v>
      </c>
    </row>
    <row r="65" spans="11:13">
      <c r="K65" s="604">
        <v>46013</v>
      </c>
      <c r="L65" s="605">
        <v>34.75</v>
      </c>
      <c r="M65" s="606">
        <v>2342800</v>
      </c>
    </row>
    <row r="66" spans="11:13">
      <c r="K66" s="604">
        <v>46010</v>
      </c>
      <c r="L66" s="605">
        <v>33.5</v>
      </c>
      <c r="M66" s="606">
        <v>2497100</v>
      </c>
    </row>
    <row r="67" spans="11:13">
      <c r="K67" s="604">
        <v>46009</v>
      </c>
      <c r="L67" s="605">
        <v>32.840000000000003</v>
      </c>
      <c r="M67" s="606">
        <v>1475300</v>
      </c>
    </row>
    <row r="68" spans="11:13">
      <c r="K68" s="604">
        <v>46008</v>
      </c>
      <c r="L68" s="605">
        <v>33.21</v>
      </c>
      <c r="M68" s="606">
        <v>1791500</v>
      </c>
    </row>
    <row r="69" spans="11:13">
      <c r="K69" s="604">
        <v>46007</v>
      </c>
      <c r="L69" s="605">
        <v>34.340000000000003</v>
      </c>
      <c r="M69" s="606">
        <v>1487600</v>
      </c>
    </row>
    <row r="70" spans="11:13">
      <c r="K70" s="604">
        <v>46006</v>
      </c>
      <c r="L70" s="605">
        <v>36.229999999999997</v>
      </c>
      <c r="M70" s="606">
        <v>1715200</v>
      </c>
    </row>
    <row r="71" spans="11:13">
      <c r="K71" s="604">
        <v>46003</v>
      </c>
      <c r="L71" s="605">
        <v>36.229999999999997</v>
      </c>
      <c r="M71" s="606">
        <v>1589500</v>
      </c>
    </row>
    <row r="72" spans="11:13">
      <c r="K72" s="604">
        <v>46002</v>
      </c>
      <c r="L72" s="605">
        <v>36.200000000000003</v>
      </c>
      <c r="M72" s="606">
        <v>1320900</v>
      </c>
    </row>
    <row r="73" spans="11:13">
      <c r="K73" s="604">
        <v>46001</v>
      </c>
      <c r="L73" s="605">
        <v>36</v>
      </c>
      <c r="M73" s="606">
        <v>1684700</v>
      </c>
    </row>
    <row r="74" spans="11:13">
      <c r="K74" s="604">
        <v>46000</v>
      </c>
      <c r="L74" s="605">
        <v>36.299999999999997</v>
      </c>
      <c r="M74" s="606">
        <v>2409200</v>
      </c>
    </row>
    <row r="75" spans="11:13">
      <c r="K75" s="604">
        <v>45999</v>
      </c>
      <c r="L75" s="605">
        <v>36.450000000000003</v>
      </c>
      <c r="M75" s="606">
        <v>1659200</v>
      </c>
    </row>
    <row r="76" spans="11:13">
      <c r="K76" s="604">
        <v>45996</v>
      </c>
      <c r="L76" s="605">
        <v>36.380000000000003</v>
      </c>
      <c r="M76" s="606">
        <v>1281700</v>
      </c>
    </row>
    <row r="77" spans="11:13">
      <c r="K77" s="604">
        <v>45995</v>
      </c>
      <c r="L77" s="605">
        <v>36.54</v>
      </c>
      <c r="M77" s="606">
        <v>1242900</v>
      </c>
    </row>
    <row r="78" spans="11:13">
      <c r="K78" s="604">
        <v>45994</v>
      </c>
      <c r="L78" s="605">
        <v>36.450000000000003</v>
      </c>
      <c r="M78" s="606">
        <v>2023200</v>
      </c>
    </row>
    <row r="79" spans="11:13">
      <c r="K79" s="604">
        <v>45993</v>
      </c>
      <c r="L79" s="605">
        <v>33.47</v>
      </c>
      <c r="M79" s="606">
        <v>949800</v>
      </c>
    </row>
    <row r="80" spans="11:13">
      <c r="K80" s="604">
        <v>45992</v>
      </c>
      <c r="L80" s="605">
        <v>33.369999999999997</v>
      </c>
      <c r="M80" s="606">
        <v>1042700</v>
      </c>
    </row>
    <row r="81" spans="11:13">
      <c r="K81" s="604">
        <v>45989</v>
      </c>
      <c r="L81" s="605">
        <v>34.75</v>
      </c>
      <c r="M81" s="606">
        <v>785200</v>
      </c>
    </row>
    <row r="82" spans="11:13">
      <c r="K82" s="604">
        <v>45987</v>
      </c>
      <c r="L82" s="605">
        <v>33.76</v>
      </c>
      <c r="M82" s="606">
        <v>1304200</v>
      </c>
    </row>
    <row r="83" spans="11:13">
      <c r="K83" s="604">
        <v>45986</v>
      </c>
      <c r="L83" s="605">
        <v>33.53</v>
      </c>
      <c r="M83" s="606">
        <v>1513900</v>
      </c>
    </row>
    <row r="84" spans="11:13">
      <c r="K84" s="604">
        <v>45985</v>
      </c>
      <c r="L84" s="605">
        <v>32.78</v>
      </c>
      <c r="M84" s="606">
        <v>1878400</v>
      </c>
    </row>
    <row r="85" spans="11:13">
      <c r="K85" s="604">
        <v>45982</v>
      </c>
      <c r="L85" s="605">
        <v>33.590000000000003</v>
      </c>
      <c r="M85" s="606">
        <v>1683000</v>
      </c>
    </row>
    <row r="86" spans="11:13">
      <c r="K86" s="604">
        <v>45981</v>
      </c>
      <c r="L86" s="605">
        <v>31.18</v>
      </c>
      <c r="M86" s="606">
        <v>1028300</v>
      </c>
    </row>
    <row r="87" spans="11:13">
      <c r="K87" s="604">
        <v>45980</v>
      </c>
      <c r="L87" s="605">
        <v>31.86</v>
      </c>
      <c r="M87" s="606">
        <v>1068100</v>
      </c>
    </row>
    <row r="88" spans="11:13">
      <c r="K88" s="604">
        <v>45979</v>
      </c>
      <c r="L88" s="605">
        <v>32.83</v>
      </c>
      <c r="M88" s="606">
        <v>930000</v>
      </c>
    </row>
    <row r="89" spans="11:13">
      <c r="K89" s="604">
        <v>45978</v>
      </c>
      <c r="L89" s="605">
        <v>32.54</v>
      </c>
      <c r="M89" s="606">
        <v>1117300</v>
      </c>
    </row>
    <row r="90" spans="11:13">
      <c r="K90" s="604">
        <v>45975</v>
      </c>
      <c r="L90" s="605">
        <v>33.08</v>
      </c>
      <c r="M90" s="606">
        <v>1265300</v>
      </c>
    </row>
    <row r="91" spans="11:13">
      <c r="K91" s="604">
        <v>45974</v>
      </c>
      <c r="L91" s="605">
        <v>32.9</v>
      </c>
      <c r="M91" s="606">
        <v>1257200</v>
      </c>
    </row>
    <row r="92" spans="11:13">
      <c r="K92" s="604">
        <v>45973</v>
      </c>
      <c r="L92" s="605">
        <v>33.53</v>
      </c>
      <c r="M92" s="606">
        <v>1078900</v>
      </c>
    </row>
    <row r="93" spans="11:13">
      <c r="K93" s="604">
        <v>45972</v>
      </c>
      <c r="L93" s="605">
        <v>33.25</v>
      </c>
      <c r="M93" s="606">
        <v>1172300</v>
      </c>
    </row>
    <row r="94" spans="11:13">
      <c r="K94" s="604">
        <v>45971</v>
      </c>
      <c r="L94" s="605">
        <v>31.94</v>
      </c>
      <c r="M94" s="606">
        <v>1157200</v>
      </c>
    </row>
    <row r="95" spans="11:13">
      <c r="K95" s="604">
        <v>45968</v>
      </c>
      <c r="L95" s="605">
        <v>30.63</v>
      </c>
      <c r="M95" s="606">
        <v>1355300</v>
      </c>
    </row>
    <row r="96" spans="11:13">
      <c r="K96" s="604">
        <v>45967</v>
      </c>
      <c r="L96" s="605">
        <v>30.95</v>
      </c>
      <c r="M96" s="606">
        <v>1872500</v>
      </c>
    </row>
    <row r="97" spans="11:13">
      <c r="K97" s="604">
        <v>45966</v>
      </c>
      <c r="L97" s="605">
        <v>31.87</v>
      </c>
      <c r="M97" s="606">
        <v>2780600</v>
      </c>
    </row>
    <row r="98" spans="11:13">
      <c r="K98" s="604">
        <v>45965</v>
      </c>
      <c r="L98" s="605">
        <v>32.46</v>
      </c>
      <c r="M98" s="606">
        <v>1524800</v>
      </c>
    </row>
    <row r="99" spans="11:13">
      <c r="K99" s="604">
        <v>45964</v>
      </c>
      <c r="L99" s="605">
        <v>33.47</v>
      </c>
      <c r="M99" s="606">
        <v>1407500</v>
      </c>
    </row>
    <row r="100" spans="11:13">
      <c r="K100" s="604">
        <v>45961</v>
      </c>
      <c r="L100" s="605">
        <v>34.6</v>
      </c>
      <c r="M100" s="606">
        <v>1267700</v>
      </c>
    </row>
    <row r="101" spans="11:13">
      <c r="K101" s="604">
        <v>45960</v>
      </c>
      <c r="L101" s="605">
        <v>35.17</v>
      </c>
      <c r="M101" s="606">
        <v>1107500</v>
      </c>
    </row>
    <row r="102" spans="11:13">
      <c r="K102" s="604">
        <v>45959</v>
      </c>
      <c r="L102" s="605">
        <v>34.590000000000003</v>
      </c>
      <c r="M102" s="606">
        <v>1264900</v>
      </c>
    </row>
    <row r="103" spans="11:13">
      <c r="K103" s="604">
        <v>45958</v>
      </c>
      <c r="L103" s="605">
        <v>34.770000000000003</v>
      </c>
      <c r="M103" s="606">
        <v>1188000</v>
      </c>
    </row>
    <row r="104" spans="11:13">
      <c r="K104" s="604">
        <v>45957</v>
      </c>
      <c r="L104" s="605">
        <v>35.31</v>
      </c>
      <c r="M104" s="606">
        <v>1746000</v>
      </c>
    </row>
    <row r="105" spans="11:13">
      <c r="K105" s="604">
        <v>45954</v>
      </c>
      <c r="L105" s="605">
        <v>33.53</v>
      </c>
      <c r="M105" s="606">
        <v>1083500</v>
      </c>
    </row>
    <row r="106" spans="11:13">
      <c r="K106" s="604">
        <v>45953</v>
      </c>
      <c r="L106" s="605">
        <v>33.630000000000003</v>
      </c>
      <c r="M106" s="606">
        <v>1002500</v>
      </c>
    </row>
    <row r="107" spans="11:13">
      <c r="K107" s="604">
        <v>45952</v>
      </c>
      <c r="L107" s="605">
        <v>33.14</v>
      </c>
      <c r="M107" s="606">
        <v>934500</v>
      </c>
    </row>
    <row r="108" spans="11:13">
      <c r="K108" s="604">
        <v>45951</v>
      </c>
      <c r="L108" s="605">
        <v>34.19</v>
      </c>
      <c r="M108" s="606">
        <v>1179100</v>
      </c>
    </row>
    <row r="109" spans="11:13">
      <c r="K109" s="604">
        <v>45950</v>
      </c>
      <c r="L109" s="605">
        <v>34.4</v>
      </c>
      <c r="M109" s="606">
        <v>1306600</v>
      </c>
    </row>
    <row r="110" spans="11:13">
      <c r="K110" s="604">
        <v>45947</v>
      </c>
      <c r="L110" s="605">
        <v>32.630000000000003</v>
      </c>
      <c r="M110" s="606">
        <v>1238700</v>
      </c>
    </row>
    <row r="111" spans="11:13">
      <c r="K111" s="604">
        <v>45946</v>
      </c>
      <c r="L111" s="605">
        <v>33.97</v>
      </c>
      <c r="M111" s="606">
        <v>2046100</v>
      </c>
    </row>
    <row r="112" spans="11:13">
      <c r="K112" s="604">
        <v>45945</v>
      </c>
      <c r="L112" s="605">
        <v>33.43</v>
      </c>
      <c r="M112" s="606">
        <v>1570200</v>
      </c>
    </row>
    <row r="113" spans="11:13">
      <c r="K113" s="604">
        <v>45944</v>
      </c>
      <c r="L113" s="605">
        <v>31.69</v>
      </c>
      <c r="M113" s="606">
        <v>1229100</v>
      </c>
    </row>
    <row r="114" spans="11:13">
      <c r="K114" s="604">
        <v>45943</v>
      </c>
      <c r="L114" s="605">
        <v>32.020000000000003</v>
      </c>
      <c r="M114" s="606">
        <v>1003300</v>
      </c>
    </row>
    <row r="115" spans="11:13">
      <c r="K115" s="604">
        <v>45940</v>
      </c>
      <c r="L115" s="605">
        <v>31.45</v>
      </c>
      <c r="M115" s="606">
        <v>1574200</v>
      </c>
    </row>
    <row r="116" spans="11:13">
      <c r="K116" s="604">
        <v>45939</v>
      </c>
      <c r="L116" s="605">
        <v>31.66</v>
      </c>
      <c r="M116" s="606">
        <v>1642700</v>
      </c>
    </row>
    <row r="117" spans="11:13">
      <c r="K117" s="604">
        <v>45938</v>
      </c>
      <c r="L117" s="605">
        <v>30.86</v>
      </c>
      <c r="M117" s="606">
        <v>1276100</v>
      </c>
    </row>
    <row r="118" spans="11:13">
      <c r="K118" s="604">
        <v>45937</v>
      </c>
      <c r="L118" s="605">
        <v>29.74</v>
      </c>
      <c r="M118" s="606">
        <v>1452100</v>
      </c>
    </row>
    <row r="119" spans="11:13">
      <c r="K119" s="604">
        <v>45936</v>
      </c>
      <c r="L119" s="605">
        <v>30.19</v>
      </c>
      <c r="M119" s="606">
        <v>1320200</v>
      </c>
    </row>
    <row r="120" spans="11:13">
      <c r="K120" s="604">
        <v>45933</v>
      </c>
      <c r="L120" s="605">
        <v>31.21</v>
      </c>
      <c r="M120" s="606">
        <v>1364500</v>
      </c>
    </row>
    <row r="121" spans="11:13">
      <c r="K121" s="604">
        <v>45932</v>
      </c>
      <c r="L121" s="605">
        <v>30.9</v>
      </c>
      <c r="M121" s="606">
        <v>1223800</v>
      </c>
    </row>
    <row r="122" spans="11:13">
      <c r="K122" s="604">
        <v>45931</v>
      </c>
      <c r="L122" s="605">
        <v>29.99</v>
      </c>
      <c r="M122" s="606">
        <v>1961500</v>
      </c>
    </row>
    <row r="123" spans="11:13">
      <c r="K123" s="604">
        <v>45930</v>
      </c>
      <c r="L123" s="605">
        <v>30.08</v>
      </c>
      <c r="M123" s="606">
        <v>1623200</v>
      </c>
    </row>
    <row r="124" spans="11:13">
      <c r="K124" s="604">
        <v>45929</v>
      </c>
      <c r="L124" s="605">
        <v>30.36</v>
      </c>
      <c r="M124" s="606">
        <v>2408400</v>
      </c>
    </row>
    <row r="125" spans="11:13">
      <c r="K125" s="604">
        <v>45926</v>
      </c>
      <c r="L125" s="605">
        <v>29.08</v>
      </c>
      <c r="M125" s="606">
        <v>2659300</v>
      </c>
    </row>
    <row r="126" spans="11:13">
      <c r="K126" s="604">
        <v>45925</v>
      </c>
      <c r="L126" s="605">
        <v>27.82</v>
      </c>
      <c r="M126" s="606">
        <v>1611500</v>
      </c>
    </row>
    <row r="127" spans="11:13">
      <c r="K127" s="604">
        <v>45924</v>
      </c>
      <c r="L127" s="605">
        <v>28.76</v>
      </c>
      <c r="M127" s="606">
        <v>1753400</v>
      </c>
    </row>
    <row r="128" spans="11:13">
      <c r="K128" s="604">
        <v>45923</v>
      </c>
      <c r="L128" s="605">
        <v>28.4</v>
      </c>
      <c r="M128" s="606">
        <v>1389100</v>
      </c>
    </row>
    <row r="129" spans="11:13">
      <c r="K129" s="604">
        <v>45922</v>
      </c>
      <c r="L129" s="605">
        <v>29.47</v>
      </c>
      <c r="M129" s="606">
        <v>1600300</v>
      </c>
    </row>
    <row r="130" spans="11:13">
      <c r="K130" s="604">
        <v>45919</v>
      </c>
      <c r="L130" s="605">
        <v>28.13</v>
      </c>
      <c r="M130" s="606">
        <v>3627100</v>
      </c>
    </row>
    <row r="131" spans="11:13">
      <c r="K131" s="604">
        <v>45918</v>
      </c>
      <c r="L131" s="605">
        <v>29.11</v>
      </c>
      <c r="M131" s="606">
        <v>1675600</v>
      </c>
    </row>
    <row r="132" spans="11:13">
      <c r="K132" s="604">
        <v>45917</v>
      </c>
      <c r="L132" s="605">
        <v>28.71</v>
      </c>
      <c r="M132" s="606">
        <v>1366700</v>
      </c>
    </row>
    <row r="133" spans="11:13">
      <c r="K133" s="604">
        <v>45916</v>
      </c>
      <c r="L133" s="605">
        <v>29.48</v>
      </c>
      <c r="M133" s="606">
        <v>2063700</v>
      </c>
    </row>
    <row r="134" spans="11:13">
      <c r="K134" s="604">
        <v>45915</v>
      </c>
      <c r="L134" s="605">
        <v>29</v>
      </c>
      <c r="M134" s="606">
        <v>1993700</v>
      </c>
    </row>
    <row r="135" spans="11:13">
      <c r="K135" s="604">
        <v>45912</v>
      </c>
      <c r="L135" s="605">
        <v>30.31</v>
      </c>
      <c r="M135" s="606">
        <v>1391000</v>
      </c>
    </row>
    <row r="136" spans="11:13">
      <c r="K136" s="604">
        <v>45911</v>
      </c>
      <c r="L136" s="605">
        <v>31.23</v>
      </c>
      <c r="M136" s="606">
        <v>1656300</v>
      </c>
    </row>
    <row r="137" spans="11:13">
      <c r="K137" s="604">
        <v>45910</v>
      </c>
      <c r="L137" s="605">
        <v>31.29</v>
      </c>
      <c r="M137" s="606">
        <v>1905100</v>
      </c>
    </row>
    <row r="138" spans="11:13">
      <c r="K138" s="604">
        <v>45909</v>
      </c>
      <c r="L138" s="605">
        <v>31.5</v>
      </c>
      <c r="M138" s="606">
        <v>937000</v>
      </c>
    </row>
    <row r="139" spans="11:13">
      <c r="K139" s="604">
        <v>45908</v>
      </c>
      <c r="L139" s="605">
        <v>31.51</v>
      </c>
      <c r="M139" s="606">
        <v>1345000</v>
      </c>
    </row>
    <row r="140" spans="11:13">
      <c r="K140" s="604">
        <v>45905</v>
      </c>
      <c r="L140" s="605">
        <v>31.82</v>
      </c>
      <c r="M140" s="606">
        <v>1325400</v>
      </c>
    </row>
    <row r="141" spans="11:13">
      <c r="K141" s="604">
        <v>45904</v>
      </c>
      <c r="L141" s="605">
        <v>31.28</v>
      </c>
      <c r="M141" s="606">
        <v>1400500</v>
      </c>
    </row>
    <row r="142" spans="11:13">
      <c r="K142" s="604">
        <v>45903</v>
      </c>
      <c r="L142" s="605">
        <v>31.55</v>
      </c>
      <c r="M142" s="606">
        <v>1620100</v>
      </c>
    </row>
    <row r="143" spans="11:13">
      <c r="K143" s="604">
        <v>45902</v>
      </c>
      <c r="L143" s="605">
        <v>32.03</v>
      </c>
      <c r="M143" s="606">
        <v>2011800</v>
      </c>
    </row>
    <row r="144" spans="11:13">
      <c r="K144" s="604">
        <v>45898</v>
      </c>
      <c r="L144" s="605">
        <v>29.96</v>
      </c>
      <c r="M144" s="606">
        <v>1340100</v>
      </c>
    </row>
    <row r="145" spans="11:13">
      <c r="K145" s="604">
        <v>45897</v>
      </c>
      <c r="L145" s="605">
        <v>30.3</v>
      </c>
      <c r="M145" s="606">
        <v>1034000</v>
      </c>
    </row>
    <row r="146" spans="11:13">
      <c r="K146" s="604">
        <v>45896</v>
      </c>
      <c r="L146" s="605">
        <v>30.08</v>
      </c>
      <c r="M146" s="606">
        <v>1154000</v>
      </c>
    </row>
    <row r="147" spans="11:13">
      <c r="K147" s="604">
        <v>45895</v>
      </c>
      <c r="L147" s="605">
        <v>29.56</v>
      </c>
      <c r="M147" s="606">
        <v>1253200</v>
      </c>
    </row>
    <row r="148" spans="11:13">
      <c r="K148" s="604">
        <v>45894</v>
      </c>
      <c r="L148" s="605">
        <v>29.27</v>
      </c>
      <c r="M148" s="606">
        <v>1061500</v>
      </c>
    </row>
    <row r="149" spans="11:13">
      <c r="K149" s="604">
        <v>45891</v>
      </c>
      <c r="L149" s="605">
        <v>29.78</v>
      </c>
      <c r="M149" s="606">
        <v>1267900</v>
      </c>
    </row>
    <row r="150" spans="11:13">
      <c r="K150" s="604">
        <v>45890</v>
      </c>
      <c r="L150" s="605">
        <v>29.52</v>
      </c>
      <c r="M150" s="606">
        <v>1170400</v>
      </c>
    </row>
    <row r="151" spans="11:13">
      <c r="K151" s="604">
        <v>45889</v>
      </c>
      <c r="L151" s="605">
        <v>29.36</v>
      </c>
      <c r="M151" s="606">
        <v>1153400</v>
      </c>
    </row>
    <row r="152" spans="11:13">
      <c r="K152" s="604">
        <v>45888</v>
      </c>
      <c r="L152" s="605">
        <v>29.12</v>
      </c>
      <c r="M152" s="606">
        <v>1269700</v>
      </c>
    </row>
    <row r="153" spans="11:13">
      <c r="K153" s="604">
        <v>45887</v>
      </c>
      <c r="L153" s="605">
        <v>29.7</v>
      </c>
      <c r="M153" s="606">
        <v>1699400</v>
      </c>
    </row>
    <row r="154" spans="11:13">
      <c r="K154" s="604">
        <v>45884</v>
      </c>
      <c r="L154" s="605">
        <v>29.69</v>
      </c>
      <c r="M154" s="606">
        <v>1350300</v>
      </c>
    </row>
    <row r="155" spans="11:13">
      <c r="K155" s="604">
        <v>45883</v>
      </c>
      <c r="L155" s="605">
        <v>29.01</v>
      </c>
      <c r="M155" s="606">
        <v>1264200</v>
      </c>
    </row>
    <row r="156" spans="11:13">
      <c r="K156" s="604">
        <v>45882</v>
      </c>
      <c r="L156" s="605">
        <v>28.97</v>
      </c>
      <c r="M156" s="606">
        <v>1690800</v>
      </c>
    </row>
    <row r="157" spans="11:13">
      <c r="K157" s="604">
        <v>45881</v>
      </c>
      <c r="L157" s="605">
        <v>28.11</v>
      </c>
      <c r="M157" s="606">
        <v>1128500</v>
      </c>
    </row>
    <row r="158" spans="11:13">
      <c r="K158" s="604">
        <v>45880</v>
      </c>
      <c r="L158" s="605">
        <v>27.39</v>
      </c>
      <c r="M158" s="606">
        <v>1802100</v>
      </c>
    </row>
    <row r="159" spans="11:13">
      <c r="K159" s="604">
        <v>45877</v>
      </c>
      <c r="L159" s="605">
        <v>27.54</v>
      </c>
      <c r="M159" s="606">
        <v>1527900</v>
      </c>
    </row>
    <row r="160" spans="11:13">
      <c r="K160" s="604">
        <v>45876</v>
      </c>
      <c r="L160" s="605">
        <v>27.83</v>
      </c>
      <c r="M160" s="606">
        <v>1880400</v>
      </c>
    </row>
    <row r="161" spans="11:13">
      <c r="K161" s="604">
        <v>45875</v>
      </c>
      <c r="L161" s="605">
        <v>28.05</v>
      </c>
      <c r="M161" s="606">
        <v>3039000</v>
      </c>
    </row>
    <row r="162" spans="11:13">
      <c r="K162" s="604">
        <v>45874</v>
      </c>
      <c r="L162" s="605">
        <v>28.92</v>
      </c>
      <c r="M162" s="606">
        <v>1706200</v>
      </c>
    </row>
    <row r="163" spans="11:13">
      <c r="K163" s="604">
        <v>45873</v>
      </c>
      <c r="L163" s="605">
        <v>28.46</v>
      </c>
      <c r="M163" s="606">
        <v>1651600</v>
      </c>
    </row>
    <row r="164" spans="11:13">
      <c r="K164" s="604">
        <v>45870</v>
      </c>
      <c r="L164" s="605">
        <v>28.44</v>
      </c>
      <c r="M164" s="606">
        <v>2240500</v>
      </c>
    </row>
    <row r="165" spans="11:13">
      <c r="K165" s="604">
        <v>45869</v>
      </c>
      <c r="L165" s="605">
        <v>27.32</v>
      </c>
      <c r="M165" s="606">
        <v>1805700</v>
      </c>
    </row>
    <row r="166" spans="11:13">
      <c r="K166" s="604">
        <v>45868</v>
      </c>
      <c r="L166" s="605">
        <v>27.14</v>
      </c>
      <c r="M166" s="606">
        <v>2317600</v>
      </c>
    </row>
    <row r="167" spans="11:13">
      <c r="K167" s="604">
        <v>45867</v>
      </c>
      <c r="L167" s="605">
        <v>27.66</v>
      </c>
      <c r="M167" s="606">
        <v>2459900</v>
      </c>
    </row>
    <row r="168" spans="11:13">
      <c r="K168" s="604">
        <v>45866</v>
      </c>
      <c r="L168" s="605">
        <v>27.61</v>
      </c>
      <c r="M168" s="606">
        <v>2025700</v>
      </c>
    </row>
    <row r="169" spans="11:13">
      <c r="K169" s="604">
        <v>45863</v>
      </c>
      <c r="L169" s="605">
        <v>27.34</v>
      </c>
      <c r="M169" s="606">
        <v>1253300</v>
      </c>
    </row>
    <row r="170" spans="11:13">
      <c r="K170" s="604">
        <v>45862</v>
      </c>
      <c r="L170" s="605">
        <v>27.3</v>
      </c>
      <c r="M170" s="606">
        <v>2321700</v>
      </c>
    </row>
    <row r="171" spans="11:13">
      <c r="K171" s="604">
        <v>45861</v>
      </c>
      <c r="L171" s="605">
        <v>28.01</v>
      </c>
      <c r="M171" s="606">
        <v>2892700</v>
      </c>
    </row>
    <row r="172" spans="11:13">
      <c r="K172" s="604">
        <v>45860</v>
      </c>
      <c r="L172" s="605">
        <v>26.44</v>
      </c>
      <c r="M172" s="606">
        <v>2991800</v>
      </c>
    </row>
    <row r="173" spans="11:13">
      <c r="K173" s="604">
        <v>45859</v>
      </c>
      <c r="L173" s="605">
        <v>26.39</v>
      </c>
      <c r="M173" s="606">
        <v>3958600</v>
      </c>
    </row>
    <row r="174" spans="11:13">
      <c r="K174" s="604">
        <v>45856</v>
      </c>
      <c r="L174" s="605">
        <v>26.31</v>
      </c>
      <c r="M174" s="606">
        <v>3905800</v>
      </c>
    </row>
    <row r="175" spans="11:13">
      <c r="K175" s="604">
        <v>45855</v>
      </c>
      <c r="L175" s="605">
        <v>27.41</v>
      </c>
      <c r="M175" s="606">
        <v>2148100</v>
      </c>
    </row>
    <row r="176" spans="11:13">
      <c r="K176" s="604">
        <v>45854</v>
      </c>
      <c r="L176" s="605">
        <v>27.31</v>
      </c>
      <c r="M176" s="606">
        <v>3045900</v>
      </c>
    </row>
    <row r="177" spans="11:13">
      <c r="K177" s="604">
        <v>45853</v>
      </c>
      <c r="L177" s="605">
        <v>27.2</v>
      </c>
      <c r="M177" s="606">
        <v>4769200</v>
      </c>
    </row>
    <row r="178" spans="11:13">
      <c r="K178" s="604">
        <v>45852</v>
      </c>
      <c r="L178" s="605">
        <v>29.23</v>
      </c>
      <c r="M178" s="606">
        <v>4198300</v>
      </c>
    </row>
    <row r="179" spans="11:13">
      <c r="K179" s="604">
        <v>45849</v>
      </c>
      <c r="L179" s="605">
        <v>29.51</v>
      </c>
      <c r="M179" s="606">
        <v>5681300</v>
      </c>
    </row>
    <row r="180" spans="11:13">
      <c r="K180" s="604">
        <v>45848</v>
      </c>
      <c r="L180" s="605">
        <v>31.03</v>
      </c>
      <c r="M180" s="606">
        <v>12979000</v>
      </c>
    </row>
    <row r="181" spans="11:13">
      <c r="K181" s="604">
        <v>45847</v>
      </c>
      <c r="L181" s="605">
        <v>41.44</v>
      </c>
      <c r="M181" s="606">
        <v>2742600</v>
      </c>
    </row>
    <row r="182" spans="11:13">
      <c r="K182" s="604">
        <v>45846</v>
      </c>
      <c r="L182" s="605">
        <v>39.42</v>
      </c>
      <c r="M182" s="606">
        <v>1205400</v>
      </c>
    </row>
    <row r="183" spans="11:13">
      <c r="K183" s="604">
        <v>45845</v>
      </c>
      <c r="L183" s="605">
        <v>39.61</v>
      </c>
      <c r="M183" s="606">
        <v>1101900</v>
      </c>
    </row>
    <row r="184" spans="11:13">
      <c r="K184" s="604">
        <v>45841</v>
      </c>
      <c r="L184" s="605">
        <v>39.909999999999997</v>
      </c>
      <c r="M184" s="606">
        <v>685300</v>
      </c>
    </row>
    <row r="185" spans="11:13">
      <c r="K185" s="604">
        <v>45840</v>
      </c>
      <c r="L185" s="605">
        <v>39.46</v>
      </c>
      <c r="M185" s="606">
        <v>1815200</v>
      </c>
    </row>
    <row r="186" spans="11:13">
      <c r="K186" s="604">
        <v>45839</v>
      </c>
      <c r="L186" s="605">
        <v>36.26</v>
      </c>
      <c r="M186" s="606">
        <v>689800</v>
      </c>
    </row>
    <row r="187" spans="11:13">
      <c r="K187" s="604">
        <v>45838</v>
      </c>
      <c r="L187" s="605">
        <v>36.36</v>
      </c>
      <c r="M187" s="606">
        <v>906900</v>
      </c>
    </row>
    <row r="188" spans="11:13">
      <c r="K188" s="604">
        <v>45835</v>
      </c>
      <c r="L188" s="605">
        <v>36.520000000000003</v>
      </c>
      <c r="M188" s="606">
        <v>2680700</v>
      </c>
    </row>
    <row r="189" spans="11:13">
      <c r="K189" s="604">
        <v>45834</v>
      </c>
      <c r="L189" s="605">
        <v>37.119999999999997</v>
      </c>
      <c r="M189" s="606">
        <v>587000</v>
      </c>
    </row>
    <row r="190" spans="11:13">
      <c r="K190" s="604">
        <v>45833</v>
      </c>
      <c r="L190" s="605">
        <v>37.43</v>
      </c>
      <c r="M190" s="606">
        <v>690600</v>
      </c>
    </row>
    <row r="191" spans="11:13">
      <c r="K191" s="604">
        <v>45832</v>
      </c>
      <c r="L191" s="605">
        <v>37.159999999999997</v>
      </c>
      <c r="M191" s="606">
        <v>919100</v>
      </c>
    </row>
    <row r="192" spans="11:13">
      <c r="K192" s="604">
        <v>45831</v>
      </c>
      <c r="L192" s="605">
        <v>36.83</v>
      </c>
      <c r="M192" s="606">
        <v>771600</v>
      </c>
    </row>
    <row r="193" spans="11:13">
      <c r="K193" s="604">
        <v>45828</v>
      </c>
      <c r="L193" s="605">
        <v>37.14</v>
      </c>
      <c r="M193" s="606">
        <v>1203000</v>
      </c>
    </row>
    <row r="194" spans="11:13">
      <c r="K194" s="604">
        <v>45826</v>
      </c>
      <c r="L194" s="605">
        <v>37.35</v>
      </c>
      <c r="M194" s="606">
        <v>1019000</v>
      </c>
    </row>
    <row r="195" spans="11:13">
      <c r="K195" s="604">
        <v>45825</v>
      </c>
      <c r="L195" s="605">
        <v>36.659999999999997</v>
      </c>
      <c r="M195" s="606">
        <v>704700</v>
      </c>
    </row>
    <row r="196" spans="11:13">
      <c r="K196" s="604">
        <v>45824</v>
      </c>
      <c r="L196" s="605">
        <v>37.11</v>
      </c>
      <c r="M196" s="606">
        <v>818500</v>
      </c>
    </row>
    <row r="197" spans="11:13">
      <c r="K197" s="604">
        <v>45821</v>
      </c>
      <c r="L197" s="605">
        <v>37.49</v>
      </c>
      <c r="M197" s="606">
        <v>1094000</v>
      </c>
    </row>
    <row r="198" spans="11:13">
      <c r="K198" s="604">
        <v>45820</v>
      </c>
      <c r="L198" s="605">
        <v>39.29</v>
      </c>
      <c r="M198" s="606">
        <v>1919800</v>
      </c>
    </row>
    <row r="199" spans="11:13">
      <c r="K199" s="604">
        <v>45819</v>
      </c>
      <c r="L199" s="605">
        <v>37.51</v>
      </c>
      <c r="M199" s="606">
        <v>1510900</v>
      </c>
    </row>
    <row r="200" spans="11:13">
      <c r="K200" s="604">
        <v>45818</v>
      </c>
      <c r="L200" s="605">
        <v>37.51</v>
      </c>
      <c r="M200" s="606">
        <v>1180300</v>
      </c>
    </row>
    <row r="201" spans="11:13">
      <c r="K201" s="604">
        <v>45817</v>
      </c>
      <c r="L201" s="605">
        <v>37.04</v>
      </c>
      <c r="M201" s="606">
        <v>1226100</v>
      </c>
    </row>
    <row r="202" spans="11:13">
      <c r="K202" s="604">
        <v>45814</v>
      </c>
      <c r="L202" s="605">
        <v>37.17</v>
      </c>
      <c r="M202" s="606">
        <v>930300</v>
      </c>
    </row>
    <row r="203" spans="11:13">
      <c r="K203" s="604">
        <v>45813</v>
      </c>
      <c r="L203" s="605">
        <v>36.909999999999997</v>
      </c>
      <c r="M203" s="606">
        <v>1414500</v>
      </c>
    </row>
    <row r="204" spans="11:13">
      <c r="K204" s="604">
        <v>45812</v>
      </c>
      <c r="L204" s="605">
        <v>36.61</v>
      </c>
      <c r="M204" s="606">
        <v>759200</v>
      </c>
    </row>
    <row r="205" spans="11:13">
      <c r="K205" s="604">
        <v>45811</v>
      </c>
      <c r="L205" s="605">
        <v>36.4</v>
      </c>
      <c r="M205" s="606">
        <v>869200</v>
      </c>
    </row>
    <row r="206" spans="11:13">
      <c r="K206" s="604">
        <v>45810</v>
      </c>
      <c r="L206" s="605">
        <v>36.14</v>
      </c>
      <c r="M206" s="606">
        <v>1090200</v>
      </c>
    </row>
    <row r="207" spans="11:13">
      <c r="K207" s="604">
        <v>45807</v>
      </c>
      <c r="L207" s="605">
        <v>34.03</v>
      </c>
      <c r="M207" s="606">
        <v>1631400</v>
      </c>
    </row>
    <row r="208" spans="11:13">
      <c r="K208" s="604">
        <v>45806</v>
      </c>
      <c r="L208" s="605">
        <v>35.03</v>
      </c>
      <c r="M208" s="606">
        <v>1217600</v>
      </c>
    </row>
    <row r="209" spans="11:13">
      <c r="K209" s="604">
        <v>45805</v>
      </c>
      <c r="L209" s="605">
        <v>34.35</v>
      </c>
      <c r="M209" s="606">
        <v>2002400</v>
      </c>
    </row>
    <row r="210" spans="11:13">
      <c r="K210" s="604">
        <v>45804</v>
      </c>
      <c r="L210" s="605">
        <v>35.08</v>
      </c>
      <c r="M210" s="606">
        <v>1718000</v>
      </c>
    </row>
    <row r="211" spans="11:13">
      <c r="K211" s="604">
        <v>45800</v>
      </c>
      <c r="L211" s="605">
        <v>35.659999999999997</v>
      </c>
      <c r="M211" s="606">
        <v>441500</v>
      </c>
    </row>
    <row r="212" spans="11:13">
      <c r="K212" s="604">
        <v>45799</v>
      </c>
      <c r="L212" s="605">
        <v>35.51</v>
      </c>
      <c r="M212" s="606">
        <v>514300</v>
      </c>
    </row>
    <row r="213" spans="11:13">
      <c r="K213" s="604">
        <v>45798</v>
      </c>
      <c r="L213" s="605">
        <v>35.409999999999997</v>
      </c>
      <c r="M213" s="606">
        <v>680800</v>
      </c>
    </row>
    <row r="214" spans="11:13">
      <c r="K214" s="604">
        <v>45797</v>
      </c>
      <c r="L214" s="605">
        <v>37.35</v>
      </c>
      <c r="M214" s="606">
        <v>624500</v>
      </c>
    </row>
    <row r="215" spans="11:13">
      <c r="K215" s="604">
        <v>45796</v>
      </c>
      <c r="L215" s="605">
        <v>36.19</v>
      </c>
      <c r="M215" s="606">
        <v>676000</v>
      </c>
    </row>
    <row r="216" spans="11:13">
      <c r="K216" s="604">
        <v>45793</v>
      </c>
      <c r="L216" s="605">
        <v>35.61</v>
      </c>
      <c r="M216" s="606">
        <v>616600</v>
      </c>
    </row>
    <row r="217" spans="11:13">
      <c r="K217" s="604">
        <v>45792</v>
      </c>
      <c r="L217" s="605">
        <v>34.840000000000003</v>
      </c>
      <c r="M217" s="606">
        <v>442000</v>
      </c>
    </row>
    <row r="218" spans="11:13">
      <c r="K218" s="604">
        <v>45791</v>
      </c>
      <c r="L218" s="605">
        <v>34.72</v>
      </c>
      <c r="M218" s="606">
        <v>581000</v>
      </c>
    </row>
    <row r="219" spans="11:13">
      <c r="K219" s="604">
        <v>45790</v>
      </c>
      <c r="L219" s="605">
        <v>35.4</v>
      </c>
      <c r="M219" s="606">
        <v>705700</v>
      </c>
    </row>
    <row r="220" spans="11:13">
      <c r="K220" s="604">
        <v>45789</v>
      </c>
      <c r="L220" s="605">
        <v>36.090000000000003</v>
      </c>
      <c r="M220" s="606">
        <v>1426600</v>
      </c>
    </row>
    <row r="221" spans="11:13">
      <c r="K221" s="604">
        <v>45786</v>
      </c>
      <c r="L221" s="605">
        <v>35.11</v>
      </c>
      <c r="M221" s="606">
        <v>1136700</v>
      </c>
    </row>
    <row r="222" spans="11:13">
      <c r="K222" s="604">
        <v>45785</v>
      </c>
      <c r="L222" s="605">
        <v>35.979999999999997</v>
      </c>
      <c r="M222" s="606">
        <v>1835400</v>
      </c>
    </row>
    <row r="223" spans="11:13">
      <c r="K223" s="604">
        <v>45784</v>
      </c>
      <c r="L223" s="605">
        <v>33.42</v>
      </c>
      <c r="M223" s="606">
        <v>1766600</v>
      </c>
    </row>
    <row r="224" spans="11:13">
      <c r="K224" s="604">
        <v>45783</v>
      </c>
      <c r="L224" s="605">
        <v>35.06</v>
      </c>
      <c r="M224" s="606">
        <v>1317600</v>
      </c>
    </row>
    <row r="225" spans="11:13">
      <c r="K225" s="604">
        <v>45782</v>
      </c>
      <c r="L225" s="605">
        <v>38.869999999999997</v>
      </c>
      <c r="M225" s="606">
        <v>588300</v>
      </c>
    </row>
    <row r="226" spans="11:13">
      <c r="K226" s="604">
        <v>45779</v>
      </c>
      <c r="L226" s="605">
        <v>39.299999999999997</v>
      </c>
      <c r="M226" s="606">
        <v>1044500</v>
      </c>
    </row>
    <row r="227" spans="11:13">
      <c r="K227" s="604">
        <v>45778</v>
      </c>
      <c r="L227" s="605">
        <v>38.97</v>
      </c>
      <c r="M227" s="606">
        <v>662300</v>
      </c>
    </row>
    <row r="228" spans="11:13">
      <c r="K228" s="604">
        <v>45777</v>
      </c>
      <c r="L228" s="605">
        <v>38.979999999999997</v>
      </c>
      <c r="M228" s="606">
        <v>747400</v>
      </c>
    </row>
    <row r="229" spans="11:13">
      <c r="K229" s="604">
        <v>45776</v>
      </c>
      <c r="L229" s="605">
        <v>38.07</v>
      </c>
      <c r="M229" s="606">
        <v>782000</v>
      </c>
    </row>
    <row r="230" spans="11:13">
      <c r="K230" s="604">
        <v>45775</v>
      </c>
      <c r="L230" s="605">
        <v>37.979999999999997</v>
      </c>
      <c r="M230" s="606">
        <v>551800</v>
      </c>
    </row>
    <row r="231" spans="11:13">
      <c r="K231" s="604">
        <v>45772</v>
      </c>
      <c r="L231" s="605">
        <v>38.090000000000003</v>
      </c>
      <c r="M231" s="606">
        <v>575400</v>
      </c>
    </row>
    <row r="232" spans="11:13">
      <c r="K232" s="604">
        <v>45771</v>
      </c>
      <c r="L232" s="605">
        <v>37.64</v>
      </c>
      <c r="M232" s="606">
        <v>1343500</v>
      </c>
    </row>
    <row r="233" spans="11:13">
      <c r="K233" s="604">
        <v>45770</v>
      </c>
      <c r="L233" s="605">
        <v>37.31</v>
      </c>
      <c r="M233" s="606">
        <v>966200</v>
      </c>
    </row>
    <row r="234" spans="11:13">
      <c r="K234" s="604">
        <v>45769</v>
      </c>
      <c r="L234" s="605">
        <v>35.909999999999997</v>
      </c>
      <c r="M234" s="606">
        <v>1535300</v>
      </c>
    </row>
    <row r="235" spans="11:13">
      <c r="K235" s="604">
        <v>45768</v>
      </c>
      <c r="L235" s="605">
        <v>35.4</v>
      </c>
      <c r="M235" s="606">
        <v>1013100</v>
      </c>
    </row>
    <row r="236" spans="11:13">
      <c r="K236" s="604">
        <v>45764</v>
      </c>
      <c r="L236" s="605">
        <v>35.69</v>
      </c>
      <c r="M236" s="606">
        <v>690800</v>
      </c>
    </row>
    <row r="237" spans="11:13">
      <c r="K237" s="604">
        <v>45763</v>
      </c>
      <c r="L237" s="605">
        <v>34.979999999999997</v>
      </c>
      <c r="M237" s="606">
        <v>746200</v>
      </c>
    </row>
    <row r="238" spans="11:13">
      <c r="K238" s="604">
        <v>45762</v>
      </c>
      <c r="L238" s="605">
        <v>35.340000000000003</v>
      </c>
      <c r="M238" s="606">
        <v>852300</v>
      </c>
    </row>
    <row r="239" spans="11:13">
      <c r="K239" s="604">
        <v>45761</v>
      </c>
      <c r="L239" s="605">
        <v>34.92</v>
      </c>
      <c r="M239" s="606">
        <v>1204900</v>
      </c>
    </row>
    <row r="240" spans="11:13">
      <c r="K240" s="604">
        <v>45758</v>
      </c>
      <c r="L240" s="605">
        <v>34.14</v>
      </c>
      <c r="M240" s="606">
        <v>1103600</v>
      </c>
    </row>
    <row r="241" spans="11:13">
      <c r="K241" s="604">
        <v>45757</v>
      </c>
      <c r="L241" s="605">
        <v>33.159999999999997</v>
      </c>
      <c r="M241" s="606">
        <v>1771300</v>
      </c>
    </row>
    <row r="242" spans="11:13">
      <c r="K242" s="604">
        <v>45756</v>
      </c>
      <c r="L242" s="605">
        <v>33.909999999999997</v>
      </c>
      <c r="M242" s="606">
        <v>2063200</v>
      </c>
    </row>
    <row r="243" spans="11:13">
      <c r="K243" s="604">
        <v>45755</v>
      </c>
      <c r="L243" s="605">
        <v>31.06</v>
      </c>
      <c r="M243" s="606">
        <v>1303800</v>
      </c>
    </row>
    <row r="244" spans="11:13">
      <c r="K244" s="604">
        <v>45754</v>
      </c>
      <c r="L244" s="605">
        <v>32.14</v>
      </c>
      <c r="M244" s="606">
        <v>1170700</v>
      </c>
    </row>
    <row r="245" spans="11:13">
      <c r="K245" s="604">
        <v>45751</v>
      </c>
      <c r="L245" s="605">
        <v>32.43</v>
      </c>
      <c r="M245" s="606">
        <v>879500</v>
      </c>
    </row>
    <row r="246" spans="11:13">
      <c r="K246" s="604">
        <v>45750</v>
      </c>
      <c r="L246" s="605">
        <v>35.130000000000003</v>
      </c>
      <c r="M246" s="606">
        <v>631800</v>
      </c>
    </row>
    <row r="247" spans="11:13">
      <c r="K247" s="604">
        <v>45749</v>
      </c>
      <c r="L247" s="605">
        <v>35.369999999999997</v>
      </c>
      <c r="M247" s="606">
        <v>570900</v>
      </c>
    </row>
    <row r="248" spans="11:13">
      <c r="K248" s="604">
        <v>45748</v>
      </c>
      <c r="L248" s="605">
        <v>33.840000000000003</v>
      </c>
      <c r="M248" s="606">
        <v>993200</v>
      </c>
    </row>
    <row r="249" spans="11:13">
      <c r="K249" s="604">
        <v>45747</v>
      </c>
      <c r="L249" s="605">
        <v>36.21</v>
      </c>
      <c r="M249" s="606">
        <v>958400</v>
      </c>
    </row>
    <row r="250" spans="11:13">
      <c r="K250" s="604">
        <v>45744</v>
      </c>
      <c r="L250" s="605">
        <v>37.82</v>
      </c>
      <c r="M250" s="606">
        <v>323200</v>
      </c>
    </row>
    <row r="251" spans="11:13">
      <c r="K251" s="604">
        <v>45743</v>
      </c>
      <c r="L251" s="605">
        <v>38.89</v>
      </c>
      <c r="M251" s="606">
        <v>558100</v>
      </c>
    </row>
    <row r="252" spans="11:13">
      <c r="K252" s="604">
        <v>45742</v>
      </c>
      <c r="L252" s="605">
        <v>37.979999999999997</v>
      </c>
      <c r="M252" s="606">
        <v>976700</v>
      </c>
    </row>
    <row r="253" spans="11:13">
      <c r="K253" s="604">
        <v>45741</v>
      </c>
      <c r="L253" s="605">
        <v>38.69</v>
      </c>
      <c r="M253" s="606">
        <v>1070000</v>
      </c>
    </row>
    <row r="254" spans="11:13">
      <c r="K254" s="604">
        <v>45740</v>
      </c>
      <c r="L254" s="605">
        <v>39.36</v>
      </c>
      <c r="M254" s="606">
        <v>545400</v>
      </c>
    </row>
    <row r="255" spans="11:13">
      <c r="K255" s="604">
        <v>45737</v>
      </c>
      <c r="L255" s="605">
        <v>39.18</v>
      </c>
      <c r="M255" s="606">
        <v>935000</v>
      </c>
    </row>
    <row r="256" spans="11:13">
      <c r="K256" s="604">
        <v>45736</v>
      </c>
      <c r="L256" s="605">
        <v>38.89</v>
      </c>
      <c r="M256" s="606">
        <v>551400</v>
      </c>
    </row>
    <row r="257" spans="11:13">
      <c r="K257" s="604">
        <v>45735</v>
      </c>
      <c r="L257" s="605">
        <v>39.68</v>
      </c>
      <c r="M257" s="606">
        <v>819000</v>
      </c>
    </row>
    <row r="258" spans="11:13">
      <c r="K258" s="604">
        <v>45734</v>
      </c>
      <c r="L258" s="605">
        <v>38.86</v>
      </c>
      <c r="M258" s="606">
        <v>423200</v>
      </c>
    </row>
    <row r="259" spans="11:13">
      <c r="K259" s="604">
        <v>45733</v>
      </c>
      <c r="L259" s="605">
        <v>39.64</v>
      </c>
      <c r="M259" s="606">
        <v>455300</v>
      </c>
    </row>
    <row r="260" spans="11:13">
      <c r="K260" s="604">
        <v>45730</v>
      </c>
      <c r="L260" s="605">
        <v>39.340000000000003</v>
      </c>
      <c r="M260" s="606">
        <v>401500</v>
      </c>
    </row>
    <row r="261" spans="11:13">
      <c r="K261" s="604">
        <v>45729</v>
      </c>
      <c r="L261" s="605">
        <v>39.25</v>
      </c>
      <c r="M261" s="606">
        <v>446500</v>
      </c>
    </row>
    <row r="262" spans="11:13">
      <c r="K262" s="604">
        <v>45728</v>
      </c>
      <c r="L262" s="605">
        <v>40.29</v>
      </c>
      <c r="M262" s="606">
        <v>677500</v>
      </c>
    </row>
    <row r="263" spans="11:13">
      <c r="K263" s="604">
        <v>45727</v>
      </c>
      <c r="L263" s="605">
        <v>38.33</v>
      </c>
      <c r="M263" s="606">
        <v>840500</v>
      </c>
    </row>
    <row r="264" spans="11:13">
      <c r="K264" s="604">
        <v>45726</v>
      </c>
      <c r="L264" s="605">
        <v>37.5</v>
      </c>
      <c r="M264" s="606">
        <v>914500</v>
      </c>
    </row>
    <row r="265" spans="11:13">
      <c r="K265" s="604">
        <v>45723</v>
      </c>
      <c r="L265" s="605">
        <v>38.619999999999997</v>
      </c>
      <c r="M265" s="606">
        <v>724700</v>
      </c>
    </row>
    <row r="266" spans="11:13">
      <c r="K266" s="604">
        <v>45722</v>
      </c>
      <c r="L266" s="605">
        <v>40.020000000000003</v>
      </c>
      <c r="M266" s="606">
        <v>1130400</v>
      </c>
    </row>
    <row r="267" spans="11:13">
      <c r="K267" s="604">
        <v>45721</v>
      </c>
      <c r="L267" s="605">
        <v>40.869999999999997</v>
      </c>
      <c r="M267" s="606">
        <v>835400</v>
      </c>
    </row>
    <row r="268" spans="11:13">
      <c r="K268" s="604">
        <v>45720</v>
      </c>
      <c r="L268" s="605">
        <v>41.1</v>
      </c>
      <c r="M268" s="606">
        <v>1385600</v>
      </c>
    </row>
    <row r="269" spans="11:13">
      <c r="K269" s="604">
        <v>45719</v>
      </c>
      <c r="L269" s="605">
        <v>41.26</v>
      </c>
      <c r="M269" s="606">
        <v>708400</v>
      </c>
    </row>
    <row r="270" spans="11:13">
      <c r="K270" s="604">
        <v>45716</v>
      </c>
      <c r="L270" s="605">
        <v>42.92</v>
      </c>
      <c r="M270" s="606">
        <v>910500</v>
      </c>
    </row>
    <row r="271" spans="11:13">
      <c r="K271" s="604">
        <v>45715</v>
      </c>
      <c r="L271" s="605">
        <v>41.97</v>
      </c>
      <c r="M271" s="606">
        <v>652700</v>
      </c>
    </row>
    <row r="272" spans="11:13">
      <c r="K272" s="604">
        <v>45714</v>
      </c>
      <c r="L272" s="605">
        <v>41.62</v>
      </c>
      <c r="M272" s="606">
        <v>690300</v>
      </c>
    </row>
    <row r="273" spans="11:13">
      <c r="K273" s="604">
        <v>45713</v>
      </c>
      <c r="L273" s="605">
        <v>40.799999999999997</v>
      </c>
      <c r="M273" s="606">
        <v>947400</v>
      </c>
    </row>
    <row r="274" spans="11:13">
      <c r="K274" s="604">
        <v>45712</v>
      </c>
      <c r="L274" s="605">
        <v>41.84</v>
      </c>
      <c r="M274" s="606">
        <v>628000</v>
      </c>
    </row>
    <row r="275" spans="11:13">
      <c r="K275" s="604">
        <v>45709</v>
      </c>
      <c r="L275" s="605">
        <v>42.59</v>
      </c>
      <c r="M275" s="606">
        <v>616000</v>
      </c>
    </row>
    <row r="276" spans="11:13">
      <c r="K276" s="604">
        <v>45708</v>
      </c>
      <c r="L276" s="605">
        <v>44.48</v>
      </c>
      <c r="M276" s="606">
        <v>618700</v>
      </c>
    </row>
    <row r="277" spans="11:13">
      <c r="K277" s="604">
        <v>45707</v>
      </c>
      <c r="L277" s="605">
        <v>44.29</v>
      </c>
      <c r="M277" s="606">
        <v>685000</v>
      </c>
    </row>
    <row r="278" spans="11:13">
      <c r="K278" s="604">
        <v>45706</v>
      </c>
      <c r="L278" s="605">
        <v>43.62</v>
      </c>
      <c r="M278" s="606">
        <v>818100</v>
      </c>
    </row>
    <row r="279" spans="11:13">
      <c r="K279" s="604">
        <v>45702</v>
      </c>
      <c r="L279" s="605">
        <v>42.49</v>
      </c>
      <c r="M279" s="606">
        <v>1211500</v>
      </c>
    </row>
    <row r="280" spans="11:13">
      <c r="K280" s="604">
        <v>45701</v>
      </c>
      <c r="L280" s="605">
        <v>43.52</v>
      </c>
      <c r="M280" s="606">
        <v>784300</v>
      </c>
    </row>
    <row r="281" spans="11:13">
      <c r="K281" s="604">
        <v>45700</v>
      </c>
      <c r="L281" s="605">
        <v>43.43</v>
      </c>
      <c r="M281" s="606">
        <v>635000</v>
      </c>
    </row>
    <row r="282" spans="11:13">
      <c r="K282" s="604">
        <v>45699</v>
      </c>
      <c r="L282" s="605">
        <v>43.58</v>
      </c>
      <c r="M282" s="606">
        <v>571700</v>
      </c>
    </row>
    <row r="283" spans="11:13">
      <c r="K283" s="604">
        <v>45698</v>
      </c>
      <c r="L283" s="605">
        <v>44.78</v>
      </c>
      <c r="M283" s="606">
        <v>579600</v>
      </c>
    </row>
    <row r="284" spans="11:13">
      <c r="K284" s="604">
        <v>45695</v>
      </c>
      <c r="L284" s="605">
        <v>45.35</v>
      </c>
      <c r="M284" s="606">
        <v>690700</v>
      </c>
    </row>
    <row r="285" spans="11:13">
      <c r="K285" s="604">
        <v>45694</v>
      </c>
      <c r="L285" s="605">
        <v>45.78</v>
      </c>
      <c r="M285" s="606">
        <v>761600</v>
      </c>
    </row>
    <row r="286" spans="11:13">
      <c r="K286" s="604">
        <v>45693</v>
      </c>
      <c r="L286" s="605">
        <v>45.37</v>
      </c>
      <c r="M286" s="606">
        <v>554500</v>
      </c>
    </row>
    <row r="287" spans="11:13">
      <c r="K287" s="604">
        <v>45692</v>
      </c>
      <c r="L287" s="605">
        <v>44.18</v>
      </c>
      <c r="M287" s="606">
        <v>498200</v>
      </c>
    </row>
    <row r="288" spans="11:13">
      <c r="K288" s="604">
        <v>45691</v>
      </c>
      <c r="L288" s="605">
        <v>43.42</v>
      </c>
      <c r="M288" s="606">
        <v>754500</v>
      </c>
    </row>
    <row r="289" spans="11:13">
      <c r="K289" s="604">
        <v>45688</v>
      </c>
      <c r="L289" s="605">
        <v>43.03</v>
      </c>
      <c r="M289" s="606">
        <v>465600</v>
      </c>
    </row>
    <row r="290" spans="11:13">
      <c r="K290" s="604">
        <v>45687</v>
      </c>
      <c r="L290" s="605">
        <v>43.4</v>
      </c>
      <c r="M290" s="606">
        <v>438500</v>
      </c>
    </row>
    <row r="291" spans="11:13">
      <c r="K291" s="604">
        <v>45686</v>
      </c>
      <c r="L291" s="605">
        <v>42.47</v>
      </c>
      <c r="M291" s="606">
        <v>393300</v>
      </c>
    </row>
    <row r="292" spans="11:13">
      <c r="K292" s="604">
        <v>45685</v>
      </c>
      <c r="L292" s="605">
        <v>42.49</v>
      </c>
      <c r="M292" s="606">
        <v>553400</v>
      </c>
    </row>
    <row r="293" spans="11:13">
      <c r="K293" s="604">
        <v>45684</v>
      </c>
      <c r="L293" s="605">
        <v>43.27</v>
      </c>
      <c r="M293" s="606">
        <v>736300</v>
      </c>
    </row>
    <row r="294" spans="11:13">
      <c r="K294" s="604">
        <v>45681</v>
      </c>
      <c r="L294" s="605">
        <v>44.05</v>
      </c>
      <c r="M294" s="606">
        <v>763000</v>
      </c>
    </row>
    <row r="295" spans="11:13">
      <c r="K295" s="604">
        <v>45680</v>
      </c>
      <c r="L295" s="605">
        <v>44.85</v>
      </c>
      <c r="M295" s="606">
        <v>1513600</v>
      </c>
    </row>
    <row r="296" spans="11:13">
      <c r="K296" s="604">
        <v>45679</v>
      </c>
      <c r="L296" s="605">
        <v>42.94</v>
      </c>
      <c r="M296" s="606">
        <v>807100</v>
      </c>
    </row>
    <row r="297" spans="11:13">
      <c r="K297" s="604">
        <v>45678</v>
      </c>
      <c r="L297" s="605">
        <v>41.28</v>
      </c>
      <c r="M297" s="606">
        <v>1164800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4ADB-2432-461C-ACF2-8432FC9F8A5F}">
  <dimension ref="B2:AE199"/>
  <sheetViews>
    <sheetView showGridLines="0" tabSelected="1" topLeftCell="A90" zoomScale="57" workbookViewId="0">
      <selection activeCell="K113" sqref="K113:P113"/>
    </sheetView>
  </sheetViews>
  <sheetFormatPr defaultRowHeight="16"/>
  <cols>
    <col min="1" max="1" width="8.7265625" style="10"/>
    <col min="2" max="2" width="2.1796875" style="10" customWidth="1"/>
    <col min="3" max="3" width="34.81640625" style="10" customWidth="1"/>
    <col min="4" max="4" width="8.7265625" style="10"/>
    <col min="5" max="5" width="9.453125" style="10" bestFit="1" customWidth="1"/>
    <col min="6" max="6" width="9.26953125" style="10" bestFit="1" customWidth="1"/>
    <col min="7" max="7" width="13.36328125" style="10" bestFit="1" customWidth="1"/>
    <col min="8" max="10" width="14.26953125" style="10" bestFit="1" customWidth="1"/>
    <col min="11" max="11" width="16" style="10" bestFit="1" customWidth="1"/>
    <col min="12" max="12" width="14.81640625" style="10" customWidth="1"/>
    <col min="13" max="15" width="16" style="10" bestFit="1" customWidth="1"/>
    <col min="16" max="16" width="14.26953125" style="10" bestFit="1" customWidth="1"/>
    <col min="17" max="20" width="12" style="10" bestFit="1" customWidth="1"/>
    <col min="21" max="27" width="12.6328125" style="10" bestFit="1" customWidth="1"/>
    <col min="28" max="31" width="12" style="10" bestFit="1" customWidth="1"/>
    <col min="32" max="16384" width="8.7265625" style="10"/>
  </cols>
  <sheetData>
    <row r="2" spans="2:16">
      <c r="B2" s="1"/>
      <c r="C2" s="1"/>
      <c r="D2" s="1"/>
      <c r="E2" s="1"/>
      <c r="F2" s="1"/>
      <c r="G2" s="3"/>
      <c r="H2" s="2"/>
      <c r="I2" s="3" t="s">
        <v>0</v>
      </c>
      <c r="J2" s="2"/>
      <c r="K2" s="4"/>
      <c r="L2" s="2"/>
      <c r="M2" s="2"/>
      <c r="N2" s="2"/>
      <c r="O2" s="3" t="s">
        <v>1</v>
      </c>
      <c r="P2" s="2"/>
    </row>
    <row r="3" spans="2:16">
      <c r="B3" s="5" t="str">
        <f>Company_Name</f>
        <v>Ultragenyx Pharmaceutical Inc.</v>
      </c>
      <c r="C3" s="1"/>
      <c r="D3" s="1"/>
      <c r="E3" s="6" t="s">
        <v>2</v>
      </c>
      <c r="F3" s="7"/>
      <c r="G3" s="8">
        <v>44561</v>
      </c>
      <c r="H3" s="8">
        <f t="shared" ref="H3:P3" si="0">EOMONTH(G3,12)</f>
        <v>44926</v>
      </c>
      <c r="I3" s="8">
        <f t="shared" si="0"/>
        <v>45291</v>
      </c>
      <c r="J3" s="8">
        <f t="shared" si="0"/>
        <v>45657</v>
      </c>
      <c r="K3" s="9">
        <f t="shared" si="0"/>
        <v>46022</v>
      </c>
      <c r="L3" s="8">
        <f t="shared" si="0"/>
        <v>46387</v>
      </c>
      <c r="M3" s="8">
        <f t="shared" si="0"/>
        <v>46752</v>
      </c>
      <c r="N3" s="8">
        <f t="shared" si="0"/>
        <v>47118</v>
      </c>
      <c r="O3" s="8">
        <f t="shared" si="0"/>
        <v>47483</v>
      </c>
      <c r="P3" s="8">
        <f t="shared" si="0"/>
        <v>47848</v>
      </c>
    </row>
    <row r="5" spans="2:16">
      <c r="C5" s="10" t="s">
        <v>3</v>
      </c>
      <c r="E5" s="11" t="s">
        <v>4</v>
      </c>
      <c r="F5" s="12" t="s">
        <v>25</v>
      </c>
      <c r="G5" s="13"/>
      <c r="H5" s="14" t="s">
        <v>5</v>
      </c>
      <c r="I5" s="15"/>
      <c r="J5" s="16"/>
      <c r="K5" s="16"/>
      <c r="L5" s="17">
        <v>45657</v>
      </c>
    </row>
    <row r="6" spans="2:16">
      <c r="C6" s="10" t="s">
        <v>6</v>
      </c>
      <c r="E6" s="11" t="s">
        <v>4</v>
      </c>
      <c r="F6" s="18" t="s">
        <v>24</v>
      </c>
      <c r="H6" s="14" t="s">
        <v>7</v>
      </c>
      <c r="I6" s="15"/>
      <c r="J6" s="16"/>
      <c r="K6" s="16"/>
      <c r="L6" s="17">
        <f>EOMONTH(L5,12)</f>
        <v>46022</v>
      </c>
    </row>
    <row r="7" spans="2:16">
      <c r="C7" s="10" t="s">
        <v>8</v>
      </c>
      <c r="E7" s="11" t="s">
        <v>9</v>
      </c>
      <c r="F7" s="19">
        <v>23.66</v>
      </c>
      <c r="H7" s="14" t="s">
        <v>10</v>
      </c>
      <c r="I7" s="15"/>
      <c r="J7" s="16"/>
      <c r="K7" s="16"/>
      <c r="L7" s="17">
        <v>45608</v>
      </c>
    </row>
    <row r="8" spans="2:16">
      <c r="C8" s="20" t="s">
        <v>11</v>
      </c>
      <c r="E8" s="11" t="s">
        <v>12</v>
      </c>
      <c r="F8" s="21">
        <v>97.56</v>
      </c>
      <c r="H8" s="14" t="s">
        <v>13</v>
      </c>
      <c r="I8" s="15"/>
      <c r="J8" s="16"/>
      <c r="K8" s="16"/>
      <c r="L8" s="17">
        <v>45677</v>
      </c>
    </row>
    <row r="9" spans="2:16">
      <c r="C9" s="20"/>
      <c r="E9" s="20"/>
      <c r="F9" s="20"/>
    </row>
    <row r="10" spans="2:16">
      <c r="C10" s="20" t="s">
        <v>14</v>
      </c>
      <c r="E10" s="11" t="s">
        <v>15</v>
      </c>
      <c r="F10" s="22">
        <v>0.21</v>
      </c>
    </row>
    <row r="11" spans="2:16">
      <c r="C11" s="20" t="s">
        <v>16</v>
      </c>
      <c r="E11" s="11" t="s">
        <v>15</v>
      </c>
      <c r="F11" s="23">
        <f>Discount_Rate</f>
        <v>0.1</v>
      </c>
      <c r="H11" s="14" t="s">
        <v>17</v>
      </c>
      <c r="I11" s="15"/>
      <c r="J11" s="16"/>
      <c r="K11" s="16"/>
      <c r="L11" s="17">
        <v>45565</v>
      </c>
    </row>
    <row r="12" spans="2:16">
      <c r="C12" s="20"/>
      <c r="E12" s="20"/>
      <c r="F12" s="20"/>
      <c r="H12" s="14" t="s">
        <v>18</v>
      </c>
      <c r="I12" s="15"/>
      <c r="J12" s="16"/>
      <c r="K12" s="16"/>
      <c r="L12" s="17">
        <f>EOMONTH(L5,12)</f>
        <v>46022</v>
      </c>
    </row>
    <row r="13" spans="2:16">
      <c r="C13" s="20" t="s">
        <v>19</v>
      </c>
      <c r="E13" s="11" t="s">
        <v>20</v>
      </c>
      <c r="F13" s="24">
        <v>1000</v>
      </c>
      <c r="H13" s="14" t="s">
        <v>21</v>
      </c>
      <c r="I13" s="15"/>
      <c r="J13" s="16"/>
      <c r="K13" s="16"/>
      <c r="L13" s="17">
        <f t="shared" ref="L13:L14" si="1">EOMONTH(L12,12)</f>
        <v>46387</v>
      </c>
    </row>
    <row r="14" spans="2:16">
      <c r="H14" s="14" t="s">
        <v>22</v>
      </c>
      <c r="I14" s="15"/>
      <c r="J14" s="15"/>
      <c r="K14" s="15"/>
      <c r="L14" s="17">
        <f t="shared" si="1"/>
        <v>46752</v>
      </c>
    </row>
    <row r="16" spans="2:16">
      <c r="B16" s="1"/>
      <c r="C16" s="1"/>
      <c r="D16" s="1"/>
      <c r="E16" s="1"/>
      <c r="F16" s="1"/>
      <c r="G16" s="3"/>
      <c r="H16" s="2"/>
      <c r="I16" s="3" t="s">
        <v>0</v>
      </c>
      <c r="J16" s="2"/>
      <c r="K16" s="4"/>
      <c r="L16" s="2"/>
      <c r="M16" s="2"/>
      <c r="N16" s="2"/>
      <c r="O16" s="3" t="s">
        <v>1</v>
      </c>
      <c r="P16" s="2"/>
    </row>
    <row r="17" spans="2:27">
      <c r="B17" s="5" t="str">
        <f>Company_Name&amp;" - Model Drivers and Assumptions"</f>
        <v>Ultragenyx Pharmaceutical Inc. - Model Drivers and Assumptions</v>
      </c>
      <c r="C17" s="1"/>
      <c r="D17" s="1"/>
      <c r="E17" s="6" t="s">
        <v>2</v>
      </c>
      <c r="F17" s="7"/>
      <c r="G17" s="8">
        <f>G3</f>
        <v>44561</v>
      </c>
      <c r="H17" s="8">
        <f t="shared" ref="H17:P17" si="2">EOMONTH(G17,12)</f>
        <v>44926</v>
      </c>
      <c r="I17" s="8">
        <f t="shared" si="2"/>
        <v>45291</v>
      </c>
      <c r="J17" s="8">
        <f t="shared" si="2"/>
        <v>45657</v>
      </c>
      <c r="K17" s="9">
        <f t="shared" si="2"/>
        <v>46022</v>
      </c>
      <c r="L17" s="8">
        <f t="shared" si="2"/>
        <v>46387</v>
      </c>
      <c r="M17" s="8">
        <f t="shared" si="2"/>
        <v>46752</v>
      </c>
      <c r="N17" s="8">
        <f t="shared" si="2"/>
        <v>47118</v>
      </c>
      <c r="O17" s="8">
        <f t="shared" si="2"/>
        <v>47483</v>
      </c>
      <c r="P17" s="8">
        <f t="shared" si="2"/>
        <v>47848</v>
      </c>
    </row>
    <row r="18" spans="2:27">
      <c r="C18" s="25" t="s">
        <v>23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20" spans="2:27">
      <c r="C20" s="51" t="s">
        <v>291</v>
      </c>
      <c r="E20" s="35" t="s">
        <v>15</v>
      </c>
      <c r="G20" s="59">
        <f>G64/G62</f>
        <v>6.0142918329163006E-2</v>
      </c>
      <c r="H20" s="59">
        <f t="shared" ref="H20:J20" si="3">H64/H62</f>
        <v>7.5052672028833797E-2</v>
      </c>
      <c r="I20" s="59">
        <f t="shared" si="3"/>
        <v>0.10446426508306952</v>
      </c>
      <c r="J20" s="59">
        <f t="shared" si="3"/>
        <v>0.13695803509272977</v>
      </c>
      <c r="K20" s="178">
        <f>AVERAGE(G20:J20)</f>
        <v>9.4154472633449032E-2</v>
      </c>
    </row>
    <row r="21" spans="2:27">
      <c r="C21" s="51" t="s">
        <v>292</v>
      </c>
      <c r="E21" s="35" t="s">
        <v>15</v>
      </c>
      <c r="G21" s="59">
        <f>G65/G62</f>
        <v>0.82648422413080558</v>
      </c>
      <c r="H21" s="59">
        <f>H65/H62</f>
        <v>0.73711423536115128</v>
      </c>
      <c r="I21" s="59">
        <f>I65/I62</f>
        <v>0.7158513760195947</v>
      </c>
      <c r="J21" s="59">
        <f>J65/J62</f>
        <v>0.57406779358477766</v>
      </c>
      <c r="K21" s="178">
        <f>AVERAGE(G21:J21)</f>
        <v>0.71337940727408233</v>
      </c>
    </row>
    <row r="22" spans="2:27">
      <c r="C22" s="51"/>
    </row>
    <row r="23" spans="2:27">
      <c r="C23" s="51" t="s">
        <v>304</v>
      </c>
      <c r="E23" s="35" t="s">
        <v>15</v>
      </c>
      <c r="H23" s="59">
        <f>H71/G92</f>
        <v>3.6003173116937161E-2</v>
      </c>
      <c r="I23" s="59">
        <f t="shared" ref="I23:J23" si="4">I71/H92</f>
        <v>0.20074617884221929</v>
      </c>
      <c r="J23" s="59">
        <f t="shared" si="4"/>
        <v>0.17092104277473968</v>
      </c>
      <c r="K23" s="258">
        <v>0.04</v>
      </c>
      <c r="L23" s="258">
        <v>0.04</v>
      </c>
      <c r="M23" s="258">
        <v>0.04</v>
      </c>
      <c r="N23" s="258">
        <v>0.04</v>
      </c>
      <c r="O23" s="258">
        <v>0.04</v>
      </c>
      <c r="P23" s="258">
        <v>0.04</v>
      </c>
    </row>
    <row r="24" spans="2:27">
      <c r="C24" s="51"/>
    </row>
    <row r="25" spans="2:27">
      <c r="C25" s="10" t="s">
        <v>305</v>
      </c>
      <c r="D25" s="64"/>
      <c r="E25" s="35" t="s">
        <v>129</v>
      </c>
      <c r="F25" s="64"/>
      <c r="G25" s="38">
        <v>0</v>
      </c>
      <c r="H25" s="38">
        <f>G29</f>
        <v>1862400</v>
      </c>
      <c r="I25" s="38">
        <f t="shared" ref="I25:J25" si="5">H29</f>
        <v>1466600</v>
      </c>
      <c r="J25" s="38">
        <f t="shared" si="5"/>
        <v>1664700</v>
      </c>
      <c r="K25" s="186">
        <f>J29</f>
        <v>1934900</v>
      </c>
      <c r="L25" s="186">
        <f t="shared" ref="L25:P25" si="6">K29</f>
        <v>2521836.59</v>
      </c>
      <c r="M25" s="186">
        <f t="shared" si="6"/>
        <v>2973103.1856067432</v>
      </c>
      <c r="N25" s="186">
        <f t="shared" si="6"/>
        <v>2795842.376456066</v>
      </c>
      <c r="O25" s="186">
        <f t="shared" si="6"/>
        <v>2137874.8278376334</v>
      </c>
      <c r="P25" s="186">
        <f t="shared" si="6"/>
        <v>1271592.3402613532</v>
      </c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2:27">
      <c r="C26" s="51" t="s">
        <v>306</v>
      </c>
      <c r="E26" s="35" t="s">
        <v>129</v>
      </c>
      <c r="G26" s="38">
        <v>0</v>
      </c>
      <c r="H26" s="38">
        <v>0</v>
      </c>
      <c r="I26" s="38">
        <v>198100</v>
      </c>
      <c r="J26" s="38">
        <v>270200</v>
      </c>
      <c r="K26" s="186">
        <f>IF(K78&lt;0,-K78,0)</f>
        <v>586936.59</v>
      </c>
      <c r="L26" s="186">
        <f t="shared" ref="L26:P26" si="7">IF(L78&lt;0,-L78,0)</f>
        <v>451266.59560674342</v>
      </c>
      <c r="M26" s="186">
        <f t="shared" si="7"/>
        <v>0</v>
      </c>
      <c r="N26" s="186">
        <f t="shared" si="7"/>
        <v>0</v>
      </c>
      <c r="O26" s="186">
        <f t="shared" si="7"/>
        <v>0</v>
      </c>
      <c r="P26" s="186">
        <f t="shared" si="7"/>
        <v>0</v>
      </c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2:27">
      <c r="C27" s="51" t="s">
        <v>307</v>
      </c>
      <c r="E27" s="35" t="s">
        <v>129</v>
      </c>
      <c r="G27" s="38">
        <v>0</v>
      </c>
      <c r="H27" s="38">
        <v>-395800</v>
      </c>
      <c r="I27" s="38">
        <v>0</v>
      </c>
      <c r="J27" s="38">
        <v>0</v>
      </c>
      <c r="K27" s="186">
        <f>-MIN(+K25+K26,MAX(K78*K33,0))</f>
        <v>0</v>
      </c>
      <c r="L27" s="186">
        <f t="shared" ref="L27:P27" si="8">-MIN(+L25+L26,MAX(L78*L33,0))</f>
        <v>0</v>
      </c>
      <c r="M27" s="186">
        <f t="shared" si="8"/>
        <v>-177260.80915067741</v>
      </c>
      <c r="N27" s="186">
        <f t="shared" si="8"/>
        <v>-657967.54861843272</v>
      </c>
      <c r="O27" s="186">
        <f t="shared" si="8"/>
        <v>-866282.48757628025</v>
      </c>
      <c r="P27" s="186">
        <f t="shared" si="8"/>
        <v>-1271592.3402613532</v>
      </c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2:27">
      <c r="C28" s="51" t="s">
        <v>308</v>
      </c>
      <c r="E28" s="35" t="s">
        <v>129</v>
      </c>
      <c r="G28" s="38">
        <v>0</v>
      </c>
      <c r="H28" s="38">
        <v>0</v>
      </c>
      <c r="I28" s="38">
        <v>0</v>
      </c>
      <c r="J28" s="38">
        <v>0</v>
      </c>
      <c r="K28" s="186">
        <v>0</v>
      </c>
      <c r="L28" s="186">
        <v>0</v>
      </c>
      <c r="M28" s="186">
        <v>0</v>
      </c>
      <c r="N28" s="186">
        <v>0</v>
      </c>
      <c r="O28" s="186">
        <v>0</v>
      </c>
      <c r="P28" s="186">
        <v>0</v>
      </c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2:27">
      <c r="C29" s="64" t="s">
        <v>309</v>
      </c>
      <c r="D29" s="64"/>
      <c r="E29" s="39" t="s">
        <v>129</v>
      </c>
      <c r="F29" s="64"/>
      <c r="G29" s="49">
        <v>1862400</v>
      </c>
      <c r="H29" s="49">
        <f>SUM(H25:H28)</f>
        <v>1466600</v>
      </c>
      <c r="I29" s="49">
        <f t="shared" ref="I29:K29" si="9">SUM(I25:I28)</f>
        <v>1664700</v>
      </c>
      <c r="J29" s="49">
        <f t="shared" si="9"/>
        <v>1934900</v>
      </c>
      <c r="K29" s="191">
        <f t="shared" si="9"/>
        <v>2521836.59</v>
      </c>
      <c r="L29" s="191">
        <f t="shared" ref="L29" si="10">SUM(L25:L28)</f>
        <v>2973103.1856067432</v>
      </c>
      <c r="M29" s="191">
        <f t="shared" ref="M29" si="11">SUM(M25:M28)</f>
        <v>2795842.376456066</v>
      </c>
      <c r="N29" s="191">
        <f t="shared" ref="N29" si="12">SUM(N25:N28)</f>
        <v>2137874.8278376334</v>
      </c>
      <c r="O29" s="191">
        <f t="shared" ref="O29" si="13">SUM(O25:O28)</f>
        <v>1271592.3402613532</v>
      </c>
      <c r="P29" s="191">
        <f t="shared" ref="P29" si="14">SUM(P25:P28)</f>
        <v>0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2:27">
      <c r="C30" s="51"/>
      <c r="I30" s="38"/>
    </row>
    <row r="31" spans="2:27">
      <c r="C31" s="51" t="s">
        <v>310</v>
      </c>
      <c r="E31" s="35" t="s">
        <v>129</v>
      </c>
      <c r="G31" s="38">
        <v>0</v>
      </c>
      <c r="H31" s="38">
        <v>0</v>
      </c>
      <c r="I31" s="38">
        <v>0</v>
      </c>
      <c r="J31" s="38">
        <v>0</v>
      </c>
      <c r="K31" s="186">
        <f t="shared" ref="K31:P31" si="15">IF(K27&lt;0,SUM(K27,K78),0)</f>
        <v>0</v>
      </c>
      <c r="L31" s="186">
        <f t="shared" si="15"/>
        <v>0</v>
      </c>
      <c r="M31" s="186">
        <f t="shared" si="15"/>
        <v>44315.202287669352</v>
      </c>
      <c r="N31" s="186">
        <f t="shared" si="15"/>
        <v>164491.88715460815</v>
      </c>
      <c r="O31" s="186">
        <f t="shared" si="15"/>
        <v>216570.62189406995</v>
      </c>
      <c r="P31" s="186">
        <f t="shared" si="15"/>
        <v>379717.95628544129</v>
      </c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2:27">
      <c r="C32" s="64" t="s">
        <v>311</v>
      </c>
      <c r="D32" s="64"/>
      <c r="E32" s="39" t="s">
        <v>129</v>
      </c>
      <c r="F32" s="64"/>
      <c r="G32" s="49">
        <v>0</v>
      </c>
      <c r="H32" s="49">
        <v>0</v>
      </c>
      <c r="I32" s="49">
        <v>0</v>
      </c>
      <c r="J32" s="49">
        <v>0</v>
      </c>
      <c r="K32" s="191">
        <f t="shared" ref="K32:P32" si="16">K31*Tax_Rate</f>
        <v>0</v>
      </c>
      <c r="L32" s="191">
        <f t="shared" si="16"/>
        <v>0</v>
      </c>
      <c r="M32" s="191">
        <f t="shared" si="16"/>
        <v>9306.1924804105638</v>
      </c>
      <c r="N32" s="191">
        <f t="shared" si="16"/>
        <v>34543.296302467708</v>
      </c>
      <c r="O32" s="191">
        <f t="shared" si="16"/>
        <v>45479.830597754684</v>
      </c>
      <c r="P32" s="191">
        <f t="shared" si="16"/>
        <v>79740.770819942671</v>
      </c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3:27">
      <c r="C33" s="51" t="s">
        <v>312</v>
      </c>
      <c r="E33" s="35" t="s">
        <v>129</v>
      </c>
      <c r="G33" s="59">
        <v>0.8</v>
      </c>
      <c r="H33" s="59">
        <v>0.8</v>
      </c>
      <c r="I33" s="59">
        <v>0.8</v>
      </c>
      <c r="J33" s="59">
        <v>0.8</v>
      </c>
      <c r="K33" s="59">
        <v>0.8</v>
      </c>
      <c r="L33" s="59">
        <v>0.8</v>
      </c>
      <c r="M33" s="59">
        <v>0.8</v>
      </c>
      <c r="N33" s="59">
        <v>0.8</v>
      </c>
      <c r="O33" s="59">
        <v>0.8</v>
      </c>
      <c r="P33" s="59">
        <v>0.8</v>
      </c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</row>
    <row r="34" spans="3:27">
      <c r="C34" s="51"/>
    </row>
    <row r="35" spans="3:27">
      <c r="C35" s="25" t="s">
        <v>313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3:27">
      <c r="C36" s="51"/>
    </row>
    <row r="37" spans="3:27">
      <c r="C37" s="51" t="s">
        <v>316</v>
      </c>
      <c r="E37" s="35" t="s">
        <v>314</v>
      </c>
      <c r="G37" s="259">
        <f>G94*(G57-EOMONTH(G57,-12))/G62</f>
        <v>38.989502791491027</v>
      </c>
      <c r="H37" s="259">
        <f>H94*(H57-EOMONTH(H57,-12))/H62</f>
        <v>39.122861648137594</v>
      </c>
      <c r="I37" s="259">
        <f>I94*(I57-EOMONTH(I57,-12))/I62</f>
        <v>61.897428195115189</v>
      </c>
      <c r="J37" s="259">
        <f>J94*(J57-EOMONTH(J57,-12))/J62</f>
        <v>79.572971815147355</v>
      </c>
      <c r="K37" s="186">
        <v>90</v>
      </c>
      <c r="L37" s="13">
        <v>100</v>
      </c>
      <c r="M37" s="13">
        <v>90</v>
      </c>
      <c r="N37" s="186">
        <v>80</v>
      </c>
      <c r="O37" s="186">
        <v>70</v>
      </c>
      <c r="P37" s="186">
        <v>65</v>
      </c>
    </row>
    <row r="38" spans="3:27">
      <c r="C38" s="51" t="s">
        <v>317</v>
      </c>
      <c r="E38" s="35" t="s">
        <v>314</v>
      </c>
      <c r="G38" s="259">
        <f>G95*(G57-EOMONTH(G57,-12))/G62</f>
        <v>22.257970589782317</v>
      </c>
      <c r="H38" s="259">
        <f>H95*(H57-EOMONTH(H57,-12))/H62</f>
        <v>25.891025216319715</v>
      </c>
      <c r="I38" s="259">
        <f>I95*(I57-EOMONTH(I57,-12))/I62</f>
        <v>28.649594472814659</v>
      </c>
      <c r="J38" s="259">
        <f>J95*(J57-EOMONTH(J57,-12))/J62</f>
        <v>29.403212966103208</v>
      </c>
      <c r="K38" s="186">
        <f>AVERAGE(G38:J38)</f>
        <v>26.550450811254976</v>
      </c>
      <c r="L38" s="186">
        <f>K38+2</f>
        <v>28.550450811254976</v>
      </c>
      <c r="M38" s="186">
        <f t="shared" ref="M38:P38" si="17">L38+2</f>
        <v>30.550450811254976</v>
      </c>
      <c r="N38" s="186">
        <f t="shared" si="17"/>
        <v>32.550450811254976</v>
      </c>
      <c r="O38" s="186">
        <f t="shared" si="17"/>
        <v>34.550450811254976</v>
      </c>
      <c r="P38" s="186">
        <f t="shared" si="17"/>
        <v>36.550450811254976</v>
      </c>
    </row>
    <row r="39" spans="3:27">
      <c r="C39" s="51" t="s">
        <v>318</v>
      </c>
      <c r="E39" s="35" t="s">
        <v>15</v>
      </c>
      <c r="G39" s="59">
        <f>G96/G62</f>
        <v>0.26954982980545977</v>
      </c>
      <c r="H39" s="59">
        <f>H96/H62</f>
        <v>0.18266527091311435</v>
      </c>
      <c r="I39" s="59">
        <f>I96/I62</f>
        <v>0.11002611086720429</v>
      </c>
      <c r="J39" s="59">
        <f>J96/J62</f>
        <v>7.1916891276797026E-2</v>
      </c>
      <c r="K39" s="258">
        <v>0.06</v>
      </c>
      <c r="L39" s="258">
        <v>0.05</v>
      </c>
      <c r="M39" s="258">
        <v>0.03</v>
      </c>
      <c r="N39" s="258">
        <v>0.02</v>
      </c>
      <c r="O39" s="258">
        <v>0.01</v>
      </c>
      <c r="P39" s="258">
        <v>0.01</v>
      </c>
    </row>
    <row r="40" spans="3:27">
      <c r="C40" s="51"/>
    </row>
    <row r="41" spans="3:27">
      <c r="C41" s="51" t="s">
        <v>315</v>
      </c>
      <c r="E41" s="35" t="s">
        <v>15</v>
      </c>
      <c r="G41" s="59">
        <f>G101/G93</f>
        <v>0.59853402124767685</v>
      </c>
      <c r="H41" s="59">
        <f t="shared" ref="H41:J41" si="18">H101/H93</f>
        <v>0.24229934712386431</v>
      </c>
      <c r="I41" s="59">
        <f t="shared" si="18"/>
        <v>0.54974492952904774</v>
      </c>
      <c r="J41" s="59">
        <f t="shared" si="18"/>
        <v>0.30943212864660691</v>
      </c>
      <c r="K41" s="258">
        <f>AVERAGE(G41:J41)</f>
        <v>0.42500260663679895</v>
      </c>
      <c r="L41" s="258">
        <f>K41-5%</f>
        <v>0.37500260663679896</v>
      </c>
      <c r="M41" s="258">
        <f t="shared" ref="M41:P41" si="19">L41-5%</f>
        <v>0.32500260663679897</v>
      </c>
      <c r="N41" s="258">
        <f t="shared" si="19"/>
        <v>0.27500260663679899</v>
      </c>
      <c r="O41" s="258">
        <f t="shared" si="19"/>
        <v>0.225002606636799</v>
      </c>
      <c r="P41" s="258">
        <f t="shared" si="19"/>
        <v>0.17500260663679901</v>
      </c>
    </row>
    <row r="42" spans="3:27">
      <c r="C42" s="51" t="s">
        <v>332</v>
      </c>
      <c r="E42" s="35" t="s">
        <v>15</v>
      </c>
      <c r="G42" s="59">
        <f>G105/G62</f>
        <v>7.7237513431467578E-2</v>
      </c>
      <c r="H42" s="59">
        <f>H105/H62</f>
        <v>4.464467913127592E-2</v>
      </c>
      <c r="I42" s="59">
        <f>I105/I62</f>
        <v>0.13329251103357442</v>
      </c>
      <c r="J42" s="59">
        <f>J105/J62</f>
        <v>0.11188261963836281</v>
      </c>
      <c r="K42" s="258">
        <f>AVERAGE(G42:J42)</f>
        <v>9.1764330808670178E-2</v>
      </c>
      <c r="L42" s="258">
        <v>7.0000000000000007E-2</v>
      </c>
      <c r="M42" s="258">
        <v>0.05</v>
      </c>
      <c r="N42" s="258">
        <v>0.04</v>
      </c>
      <c r="O42" s="258">
        <v>0.03</v>
      </c>
      <c r="P42" s="258">
        <v>0.02</v>
      </c>
    </row>
    <row r="43" spans="3:27">
      <c r="C43" s="51"/>
    </row>
    <row r="44" spans="3:27">
      <c r="C44" s="51" t="s">
        <v>333</v>
      </c>
      <c r="E44" s="35" t="s">
        <v>314</v>
      </c>
      <c r="G44" s="259">
        <f>G110*(G57-EOMONTH(G57,-12))/G62</f>
        <v>23.50176205826439</v>
      </c>
      <c r="H44" s="259">
        <f>H110*(H57-EOMONTH(H57,-12))/H62</f>
        <v>41.859382246544847</v>
      </c>
      <c r="I44" s="259">
        <f>I110*(I57-EOMONTH(I57,-12))/I62</f>
        <v>35.519121011160664</v>
      </c>
      <c r="J44" s="259">
        <f>J110*(J57-EOMONTH(J57,-12))/J62</f>
        <v>25.319415240169217</v>
      </c>
      <c r="K44" s="186">
        <f>AVERAGE(G44:J44)</f>
        <v>31.549920139034782</v>
      </c>
      <c r="L44" s="186">
        <v>28</v>
      </c>
      <c r="M44" s="186">
        <v>26</v>
      </c>
      <c r="N44" s="186">
        <v>24</v>
      </c>
      <c r="O44" s="186">
        <v>22</v>
      </c>
      <c r="P44" s="186">
        <v>20</v>
      </c>
    </row>
    <row r="45" spans="3:27">
      <c r="C45" s="51" t="s">
        <v>334</v>
      </c>
      <c r="E45" s="35" t="s">
        <v>15</v>
      </c>
      <c r="G45" s="59">
        <f>-G111/G67</f>
        <v>0.19853561992680827</v>
      </c>
      <c r="H45" s="59">
        <f t="shared" ref="H45:J45" si="20">-H111/H67</f>
        <v>0.20220143680204852</v>
      </c>
      <c r="I45" s="59">
        <f t="shared" si="20"/>
        <v>0.1958090879828433</v>
      </c>
      <c r="J45" s="59">
        <f t="shared" si="20"/>
        <v>0.21982516012089001</v>
      </c>
      <c r="K45" s="258">
        <f>AVERAGE(G45:J45)</f>
        <v>0.20409282620814753</v>
      </c>
      <c r="L45" s="258">
        <f>K45-3%</f>
        <v>0.17409282620814753</v>
      </c>
      <c r="M45" s="258">
        <f>L45-3%</f>
        <v>0.14409282620814753</v>
      </c>
      <c r="N45" s="258">
        <f t="shared" ref="N45:P45" si="21">M45-2%</f>
        <v>0.12409282620814753</v>
      </c>
      <c r="O45" s="258">
        <f t="shared" si="21"/>
        <v>0.10409282620814753</v>
      </c>
      <c r="P45" s="258">
        <f t="shared" si="21"/>
        <v>8.4092826208147523E-2</v>
      </c>
    </row>
    <row r="46" spans="3:27">
      <c r="C46" s="51"/>
      <c r="E46" s="35"/>
    </row>
    <row r="47" spans="3:27">
      <c r="C47" s="51" t="s">
        <v>67</v>
      </c>
      <c r="E47" s="35" t="s">
        <v>15</v>
      </c>
      <c r="G47" s="59">
        <f>G115/G122</f>
        <v>0</v>
      </c>
      <c r="H47" s="59">
        <f>H115/H122</f>
        <v>0</v>
      </c>
      <c r="I47" s="59">
        <f>I115/I122</f>
        <v>0</v>
      </c>
      <c r="J47" s="59">
        <f>J115/J122</f>
        <v>0.25055614096709988</v>
      </c>
      <c r="K47" s="258">
        <v>0.25055614096709988</v>
      </c>
      <c r="L47" s="258">
        <v>0.25055614096709988</v>
      </c>
      <c r="M47" s="258">
        <v>0.25055614096709988</v>
      </c>
      <c r="N47" s="258">
        <v>0.25055614096709988</v>
      </c>
      <c r="O47" s="258">
        <v>0.25055614096709988</v>
      </c>
      <c r="P47" s="258">
        <v>0.25055614096709988</v>
      </c>
    </row>
    <row r="48" spans="3:27">
      <c r="C48" s="51"/>
    </row>
    <row r="49" spans="2:31">
      <c r="C49" s="51" t="s">
        <v>335</v>
      </c>
      <c r="E49" s="35" t="s">
        <v>15</v>
      </c>
      <c r="G49" s="59">
        <f>G119/G99</f>
        <v>0.21879402748376955</v>
      </c>
      <c r="H49" s="59">
        <f t="shared" ref="H49:J49" si="22">H119/H99</f>
        <v>7.6288088216043062E-2</v>
      </c>
      <c r="I49" s="59">
        <f t="shared" si="22"/>
        <v>0.10522222145743136</v>
      </c>
      <c r="J49" s="59">
        <f t="shared" si="22"/>
        <v>0.11297000327154992</v>
      </c>
      <c r="K49" s="178">
        <f>AVERAGE(H49:J49)</f>
        <v>9.8160104315008115E-2</v>
      </c>
      <c r="L49" s="178">
        <f t="shared" ref="L49:P49" si="23">AVERAGE(I49:K49)</f>
        <v>0.10545077634799647</v>
      </c>
      <c r="M49" s="178">
        <f t="shared" si="23"/>
        <v>0.10552696131151817</v>
      </c>
      <c r="N49" s="178">
        <f t="shared" si="23"/>
        <v>0.10304594732484092</v>
      </c>
      <c r="O49" s="178">
        <f t="shared" si="23"/>
        <v>0.10467456166145185</v>
      </c>
      <c r="P49" s="178">
        <f t="shared" si="23"/>
        <v>0.10441582343260364</v>
      </c>
    </row>
    <row r="50" spans="2:31">
      <c r="C50" s="51" t="s">
        <v>73</v>
      </c>
      <c r="E50" s="35" t="s">
        <v>15</v>
      </c>
      <c r="G50" s="59">
        <f>G122/G65</f>
        <v>4.56855560909529E-3</v>
      </c>
      <c r="H50" s="59">
        <f>H122/H65</f>
        <v>1.7329464764020867E-2</v>
      </c>
      <c r="I50" s="59">
        <f>I122/I65</f>
        <v>3.9396511931930056E-2</v>
      </c>
      <c r="J50" s="59">
        <f>J122/J65</f>
        <v>5.3114020086440096E-2</v>
      </c>
      <c r="K50" s="258">
        <f>AVERAGE(G50:J50)</f>
        <v>2.8602138097871578E-2</v>
      </c>
      <c r="L50" s="258">
        <v>0.03</v>
      </c>
      <c r="M50" s="258">
        <v>0.02</v>
      </c>
      <c r="N50" s="258">
        <v>0.02</v>
      </c>
      <c r="O50" s="258">
        <v>0.01</v>
      </c>
      <c r="P50" s="258">
        <v>0.01</v>
      </c>
    </row>
    <row r="51" spans="2:31">
      <c r="C51" s="51"/>
    </row>
    <row r="52" spans="2:31">
      <c r="C52" s="25" t="s">
        <v>336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2:31">
      <c r="C53" s="51"/>
    </row>
    <row r="54" spans="2:31">
      <c r="C54" s="51" t="s">
        <v>337</v>
      </c>
      <c r="E54" s="35" t="s">
        <v>15</v>
      </c>
      <c r="G54" s="59">
        <f>G149/G66</f>
        <v>0.21110603777911427</v>
      </c>
      <c r="H54" s="59">
        <f>H149/H66</f>
        <v>0.18472517990504245</v>
      </c>
      <c r="I54" s="59">
        <f>I149/I66</f>
        <v>0.20853914494432099</v>
      </c>
      <c r="J54" s="59">
        <f>J149/J66</f>
        <v>0.22644780867359732</v>
      </c>
      <c r="K54" s="178">
        <f>AVERAGE(G54:J54)</f>
        <v>0.20770454282551876</v>
      </c>
      <c r="L54" s="178">
        <f>K54-2%</f>
        <v>0.18770454282551877</v>
      </c>
      <c r="M54" s="178">
        <f t="shared" ref="M54:P54" si="24">L54-2%</f>
        <v>0.16770454282551878</v>
      </c>
      <c r="N54" s="178">
        <f t="shared" si="24"/>
        <v>0.14770454282551879</v>
      </c>
      <c r="O54" s="178">
        <f t="shared" si="24"/>
        <v>0.1277045428255188</v>
      </c>
      <c r="P54" s="178">
        <f t="shared" si="24"/>
        <v>0.10770454282551879</v>
      </c>
    </row>
    <row r="56" spans="2:31">
      <c r="B56" s="1"/>
      <c r="C56" s="1"/>
      <c r="D56" s="1"/>
      <c r="E56" s="1"/>
      <c r="F56" s="1"/>
      <c r="G56" s="3"/>
      <c r="H56" s="2"/>
      <c r="I56" s="3" t="s">
        <v>0</v>
      </c>
      <c r="J56" s="2"/>
      <c r="K56" s="4"/>
      <c r="L56" s="2"/>
      <c r="M56" s="2"/>
      <c r="N56" s="2"/>
      <c r="O56" s="3" t="s">
        <v>1</v>
      </c>
      <c r="P56" s="2"/>
    </row>
    <row r="57" spans="2:31">
      <c r="B57" s="5" t="str">
        <f>"Income Statement - "&amp;Company_Name</f>
        <v>Income Statement - Ultragenyx Pharmaceutical Inc.</v>
      </c>
      <c r="C57" s="1"/>
      <c r="D57" s="1"/>
      <c r="E57" s="6" t="s">
        <v>2</v>
      </c>
      <c r="F57" s="7"/>
      <c r="G57" s="8">
        <f>G3</f>
        <v>44561</v>
      </c>
      <c r="H57" s="8">
        <f t="shared" ref="H57:P57" si="25">EOMONTH(G57,12)</f>
        <v>44926</v>
      </c>
      <c r="I57" s="8">
        <f t="shared" si="25"/>
        <v>45291</v>
      </c>
      <c r="J57" s="8">
        <f t="shared" si="25"/>
        <v>45657</v>
      </c>
      <c r="K57" s="9">
        <f t="shared" si="25"/>
        <v>46022</v>
      </c>
      <c r="L57" s="8">
        <f t="shared" si="25"/>
        <v>46387</v>
      </c>
      <c r="M57" s="8">
        <f t="shared" si="25"/>
        <v>46752</v>
      </c>
      <c r="N57" s="8">
        <f t="shared" si="25"/>
        <v>47118</v>
      </c>
      <c r="O57" s="8">
        <f t="shared" si="25"/>
        <v>47483</v>
      </c>
      <c r="P57" s="8">
        <f t="shared" si="25"/>
        <v>47848</v>
      </c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9" spans="2:31">
      <c r="C59" s="51" t="s">
        <v>26</v>
      </c>
      <c r="E59" s="35" t="s">
        <v>129</v>
      </c>
      <c r="G59" s="176">
        <v>77017</v>
      </c>
      <c r="H59" s="176">
        <v>118927</v>
      </c>
      <c r="I59" s="176">
        <v>180413</v>
      </c>
      <c r="J59" s="176">
        <v>285415</v>
      </c>
      <c r="K59" s="38">
        <f>Drivers!K6</f>
        <v>375393.05</v>
      </c>
      <c r="L59" s="38">
        <f>Drivers!L6</f>
        <v>585021.11380000005</v>
      </c>
      <c r="M59" s="38">
        <f>Drivers!M6</f>
        <v>864635.1615422914</v>
      </c>
      <c r="N59" s="38">
        <f>Drivers!N6</f>
        <v>1245100.252272018</v>
      </c>
      <c r="O59" s="38">
        <f>Drivers!O6</f>
        <v>1652459.351131978</v>
      </c>
      <c r="P59" s="38">
        <f>Drivers!P6</f>
        <v>2089814.3402207252</v>
      </c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</row>
    <row r="60" spans="2:31">
      <c r="C60" s="51" t="s">
        <v>27</v>
      </c>
      <c r="E60" s="35" t="s">
        <v>129</v>
      </c>
      <c r="G60" s="176">
        <v>0</v>
      </c>
      <c r="H60" s="176">
        <v>21692</v>
      </c>
      <c r="I60" s="176">
        <v>182652</v>
      </c>
      <c r="J60" s="176">
        <v>274815</v>
      </c>
      <c r="K60" s="38">
        <f>Drivers!K7</f>
        <v>296122.49703962984</v>
      </c>
      <c r="L60" s="38">
        <f>Drivers!L7</f>
        <v>316851.07183240395</v>
      </c>
      <c r="M60" s="38">
        <f>Drivers!M7</f>
        <v>335862.13614234823</v>
      </c>
      <c r="N60" s="38">
        <f>Drivers!N7</f>
        <v>352655.24294946564</v>
      </c>
      <c r="O60" s="38">
        <f>Drivers!O7</f>
        <v>370288.00509693893</v>
      </c>
      <c r="P60" s="38">
        <f>Drivers!P7</f>
        <v>388802.40535178588</v>
      </c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</row>
    <row r="61" spans="2:31">
      <c r="C61" s="56" t="s">
        <v>28</v>
      </c>
      <c r="E61" s="35" t="s">
        <v>129</v>
      </c>
      <c r="G61" s="177">
        <v>189149</v>
      </c>
      <c r="H61" s="177">
        <v>236716</v>
      </c>
      <c r="I61" s="177">
        <v>69705</v>
      </c>
      <c r="J61" s="177">
        <v>0</v>
      </c>
      <c r="K61" s="55">
        <f>Drivers!K8</f>
        <v>0</v>
      </c>
      <c r="L61" s="55">
        <f>Drivers!L8</f>
        <v>0</v>
      </c>
      <c r="M61" s="55">
        <f>Drivers!M8</f>
        <v>0</v>
      </c>
      <c r="N61" s="55">
        <f>Drivers!N8</f>
        <v>0</v>
      </c>
      <c r="O61" s="55">
        <f>Drivers!O8</f>
        <v>0</v>
      </c>
      <c r="P61" s="55">
        <f>Drivers!P8</f>
        <v>0</v>
      </c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</row>
    <row r="62" spans="2:31">
      <c r="C62" s="64" t="s">
        <v>29</v>
      </c>
      <c r="E62" s="39" t="s">
        <v>129</v>
      </c>
      <c r="G62" s="52">
        <f>SUM(G59:G61)</f>
        <v>266166</v>
      </c>
      <c r="H62" s="52">
        <f>SUM(H59:H61)</f>
        <v>377335</v>
      </c>
      <c r="I62" s="52">
        <f>SUM(I59:I61)</f>
        <v>432770</v>
      </c>
      <c r="J62" s="52">
        <f>SUM(J59:J61)</f>
        <v>560230</v>
      </c>
      <c r="K62" s="52">
        <v>673000</v>
      </c>
      <c r="L62" s="52">
        <v>745000</v>
      </c>
      <c r="M62" s="52">
        <f>Drivers!M9</f>
        <v>1200497.2976846397</v>
      </c>
      <c r="N62" s="52">
        <f>Drivers!N9</f>
        <v>1597755.4952214835</v>
      </c>
      <c r="O62" s="52">
        <f>Drivers!O9</f>
        <v>2022747.3562289169</v>
      </c>
      <c r="P62" s="52">
        <f>Drivers!P9</f>
        <v>2478616.7455725111</v>
      </c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</row>
    <row r="63" spans="2:31">
      <c r="G63" s="38"/>
      <c r="H63" s="38"/>
      <c r="I63" s="38"/>
      <c r="J63" s="38"/>
    </row>
    <row r="64" spans="2:31">
      <c r="C64" s="51" t="s">
        <v>30</v>
      </c>
      <c r="E64" s="35" t="s">
        <v>129</v>
      </c>
      <c r="G64" s="176">
        <v>16008</v>
      </c>
      <c r="H64" s="176">
        <v>28320</v>
      </c>
      <c r="I64" s="176">
        <v>45209</v>
      </c>
      <c r="J64" s="176">
        <v>76728</v>
      </c>
      <c r="K64" s="38">
        <v>109000</v>
      </c>
      <c r="L64" s="38">
        <v>89175.451632805445</v>
      </c>
      <c r="M64" s="38">
        <v>143697.83718790635</v>
      </c>
      <c r="N64" s="38">
        <v>143797.99456993351</v>
      </c>
      <c r="O64" s="38">
        <v>182047.26206060252</v>
      </c>
      <c r="P64" s="38">
        <f t="shared" ref="P64" si="26">P62*0.09</f>
        <v>223075.50710152599</v>
      </c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</row>
    <row r="65" spans="3:31">
      <c r="C65" s="51" t="s">
        <v>32</v>
      </c>
      <c r="E65" s="35" t="s">
        <v>129</v>
      </c>
      <c r="G65" s="176">
        <v>219982</v>
      </c>
      <c r="H65" s="176">
        <v>278139</v>
      </c>
      <c r="I65" s="176">
        <v>309799</v>
      </c>
      <c r="J65" s="176">
        <v>321610</v>
      </c>
      <c r="K65" s="38">
        <v>349000</v>
      </c>
      <c r="L65" s="38">
        <v>331550</v>
      </c>
      <c r="M65" s="38">
        <v>315000</v>
      </c>
      <c r="N65" s="38">
        <v>290000</v>
      </c>
      <c r="O65" s="38">
        <v>320000</v>
      </c>
      <c r="P65" s="38">
        <f>Drivers!P14</f>
        <v>304000</v>
      </c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</row>
    <row r="66" spans="3:31">
      <c r="C66" s="56" t="s">
        <v>31</v>
      </c>
      <c r="E66" s="35" t="s">
        <v>129</v>
      </c>
      <c r="G66" s="177">
        <v>497153</v>
      </c>
      <c r="H66" s="177">
        <v>705789</v>
      </c>
      <c r="I66" s="177">
        <v>648449</v>
      </c>
      <c r="J66" s="177">
        <v>697865</v>
      </c>
      <c r="K66" s="55">
        <v>750000</v>
      </c>
      <c r="L66" s="55">
        <v>712500</v>
      </c>
      <c r="M66" s="55">
        <v>441750</v>
      </c>
      <c r="N66" s="55">
        <v>273885</v>
      </c>
      <c r="O66" s="55">
        <v>400000</v>
      </c>
      <c r="P66" s="55">
        <f>-rNPV!Q50</f>
        <v>304000</v>
      </c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</row>
    <row r="67" spans="3:31">
      <c r="C67" s="64" t="s">
        <v>33</v>
      </c>
      <c r="E67" s="39" t="s">
        <v>129</v>
      </c>
      <c r="G67" s="52">
        <f>-SUM(G64:G66)</f>
        <v>-733143</v>
      </c>
      <c r="H67" s="52">
        <f t="shared" ref="H67:P67" si="27">-SUM(H64:H66)</f>
        <v>-1012248</v>
      </c>
      <c r="I67" s="52">
        <f t="shared" si="27"/>
        <v>-1003457</v>
      </c>
      <c r="J67" s="52">
        <f t="shared" si="27"/>
        <v>-1096203</v>
      </c>
      <c r="K67" s="52">
        <f t="shared" si="27"/>
        <v>-1208000</v>
      </c>
      <c r="L67" s="52">
        <f t="shared" si="27"/>
        <v>-1133225.4516328054</v>
      </c>
      <c r="M67" s="52">
        <f t="shared" si="27"/>
        <v>-900447.83718790638</v>
      </c>
      <c r="N67" s="52">
        <f t="shared" si="27"/>
        <v>-707682.99456993351</v>
      </c>
      <c r="O67" s="52">
        <f t="shared" si="27"/>
        <v>-902047.26206060254</v>
      </c>
      <c r="P67" s="52">
        <f t="shared" si="27"/>
        <v>-831075.50710152602</v>
      </c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 spans="3:31">
      <c r="G68" s="38"/>
      <c r="H68" s="38"/>
      <c r="I68" s="38"/>
      <c r="J68" s="38"/>
      <c r="K68" s="38"/>
      <c r="L68" s="38"/>
      <c r="M68" s="38"/>
    </row>
    <row r="69" spans="3:31">
      <c r="C69" s="64" t="s">
        <v>34</v>
      </c>
      <c r="E69" s="39" t="s">
        <v>129</v>
      </c>
      <c r="G69" s="52">
        <f t="shared" ref="G69:P69" si="28">SUM(G62,G67)</f>
        <v>-466977</v>
      </c>
      <c r="H69" s="52">
        <f t="shared" si="28"/>
        <v>-634913</v>
      </c>
      <c r="I69" s="52">
        <f t="shared" si="28"/>
        <v>-570687</v>
      </c>
      <c r="J69" s="52">
        <f t="shared" si="28"/>
        <v>-535973</v>
      </c>
      <c r="K69" s="52">
        <f t="shared" si="28"/>
        <v>-535000</v>
      </c>
      <c r="L69" s="52">
        <f t="shared" si="28"/>
        <v>-388225.4516328054</v>
      </c>
      <c r="M69" s="52">
        <f t="shared" si="28"/>
        <v>300049.46049673331</v>
      </c>
      <c r="N69" s="52">
        <f t="shared" si="28"/>
        <v>890072.50065155001</v>
      </c>
      <c r="O69" s="52">
        <f t="shared" si="28"/>
        <v>1120700.0941683142</v>
      </c>
      <c r="P69" s="52">
        <f t="shared" si="28"/>
        <v>1647541.2384709851</v>
      </c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 spans="3:31">
      <c r="G70" s="38"/>
      <c r="H70" s="38"/>
      <c r="I70" s="38"/>
      <c r="J70" s="38"/>
    </row>
    <row r="71" spans="3:31">
      <c r="C71" s="51" t="s">
        <v>35</v>
      </c>
      <c r="E71" s="35" t="s">
        <v>129</v>
      </c>
      <c r="G71" s="176">
        <v>1928</v>
      </c>
      <c r="H71" s="176">
        <v>11074</v>
      </c>
      <c r="I71" s="176">
        <v>26688</v>
      </c>
      <c r="J71" s="176">
        <v>36506</v>
      </c>
      <c r="K71" s="38">
        <f t="shared" ref="K71:P71" si="29">J92*K23</f>
        <v>6949.16</v>
      </c>
      <c r="L71" s="38">
        <f t="shared" si="29"/>
        <v>2417.0435260619997</v>
      </c>
      <c r="M71" s="38">
        <f t="shared" si="29"/>
        <v>-11466.839683386544</v>
      </c>
      <c r="N71" s="38">
        <f t="shared" si="29"/>
        <v>-3137.7406597590807</v>
      </c>
      <c r="O71" s="38">
        <f t="shared" si="29"/>
        <v>26166.139325473523</v>
      </c>
      <c r="P71" s="38">
        <f t="shared" si="29"/>
        <v>68979.041230106202</v>
      </c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</row>
    <row r="72" spans="3:31">
      <c r="C72" s="51" t="s">
        <v>36</v>
      </c>
      <c r="E72" s="35" t="s">
        <v>129</v>
      </c>
      <c r="G72" s="176">
        <v>-42063</v>
      </c>
      <c r="H72" s="176">
        <v>-19299</v>
      </c>
      <c r="I72" s="176">
        <v>397</v>
      </c>
      <c r="J72" s="176">
        <v>-1115</v>
      </c>
      <c r="K72" s="260">
        <v>0</v>
      </c>
      <c r="L72" s="260">
        <v>0</v>
      </c>
      <c r="M72" s="260">
        <v>0</v>
      </c>
      <c r="N72" s="260">
        <v>0</v>
      </c>
      <c r="O72" s="260">
        <v>0</v>
      </c>
      <c r="P72" s="260">
        <v>0</v>
      </c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</row>
    <row r="73" spans="3:31">
      <c r="C73" s="51" t="s">
        <v>37</v>
      </c>
      <c r="E73" s="35" t="s">
        <v>129</v>
      </c>
      <c r="G73" s="176">
        <v>-29422</v>
      </c>
      <c r="H73" s="176">
        <v>-43015</v>
      </c>
      <c r="I73" s="176">
        <v>-66004</v>
      </c>
      <c r="J73" s="176">
        <v>-63041</v>
      </c>
      <c r="K73" s="38">
        <f>-Drivers!K42</f>
        <v>-56735.75</v>
      </c>
      <c r="L73" s="38">
        <f>-Drivers!L42</f>
        <v>-62401.6875</v>
      </c>
      <c r="M73" s="38">
        <f>-Drivers!M42</f>
        <v>-64403.359375</v>
      </c>
      <c r="N73" s="38">
        <f>-Drivers!N42</f>
        <v>-61645.44921875</v>
      </c>
      <c r="O73" s="38">
        <f>-Drivers!O42</f>
        <v>-61296.5615234375</v>
      </c>
      <c r="P73" s="38">
        <f>-Drivers!P42</f>
        <v>-62436.764404296875</v>
      </c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</row>
    <row r="74" spans="3:31">
      <c r="C74" s="51" t="s">
        <v>38</v>
      </c>
      <c r="E74" s="35" t="s">
        <v>129</v>
      </c>
      <c r="G74" s="176">
        <v>-1687</v>
      </c>
      <c r="H74" s="176">
        <v>-1566</v>
      </c>
      <c r="I74" s="176">
        <v>0</v>
      </c>
      <c r="J74" s="176">
        <v>0</v>
      </c>
      <c r="K74" s="260">
        <v>0</v>
      </c>
      <c r="L74" s="260">
        <v>0</v>
      </c>
      <c r="M74" s="260">
        <v>0</v>
      </c>
      <c r="N74" s="260">
        <v>0</v>
      </c>
      <c r="O74" s="260">
        <v>0</v>
      </c>
      <c r="P74" s="260">
        <v>0</v>
      </c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</row>
    <row r="75" spans="3:31">
      <c r="C75" s="56" t="s">
        <v>39</v>
      </c>
      <c r="E75" s="35" t="s">
        <v>129</v>
      </c>
      <c r="G75" s="177">
        <v>0</v>
      </c>
      <c r="H75" s="177">
        <v>0</v>
      </c>
      <c r="I75" s="177">
        <v>-337</v>
      </c>
      <c r="J75" s="177">
        <v>-3963</v>
      </c>
      <c r="K75" s="83">
        <f>AVERAGE(I75:J75)</f>
        <v>-2150</v>
      </c>
      <c r="L75" s="83">
        <f t="shared" ref="L75:P75" si="30">AVERAGE(J75:K75)</f>
        <v>-3056.5</v>
      </c>
      <c r="M75" s="83">
        <f t="shared" si="30"/>
        <v>-2603.25</v>
      </c>
      <c r="N75" s="83">
        <f t="shared" si="30"/>
        <v>-2829.875</v>
      </c>
      <c r="O75" s="83">
        <f t="shared" si="30"/>
        <v>-2716.5625</v>
      </c>
      <c r="P75" s="83">
        <f t="shared" si="30"/>
        <v>-2773.21875</v>
      </c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</row>
    <row r="76" spans="3:31">
      <c r="C76" s="64" t="s">
        <v>38</v>
      </c>
      <c r="E76" s="39" t="s">
        <v>129</v>
      </c>
      <c r="G76" s="52">
        <f>SUM(G71:G75)</f>
        <v>-71244</v>
      </c>
      <c r="H76" s="52">
        <f t="shared" ref="H76:P76" si="31">SUM(H71:H75)</f>
        <v>-52806</v>
      </c>
      <c r="I76" s="52">
        <f t="shared" si="31"/>
        <v>-39256</v>
      </c>
      <c r="J76" s="52">
        <f t="shared" si="31"/>
        <v>-31613</v>
      </c>
      <c r="K76" s="52">
        <f t="shared" si="31"/>
        <v>-51936.59</v>
      </c>
      <c r="L76" s="52">
        <f t="shared" si="31"/>
        <v>-63041.143973938</v>
      </c>
      <c r="M76" s="52">
        <f t="shared" si="31"/>
        <v>-78473.449058386541</v>
      </c>
      <c r="N76" s="52">
        <f t="shared" si="31"/>
        <v>-67613.064878509089</v>
      </c>
      <c r="O76" s="52">
        <f t="shared" si="31"/>
        <v>-37846.984697963977</v>
      </c>
      <c r="P76" s="52">
        <f t="shared" si="31"/>
        <v>3769.0580758093274</v>
      </c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</row>
    <row r="77" spans="3:31">
      <c r="G77" s="38"/>
      <c r="H77" s="38"/>
      <c r="I77" s="38"/>
      <c r="J77" s="38"/>
    </row>
    <row r="78" spans="3:31">
      <c r="C78" s="64" t="s">
        <v>40</v>
      </c>
      <c r="E78" s="39" t="s">
        <v>129</v>
      </c>
      <c r="G78" s="52">
        <f>SUM(G69,G76)</f>
        <v>-538221</v>
      </c>
      <c r="H78" s="52">
        <f t="shared" ref="H78:P78" si="32">SUM(H69,H76)</f>
        <v>-687719</v>
      </c>
      <c r="I78" s="52">
        <f t="shared" si="32"/>
        <v>-609943</v>
      </c>
      <c r="J78" s="52">
        <f t="shared" si="32"/>
        <v>-567586</v>
      </c>
      <c r="K78" s="52">
        <f t="shared" si="32"/>
        <v>-586936.59</v>
      </c>
      <c r="L78" s="52">
        <f t="shared" si="32"/>
        <v>-451266.59560674342</v>
      </c>
      <c r="M78" s="52">
        <f t="shared" si="32"/>
        <v>221576.01143834676</v>
      </c>
      <c r="N78" s="52">
        <f t="shared" si="32"/>
        <v>822459.43577304087</v>
      </c>
      <c r="O78" s="52">
        <f t="shared" si="32"/>
        <v>1082853.1094703502</v>
      </c>
      <c r="P78" s="52">
        <f t="shared" si="32"/>
        <v>1651310.2965467945</v>
      </c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</row>
    <row r="79" spans="3:31">
      <c r="G79" s="38"/>
      <c r="H79" s="38"/>
      <c r="I79" s="38"/>
      <c r="J79" s="38"/>
    </row>
    <row r="80" spans="3:31">
      <c r="C80" s="51" t="s">
        <v>41</v>
      </c>
      <c r="E80" s="35" t="s">
        <v>129</v>
      </c>
      <c r="G80" s="177">
        <v>-1044</v>
      </c>
      <c r="H80" s="177">
        <v>-5696</v>
      </c>
      <c r="I80" s="177">
        <v>1825</v>
      </c>
      <c r="J80" s="177">
        <v>-1597</v>
      </c>
      <c r="K80" s="177">
        <f>-K32</f>
        <v>0</v>
      </c>
      <c r="L80" s="177">
        <f t="shared" ref="L80:P80" si="33">-L32</f>
        <v>0</v>
      </c>
      <c r="M80" s="177">
        <f t="shared" si="33"/>
        <v>-9306.1924804105638</v>
      </c>
      <c r="N80" s="177">
        <f t="shared" si="33"/>
        <v>-34543.296302467708</v>
      </c>
      <c r="O80" s="177">
        <f t="shared" si="33"/>
        <v>-45479.830597754684</v>
      </c>
      <c r="P80" s="177">
        <f t="shared" si="33"/>
        <v>-79740.770819942671</v>
      </c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</row>
    <row r="81" spans="2:31">
      <c r="C81" s="64" t="s">
        <v>118</v>
      </c>
      <c r="E81" s="39" t="s">
        <v>129</v>
      </c>
      <c r="G81" s="52">
        <f>SUM(G78,G80)</f>
        <v>-539265</v>
      </c>
      <c r="H81" s="52">
        <f>SUM(H78,H80)</f>
        <v>-693415</v>
      </c>
      <c r="I81" s="52">
        <f>SUM(I78,I80)</f>
        <v>-608118</v>
      </c>
      <c r="J81" s="52">
        <f>SUM(J78,J80)</f>
        <v>-569183</v>
      </c>
      <c r="K81" s="52">
        <f t="shared" ref="K81:P81" si="34">SUM(K78,K80)</f>
        <v>-586936.59</v>
      </c>
      <c r="L81" s="52">
        <f t="shared" si="34"/>
        <v>-451266.59560674342</v>
      </c>
      <c r="M81" s="52">
        <f t="shared" si="34"/>
        <v>212269.81895793619</v>
      </c>
      <c r="N81" s="52">
        <f t="shared" si="34"/>
        <v>787916.13947057317</v>
      </c>
      <c r="O81" s="52">
        <f t="shared" si="34"/>
        <v>1037373.2788725955</v>
      </c>
      <c r="P81" s="52">
        <f t="shared" si="34"/>
        <v>1571569.5257268518</v>
      </c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</row>
    <row r="82" spans="2:31">
      <c r="C82" s="64"/>
      <c r="E82" s="39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</row>
    <row r="83" spans="2:31">
      <c r="C83" s="64" t="s">
        <v>194</v>
      </c>
      <c r="E83" s="39" t="s">
        <v>129</v>
      </c>
      <c r="G83" s="52">
        <f>G69+G152</f>
        <v>-453738</v>
      </c>
      <c r="H83" s="52">
        <f t="shared" ref="H83:P83" si="35">H69+H152</f>
        <v>-616693</v>
      </c>
      <c r="I83" s="52">
        <f t="shared" si="35"/>
        <v>-544681</v>
      </c>
      <c r="J83" s="52">
        <f t="shared" si="35"/>
        <v>-500430</v>
      </c>
      <c r="K83" s="52">
        <f t="shared" si="35"/>
        <v>-508221.88069164573</v>
      </c>
      <c r="L83" s="52">
        <f t="shared" si="35"/>
        <v>-364829.64444486215</v>
      </c>
      <c r="M83" s="52">
        <f t="shared" si="35"/>
        <v>320169.60304134933</v>
      </c>
      <c r="N83" s="52">
        <f t="shared" si="35"/>
        <v>907201.06664001558</v>
      </c>
      <c r="O83" s="52">
        <f t="shared" si="35"/>
        <v>1135377.0965767028</v>
      </c>
      <c r="P83" s="52">
        <f t="shared" si="35"/>
        <v>1660155.9099655123</v>
      </c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</row>
    <row r="84" spans="2:31">
      <c r="G84" s="38"/>
      <c r="H84" s="38"/>
      <c r="I84" s="38"/>
      <c r="J84" s="38"/>
    </row>
    <row r="85" spans="2:31">
      <c r="C85" s="10" t="s">
        <v>43</v>
      </c>
      <c r="G85" s="36">
        <v>-6.7</v>
      </c>
      <c r="H85" s="36">
        <v>-10.119999999999999</v>
      </c>
      <c r="I85" s="36">
        <v>-8.25</v>
      </c>
      <c r="J85" s="36">
        <v>-6.29</v>
      </c>
      <c r="K85" s="251">
        <f t="shared" ref="K85:P85" si="36">K83*Units/K86</f>
        <v>-5.2093263703530726</v>
      </c>
      <c r="L85" s="251">
        <f t="shared" si="36"/>
        <v>-3.7395412509723465</v>
      </c>
      <c r="M85" s="251">
        <f t="shared" si="36"/>
        <v>3.2817712488863195</v>
      </c>
      <c r="N85" s="251">
        <f t="shared" si="36"/>
        <v>9.298903922099381</v>
      </c>
      <c r="O85" s="251">
        <f t="shared" si="36"/>
        <v>11.637731617227375</v>
      </c>
      <c r="P85" s="251">
        <f t="shared" si="36"/>
        <v>17.016768244828949</v>
      </c>
    </row>
    <row r="86" spans="2:31">
      <c r="C86" s="10" t="s">
        <v>44</v>
      </c>
      <c r="G86" s="38">
        <v>67795540</v>
      </c>
      <c r="H86" s="38">
        <v>69914225</v>
      </c>
      <c r="I86" s="38">
        <v>73543862</v>
      </c>
      <c r="J86" s="38">
        <v>90538118</v>
      </c>
      <c r="K86" s="10">
        <f t="shared" ref="K86:P86" si="37">Diluted*Units*Units</f>
        <v>97560000</v>
      </c>
      <c r="L86" s="10">
        <f t="shared" si="37"/>
        <v>97560000</v>
      </c>
      <c r="M86" s="10">
        <f t="shared" si="37"/>
        <v>97560000</v>
      </c>
      <c r="N86" s="10">
        <f t="shared" si="37"/>
        <v>97560000</v>
      </c>
      <c r="O86" s="10">
        <f t="shared" si="37"/>
        <v>97560000</v>
      </c>
      <c r="P86" s="10">
        <f t="shared" si="37"/>
        <v>97560000</v>
      </c>
    </row>
    <row r="88" spans="2:31">
      <c r="B88" s="1"/>
      <c r="C88" s="1"/>
      <c r="D88" s="1"/>
      <c r="E88" s="1"/>
      <c r="F88" s="1"/>
      <c r="G88" s="3"/>
      <c r="H88" s="2"/>
      <c r="I88" s="3" t="s">
        <v>0</v>
      </c>
      <c r="J88" s="2"/>
      <c r="K88" s="4"/>
      <c r="L88" s="2"/>
      <c r="M88" s="2"/>
      <c r="N88" s="2"/>
      <c r="O88" s="3" t="s">
        <v>1</v>
      </c>
      <c r="P88" s="2"/>
    </row>
    <row r="89" spans="2:31">
      <c r="B89" s="5" t="str">
        <f>"Balance Sheet - "&amp;Company_Name</f>
        <v>Balance Sheet - Ultragenyx Pharmaceutical Inc.</v>
      </c>
      <c r="C89" s="1"/>
      <c r="D89" s="1"/>
      <c r="E89" s="6" t="s">
        <v>2</v>
      </c>
      <c r="F89" s="7"/>
      <c r="G89" s="8">
        <f t="shared" ref="G89:P89" si="38">G3</f>
        <v>44561</v>
      </c>
      <c r="H89" s="8">
        <f t="shared" si="38"/>
        <v>44926</v>
      </c>
      <c r="I89" s="8">
        <f t="shared" si="38"/>
        <v>45291</v>
      </c>
      <c r="J89" s="8">
        <f t="shared" si="38"/>
        <v>45657</v>
      </c>
      <c r="K89" s="9">
        <f t="shared" si="38"/>
        <v>46022</v>
      </c>
      <c r="L89" s="8">
        <f t="shared" si="38"/>
        <v>46387</v>
      </c>
      <c r="M89" s="8">
        <f t="shared" si="38"/>
        <v>46752</v>
      </c>
      <c r="N89" s="8">
        <f t="shared" si="38"/>
        <v>47118</v>
      </c>
      <c r="O89" s="8">
        <f t="shared" si="38"/>
        <v>47483</v>
      </c>
      <c r="P89" s="8">
        <f t="shared" si="38"/>
        <v>47848</v>
      </c>
    </row>
    <row r="90" spans="2:31">
      <c r="C90" s="32" t="s">
        <v>45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2" spans="2:31">
      <c r="C92" s="51" t="s">
        <v>46</v>
      </c>
      <c r="E92" s="35" t="s">
        <v>129</v>
      </c>
      <c r="G92" s="176">
        <v>307584</v>
      </c>
      <c r="H92" s="176">
        <v>132944</v>
      </c>
      <c r="I92" s="176">
        <v>213584</v>
      </c>
      <c r="J92" s="176">
        <v>173729</v>
      </c>
      <c r="K92" s="38">
        <f>K198</f>
        <v>60426.088151549993</v>
      </c>
      <c r="L92" s="38">
        <f t="shared" ref="L92:P92" si="39">L198</f>
        <v>-286670.99208466359</v>
      </c>
      <c r="M92" s="38">
        <f t="shared" si="39"/>
        <v>-78443.516493977018</v>
      </c>
      <c r="N92" s="38">
        <f t="shared" si="39"/>
        <v>654153.48313683807</v>
      </c>
      <c r="O92" s="38">
        <f t="shared" si="39"/>
        <v>1724476.0307526549</v>
      </c>
      <c r="P92" s="38">
        <f t="shared" si="39"/>
        <v>3246576.4500243645</v>
      </c>
      <c r="Q92" s="38"/>
    </row>
    <row r="93" spans="2:31">
      <c r="C93" s="51" t="s">
        <v>47</v>
      </c>
      <c r="E93" s="35" t="s">
        <v>129</v>
      </c>
      <c r="G93" s="176">
        <v>432612</v>
      </c>
      <c r="H93" s="176">
        <v>614818</v>
      </c>
      <c r="I93" s="176">
        <v>363625</v>
      </c>
      <c r="J93" s="176">
        <v>436296</v>
      </c>
      <c r="K93" s="186">
        <f>AVERAGE(G93:J93)</f>
        <v>461837.75</v>
      </c>
      <c r="L93" s="186">
        <f t="shared" ref="L93:P93" si="40">AVERAGE(H93:K93)</f>
        <v>469144.1875</v>
      </c>
      <c r="M93" s="186">
        <f t="shared" si="40"/>
        <v>432725.734375</v>
      </c>
      <c r="N93" s="186">
        <f t="shared" si="40"/>
        <v>450000.91796875</v>
      </c>
      <c r="O93" s="186">
        <f t="shared" si="40"/>
        <v>453427.1474609375</v>
      </c>
      <c r="P93" s="186">
        <f t="shared" si="40"/>
        <v>451324.49682617188</v>
      </c>
      <c r="Q93" s="38"/>
    </row>
    <row r="94" spans="2:31">
      <c r="C94" s="51" t="s">
        <v>48</v>
      </c>
      <c r="E94" s="35" t="s">
        <v>129</v>
      </c>
      <c r="G94" s="176">
        <v>28432</v>
      </c>
      <c r="H94" s="176">
        <v>40445</v>
      </c>
      <c r="I94" s="176">
        <v>73390</v>
      </c>
      <c r="J94" s="176">
        <v>121801</v>
      </c>
      <c r="K94" s="38">
        <f t="shared" ref="K94:P94" si="41">K37/(K57-EOMONTH(K57,-12))*K62</f>
        <v>165945.20547945204</v>
      </c>
      <c r="L94" s="38">
        <f t="shared" si="41"/>
        <v>204109.58904109587</v>
      </c>
      <c r="M94" s="38">
        <f t="shared" si="41"/>
        <v>296013.03230580158</v>
      </c>
      <c r="N94" s="38">
        <f t="shared" si="41"/>
        <v>349236.17381890351</v>
      </c>
      <c r="O94" s="38">
        <f t="shared" si="41"/>
        <v>387924.1505096553</v>
      </c>
      <c r="P94" s="38">
        <f t="shared" si="41"/>
        <v>441397.50263620057</v>
      </c>
      <c r="Q94" s="38"/>
    </row>
    <row r="95" spans="2:31">
      <c r="C95" s="51" t="s">
        <v>49</v>
      </c>
      <c r="E95" s="35" t="s">
        <v>129</v>
      </c>
      <c r="G95" s="176">
        <v>16231</v>
      </c>
      <c r="H95" s="176">
        <v>26766</v>
      </c>
      <c r="I95" s="176">
        <v>33969</v>
      </c>
      <c r="J95" s="176">
        <v>45007</v>
      </c>
      <c r="K95" s="38">
        <f t="shared" ref="K95:P95" si="42">K38/(K57-EOMONTH(K57,-12))*K62</f>
        <v>48954.666838286568</v>
      </c>
      <c r="L95" s="38">
        <f t="shared" si="42"/>
        <v>58274.207820232761</v>
      </c>
      <c r="M95" s="38">
        <f t="shared" si="42"/>
        <v>100481.46203276468</v>
      </c>
      <c r="N95" s="38">
        <f t="shared" si="42"/>
        <v>142097.4362175389</v>
      </c>
      <c r="O95" s="38">
        <f t="shared" si="42"/>
        <v>191470.77543831026</v>
      </c>
      <c r="P95" s="38">
        <f t="shared" si="42"/>
        <v>248204.27243561903</v>
      </c>
      <c r="Q95" s="38"/>
    </row>
    <row r="96" spans="2:31">
      <c r="C96" s="56" t="s">
        <v>50</v>
      </c>
      <c r="E96" s="35" t="s">
        <v>129</v>
      </c>
      <c r="G96" s="177">
        <v>71745</v>
      </c>
      <c r="H96" s="177">
        <v>68926</v>
      </c>
      <c r="I96" s="177">
        <v>47616</v>
      </c>
      <c r="J96" s="177">
        <v>40290</v>
      </c>
      <c r="K96" s="55">
        <f t="shared" ref="K96:P96" si="43">K39*K62</f>
        <v>40380</v>
      </c>
      <c r="L96" s="55">
        <f t="shared" si="43"/>
        <v>37250</v>
      </c>
      <c r="M96" s="55">
        <f t="shared" si="43"/>
        <v>36014.918930539192</v>
      </c>
      <c r="N96" s="55">
        <f t="shared" si="43"/>
        <v>31955.109904429672</v>
      </c>
      <c r="O96" s="55">
        <f t="shared" si="43"/>
        <v>20227.473562289171</v>
      </c>
      <c r="P96" s="55">
        <f t="shared" si="43"/>
        <v>24786.16745572511</v>
      </c>
      <c r="Q96" s="38"/>
    </row>
    <row r="97" spans="3:18">
      <c r="C97" s="64" t="s">
        <v>52</v>
      </c>
      <c r="E97" s="39" t="s">
        <v>129</v>
      </c>
      <c r="G97" s="52">
        <f>SUM(G92:G96)</f>
        <v>856604</v>
      </c>
      <c r="H97" s="52">
        <f t="shared" ref="H97:P97" si="44">SUM(H92:H96)</f>
        <v>883899</v>
      </c>
      <c r="I97" s="52">
        <f t="shared" si="44"/>
        <v>732184</v>
      </c>
      <c r="J97" s="52">
        <f t="shared" si="44"/>
        <v>817123</v>
      </c>
      <c r="K97" s="52">
        <f t="shared" si="44"/>
        <v>777543.71046928864</v>
      </c>
      <c r="L97" s="52">
        <f t="shared" si="44"/>
        <v>482106.99227666506</v>
      </c>
      <c r="M97" s="52">
        <f t="shared" si="44"/>
        <v>786791.63115012832</v>
      </c>
      <c r="N97" s="52">
        <f t="shared" si="44"/>
        <v>1627443.12104646</v>
      </c>
      <c r="O97" s="52">
        <f t="shared" si="44"/>
        <v>2777525.5777238472</v>
      </c>
      <c r="P97" s="52">
        <f t="shared" si="44"/>
        <v>4412288.889378082</v>
      </c>
      <c r="Q97" s="38"/>
    </row>
    <row r="98" spans="3:18">
      <c r="G98" s="38"/>
      <c r="H98" s="38"/>
      <c r="I98" s="38"/>
      <c r="J98" s="38"/>
      <c r="Q98" s="38"/>
    </row>
    <row r="99" spans="3:18">
      <c r="C99" s="51" t="s">
        <v>53</v>
      </c>
      <c r="E99" s="35" t="s">
        <v>129</v>
      </c>
      <c r="G99" s="176">
        <v>141247</v>
      </c>
      <c r="H99" s="176">
        <v>259726</v>
      </c>
      <c r="I99" s="176">
        <v>290566</v>
      </c>
      <c r="J99" s="176">
        <v>265929</v>
      </c>
      <c r="K99" s="38">
        <f>Drivers!K373</f>
        <v>246130.88069164575</v>
      </c>
      <c r="L99" s="38">
        <f>Drivers!L373</f>
        <v>229366.07350370253</v>
      </c>
      <c r="M99" s="38">
        <f>Drivers!M373</f>
        <v>212395.93095908649</v>
      </c>
      <c r="N99" s="38">
        <f>Drivers!N373</f>
        <v>198167.36497062093</v>
      </c>
      <c r="O99" s="38">
        <f>Drivers!O373</f>
        <v>186690.36256223245</v>
      </c>
      <c r="P99" s="38">
        <f>Drivers!P373</f>
        <v>177115.69106770525</v>
      </c>
      <c r="Q99" s="38"/>
    </row>
    <row r="100" spans="3:18">
      <c r="C100" s="51" t="s">
        <v>54</v>
      </c>
      <c r="E100" s="35" t="s">
        <v>129</v>
      </c>
      <c r="G100" s="176">
        <v>34925</v>
      </c>
      <c r="H100" s="176">
        <v>5531</v>
      </c>
      <c r="I100" s="176">
        <v>0</v>
      </c>
      <c r="J100" s="176">
        <v>0</v>
      </c>
      <c r="K100" s="260">
        <v>0</v>
      </c>
      <c r="L100" s="260">
        <v>0</v>
      </c>
      <c r="M100" s="260">
        <v>0</v>
      </c>
      <c r="N100" s="260">
        <v>0</v>
      </c>
      <c r="O100" s="260">
        <v>0</v>
      </c>
      <c r="P100" s="260">
        <v>0</v>
      </c>
      <c r="Q100" s="38"/>
    </row>
    <row r="101" spans="3:18">
      <c r="C101" s="51" t="s">
        <v>55</v>
      </c>
      <c r="E101" s="35" t="s">
        <v>129</v>
      </c>
      <c r="G101" s="176">
        <v>258933</v>
      </c>
      <c r="H101" s="176">
        <v>148970</v>
      </c>
      <c r="I101" s="176">
        <v>199901</v>
      </c>
      <c r="J101" s="176">
        <v>135004</v>
      </c>
      <c r="K101" s="38">
        <f t="shared" ref="K101:P101" si="45">K93*K41</f>
        <v>196282.24759327428</v>
      </c>
      <c r="L101" s="38">
        <f t="shared" si="45"/>
        <v>175930.29320100317</v>
      </c>
      <c r="M101" s="38">
        <f t="shared" si="45"/>
        <v>140636.99163069809</v>
      </c>
      <c r="N101" s="38">
        <f t="shared" si="45"/>
        <v>123751.42543035861</v>
      </c>
      <c r="O101" s="38">
        <f t="shared" si="45"/>
        <v>102022.29009859917</v>
      </c>
      <c r="P101" s="38">
        <f t="shared" si="45"/>
        <v>78982.963383621798</v>
      </c>
      <c r="Q101" s="38"/>
      <c r="R101" s="38"/>
    </row>
    <row r="102" spans="3:18">
      <c r="C102" s="51" t="s">
        <v>56</v>
      </c>
      <c r="E102" s="35" t="s">
        <v>129</v>
      </c>
      <c r="G102" s="176">
        <v>34936</v>
      </c>
      <c r="H102" s="176">
        <v>25961</v>
      </c>
      <c r="I102" s="176">
        <v>0</v>
      </c>
      <c r="J102" s="176">
        <v>0</v>
      </c>
      <c r="K102" s="260">
        <v>0</v>
      </c>
      <c r="L102" s="260">
        <v>0</v>
      </c>
      <c r="M102" s="260">
        <v>0</v>
      </c>
      <c r="N102" s="260">
        <v>0</v>
      </c>
      <c r="O102" s="260">
        <v>0</v>
      </c>
      <c r="P102" s="260">
        <v>0</v>
      </c>
      <c r="Q102" s="38"/>
    </row>
    <row r="103" spans="3:18">
      <c r="C103" s="51" t="s">
        <v>57</v>
      </c>
      <c r="E103" s="35" t="s">
        <v>129</v>
      </c>
      <c r="G103" s="176">
        <v>130788</v>
      </c>
      <c r="H103" s="176">
        <v>160105</v>
      </c>
      <c r="I103" s="176">
        <v>166271</v>
      </c>
      <c r="J103" s="176">
        <v>178314</v>
      </c>
      <c r="K103" s="260">
        <v>178314</v>
      </c>
      <c r="L103" s="260">
        <v>178314</v>
      </c>
      <c r="M103" s="260">
        <v>178314</v>
      </c>
      <c r="N103" s="260">
        <v>178314</v>
      </c>
      <c r="O103" s="260">
        <v>178314</v>
      </c>
      <c r="P103" s="260">
        <v>178314</v>
      </c>
      <c r="Q103" s="38"/>
    </row>
    <row r="104" spans="3:18">
      <c r="C104" s="51" t="s">
        <v>58</v>
      </c>
      <c r="E104" s="35" t="s">
        <v>129</v>
      </c>
      <c r="G104" s="176">
        <v>44406</v>
      </c>
      <c r="H104" s="176">
        <v>44406</v>
      </c>
      <c r="I104" s="176">
        <v>44406</v>
      </c>
      <c r="J104" s="176">
        <v>44406</v>
      </c>
      <c r="K104" s="260">
        <v>44406</v>
      </c>
      <c r="L104" s="260">
        <v>44406</v>
      </c>
      <c r="M104" s="260">
        <v>44406</v>
      </c>
      <c r="N104" s="260">
        <v>44406</v>
      </c>
      <c r="O104" s="260">
        <v>44406</v>
      </c>
      <c r="P104" s="260">
        <v>44406</v>
      </c>
      <c r="Q104" s="38"/>
    </row>
    <row r="105" spans="3:18">
      <c r="C105" s="56" t="s">
        <v>59</v>
      </c>
      <c r="E105" s="35" t="s">
        <v>129</v>
      </c>
      <c r="G105" s="177">
        <v>20558</v>
      </c>
      <c r="H105" s="177">
        <v>16846</v>
      </c>
      <c r="I105" s="177">
        <v>57685</v>
      </c>
      <c r="J105" s="177">
        <v>62680</v>
      </c>
      <c r="K105" s="55">
        <f t="shared" ref="K105:P105" si="46">K42*K62</f>
        <v>61757.394634235032</v>
      </c>
      <c r="L105" s="55">
        <f t="shared" si="46"/>
        <v>52150.000000000007</v>
      </c>
      <c r="M105" s="55">
        <f t="shared" si="46"/>
        <v>60024.864884231989</v>
      </c>
      <c r="N105" s="55">
        <f t="shared" si="46"/>
        <v>63910.219808859343</v>
      </c>
      <c r="O105" s="55">
        <f t="shared" si="46"/>
        <v>60682.420686867503</v>
      </c>
      <c r="P105" s="55">
        <f t="shared" si="46"/>
        <v>49572.33491145022</v>
      </c>
      <c r="Q105" s="38"/>
    </row>
    <row r="106" spans="3:18">
      <c r="C106" s="64" t="s">
        <v>60</v>
      </c>
      <c r="E106" s="39" t="s">
        <v>129</v>
      </c>
      <c r="G106" s="52">
        <f>SUM(G97,G99:G105)</f>
        <v>1522397</v>
      </c>
      <c r="H106" s="52">
        <f t="shared" ref="H106:P106" si="47">SUM(H97,H99:H105)</f>
        <v>1545444</v>
      </c>
      <c r="I106" s="52">
        <f t="shared" si="47"/>
        <v>1491013</v>
      </c>
      <c r="J106" s="52">
        <f t="shared" si="47"/>
        <v>1503456</v>
      </c>
      <c r="K106" s="52">
        <f t="shared" si="47"/>
        <v>1504434.2333884437</v>
      </c>
      <c r="L106" s="52">
        <f t="shared" si="47"/>
        <v>1162273.3589813707</v>
      </c>
      <c r="M106" s="52">
        <f t="shared" si="47"/>
        <v>1422569.4186241447</v>
      </c>
      <c r="N106" s="52">
        <f t="shared" si="47"/>
        <v>2235992.1312562986</v>
      </c>
      <c r="O106" s="52">
        <f t="shared" si="47"/>
        <v>3349640.6510715466</v>
      </c>
      <c r="P106" s="52">
        <f t="shared" si="47"/>
        <v>4940679.8787408583</v>
      </c>
      <c r="Q106" s="38"/>
    </row>
    <row r="107" spans="3:18">
      <c r="G107" s="38"/>
      <c r="H107" s="38"/>
      <c r="I107" s="38"/>
      <c r="J107" s="38"/>
      <c r="Q107" s="38"/>
    </row>
    <row r="108" spans="3:18">
      <c r="C108" s="25" t="s">
        <v>61</v>
      </c>
      <c r="D108" s="25"/>
      <c r="E108" s="25"/>
      <c r="F108" s="25"/>
      <c r="G108" s="261"/>
      <c r="H108" s="261"/>
      <c r="I108" s="261"/>
      <c r="J108" s="261"/>
      <c r="K108" s="25"/>
      <c r="L108" s="25"/>
      <c r="M108" s="25"/>
      <c r="N108" s="25"/>
      <c r="O108" s="25"/>
      <c r="P108" s="25"/>
      <c r="Q108" s="38"/>
    </row>
    <row r="109" spans="3:18">
      <c r="G109" s="38"/>
      <c r="H109" s="38"/>
      <c r="I109" s="38"/>
      <c r="J109" s="38"/>
      <c r="Q109" s="38"/>
    </row>
    <row r="110" spans="3:18">
      <c r="C110" s="51" t="s">
        <v>62</v>
      </c>
      <c r="E110" s="35" t="s">
        <v>129</v>
      </c>
      <c r="G110" s="176">
        <v>17138</v>
      </c>
      <c r="H110" s="176">
        <v>43274</v>
      </c>
      <c r="I110" s="176">
        <v>42114</v>
      </c>
      <c r="J110" s="176">
        <v>38756</v>
      </c>
      <c r="K110" s="38">
        <f t="shared" ref="K110:P110" si="48">K44/(K57-EOMONTH(K57,-12))*K62</f>
        <v>58172.866448138106</v>
      </c>
      <c r="L110" s="38">
        <f t="shared" si="48"/>
        <v>57150.684931506854</v>
      </c>
      <c r="M110" s="38">
        <f t="shared" si="48"/>
        <v>85514.875999453783</v>
      </c>
      <c r="N110" s="38">
        <f t="shared" si="48"/>
        <v>104770.85214567106</v>
      </c>
      <c r="O110" s="38">
        <f t="shared" si="48"/>
        <v>121919.01873160596</v>
      </c>
      <c r="P110" s="38">
        <f t="shared" si="48"/>
        <v>135814.61619575403</v>
      </c>
      <c r="Q110" s="38"/>
    </row>
    <row r="111" spans="3:18">
      <c r="C111" s="51" t="s">
        <v>63</v>
      </c>
      <c r="E111" s="35" t="s">
        <v>129</v>
      </c>
      <c r="G111" s="176">
        <v>145555</v>
      </c>
      <c r="H111" s="176">
        <v>204678</v>
      </c>
      <c r="I111" s="176">
        <v>196486</v>
      </c>
      <c r="J111" s="176">
        <v>240973</v>
      </c>
      <c r="K111" s="38">
        <f t="shared" ref="K111:P111" si="49">K45*-K67</f>
        <v>246544.13405944221</v>
      </c>
      <c r="L111" s="38">
        <f t="shared" si="49"/>
        <v>197286.42160575947</v>
      </c>
      <c r="M111" s="38">
        <f t="shared" si="49"/>
        <v>129748.07371341932</v>
      </c>
      <c r="N111" s="38">
        <f t="shared" si="49"/>
        <v>87818.382855628166</v>
      </c>
      <c r="O111" s="38">
        <f t="shared" si="49"/>
        <v>93896.648881209607</v>
      </c>
      <c r="P111" s="38">
        <f t="shared" si="49"/>
        <v>69887.488184536705</v>
      </c>
      <c r="Q111" s="38"/>
    </row>
    <row r="112" spans="3:18">
      <c r="C112" s="51" t="s">
        <v>64</v>
      </c>
      <c r="E112" s="35" t="s">
        <v>129</v>
      </c>
      <c r="G112" s="176">
        <v>7609</v>
      </c>
      <c r="H112" s="176">
        <v>1479</v>
      </c>
      <c r="I112" s="176">
        <v>0</v>
      </c>
      <c r="J112" s="176">
        <v>0</v>
      </c>
      <c r="K112" s="186">
        <v>0</v>
      </c>
      <c r="L112" s="186">
        <v>0</v>
      </c>
      <c r="M112" s="186">
        <v>0</v>
      </c>
      <c r="N112" s="186">
        <v>0</v>
      </c>
      <c r="O112" s="186">
        <v>0</v>
      </c>
      <c r="P112" s="186">
        <v>0</v>
      </c>
      <c r="Q112" s="38"/>
    </row>
    <row r="113" spans="3:18">
      <c r="C113" s="51" t="s">
        <v>65</v>
      </c>
      <c r="E113" s="35" t="s">
        <v>129</v>
      </c>
      <c r="G113" s="176">
        <v>11066</v>
      </c>
      <c r="H113" s="176">
        <v>11779</v>
      </c>
      <c r="I113" s="176">
        <v>12595</v>
      </c>
      <c r="J113" s="176">
        <v>10297</v>
      </c>
      <c r="K113" s="13">
        <v>13831</v>
      </c>
      <c r="L113" s="13">
        <v>13949</v>
      </c>
      <c r="M113" s="13">
        <v>9019</v>
      </c>
      <c r="N113" s="13">
        <v>6709</v>
      </c>
      <c r="O113" s="13">
        <v>5589</v>
      </c>
      <c r="P113" s="13">
        <v>467</v>
      </c>
      <c r="Q113" s="38"/>
    </row>
    <row r="114" spans="3:18">
      <c r="C114" s="51" t="s">
        <v>66</v>
      </c>
      <c r="E114" s="35" t="s">
        <v>129</v>
      </c>
      <c r="G114" s="176">
        <v>0</v>
      </c>
      <c r="H114" s="176">
        <v>0</v>
      </c>
      <c r="I114" s="176">
        <v>29242</v>
      </c>
      <c r="J114" s="176">
        <v>49847</v>
      </c>
      <c r="K114" s="38">
        <f>Drivers!K35</f>
        <v>98223.832268045226</v>
      </c>
      <c r="L114" s="38">
        <f>Drivers!L35</f>
        <v>104117.26220412795</v>
      </c>
      <c r="M114" s="38">
        <f>Drivers!M35</f>
        <v>109323.12531433435</v>
      </c>
      <c r="N114" s="38">
        <f>Drivers!N35</f>
        <v>114789.28158005107</v>
      </c>
      <c r="O114" s="38">
        <f>Drivers!O35</f>
        <v>120528.74565905362</v>
      </c>
      <c r="P114" s="38">
        <f>Drivers!P35</f>
        <v>126555.1829420063</v>
      </c>
      <c r="Q114" s="38"/>
    </row>
    <row r="115" spans="3:18">
      <c r="C115" s="56" t="s">
        <v>67</v>
      </c>
      <c r="E115" s="35" t="s">
        <v>129</v>
      </c>
      <c r="G115" s="177">
        <v>0</v>
      </c>
      <c r="H115" s="177">
        <v>0</v>
      </c>
      <c r="I115" s="177">
        <v>0</v>
      </c>
      <c r="J115" s="177">
        <v>4280</v>
      </c>
      <c r="K115" s="55">
        <f t="shared" ref="K115:P115" si="50">K50*K122</f>
        <v>285.51072401563113</v>
      </c>
      <c r="L115" s="55">
        <f t="shared" si="50"/>
        <v>298.39499999999998</v>
      </c>
      <c r="M115" s="55">
        <f t="shared" si="50"/>
        <v>126</v>
      </c>
      <c r="N115" s="55">
        <f t="shared" si="50"/>
        <v>116</v>
      </c>
      <c r="O115" s="55">
        <f t="shared" si="50"/>
        <v>32</v>
      </c>
      <c r="P115" s="55">
        <f t="shared" si="50"/>
        <v>30.400000000000002</v>
      </c>
      <c r="Q115" s="38"/>
    </row>
    <row r="116" spans="3:18">
      <c r="C116" s="64" t="s">
        <v>68</v>
      </c>
      <c r="E116" s="39" t="s">
        <v>129</v>
      </c>
      <c r="G116" s="52">
        <f>SUM(G110:G115)</f>
        <v>181368</v>
      </c>
      <c r="H116" s="52">
        <f t="shared" ref="H116:P116" si="51">SUM(H110:H115)</f>
        <v>261210</v>
      </c>
      <c r="I116" s="52">
        <f t="shared" si="51"/>
        <v>280437</v>
      </c>
      <c r="J116" s="52">
        <f t="shared" si="51"/>
        <v>344153</v>
      </c>
      <c r="K116" s="52">
        <f t="shared" si="51"/>
        <v>417057.34349964117</v>
      </c>
      <c r="L116" s="52">
        <f t="shared" si="51"/>
        <v>372801.76374139433</v>
      </c>
      <c r="M116" s="52">
        <f t="shared" si="51"/>
        <v>333731.07502720744</v>
      </c>
      <c r="N116" s="52">
        <f t="shared" si="51"/>
        <v>314203.5165813503</v>
      </c>
      <c r="O116" s="52">
        <f t="shared" si="51"/>
        <v>341965.41327186918</v>
      </c>
      <c r="P116" s="52">
        <f t="shared" si="51"/>
        <v>332754.68732229702</v>
      </c>
      <c r="Q116" s="38"/>
    </row>
    <row r="117" spans="3:18">
      <c r="G117" s="38"/>
      <c r="H117" s="38"/>
      <c r="I117" s="38"/>
      <c r="J117" s="38"/>
      <c r="Q117" s="38"/>
    </row>
    <row r="118" spans="3:18">
      <c r="C118" s="51" t="s">
        <v>69</v>
      </c>
      <c r="E118" s="35" t="s">
        <v>129</v>
      </c>
      <c r="G118" s="176">
        <v>1467</v>
      </c>
      <c r="H118" s="176">
        <v>0</v>
      </c>
      <c r="I118" s="176">
        <v>0</v>
      </c>
      <c r="J118" s="176">
        <v>0</v>
      </c>
      <c r="K118" s="186">
        <v>0</v>
      </c>
      <c r="L118" s="186">
        <v>0</v>
      </c>
      <c r="M118" s="186">
        <v>0</v>
      </c>
      <c r="N118" s="186">
        <v>0</v>
      </c>
      <c r="O118" s="186">
        <v>0</v>
      </c>
      <c r="P118" s="186">
        <v>0</v>
      </c>
      <c r="Q118" s="38"/>
    </row>
    <row r="119" spans="3:18">
      <c r="C119" s="51" t="s">
        <v>70</v>
      </c>
      <c r="E119" s="35" t="s">
        <v>129</v>
      </c>
      <c r="G119" s="176">
        <v>30904</v>
      </c>
      <c r="H119" s="176">
        <v>19814</v>
      </c>
      <c r="I119" s="176">
        <v>30574</v>
      </c>
      <c r="J119" s="176">
        <v>30042</v>
      </c>
      <c r="K119" s="38">
        <f t="shared" ref="K119:P119" si="52">K49*K99</f>
        <v>24160.232923836764</v>
      </c>
      <c r="L119" s="38">
        <f t="shared" si="52"/>
        <v>24186.830518857056</v>
      </c>
      <c r="M119" s="38">
        <f t="shared" si="52"/>
        <v>22413.497189043406</v>
      </c>
      <c r="N119" s="38">
        <f t="shared" si="52"/>
        <v>20420.34385226513</v>
      </c>
      <c r="O119" s="38">
        <f t="shared" si="52"/>
        <v>19541.731867619201</v>
      </c>
      <c r="P119" s="38">
        <f t="shared" si="52"/>
        <v>18493.680725669084</v>
      </c>
      <c r="Q119" s="38"/>
      <c r="R119" s="38"/>
    </row>
    <row r="120" spans="3:18">
      <c r="C120" s="51" t="s">
        <v>71</v>
      </c>
      <c r="E120" s="35" t="s">
        <v>129</v>
      </c>
      <c r="G120" s="176">
        <v>33306</v>
      </c>
      <c r="H120" s="176">
        <v>31667</v>
      </c>
      <c r="I120" s="176">
        <v>30058</v>
      </c>
      <c r="J120" s="176">
        <v>30058</v>
      </c>
      <c r="K120" s="260">
        <v>30058</v>
      </c>
      <c r="L120" s="260">
        <v>30058</v>
      </c>
      <c r="M120" s="260">
        <v>30058</v>
      </c>
      <c r="N120" s="260">
        <v>30058</v>
      </c>
      <c r="O120" s="260">
        <v>30058</v>
      </c>
      <c r="P120" s="260">
        <v>30058</v>
      </c>
      <c r="Q120" s="38"/>
    </row>
    <row r="121" spans="3:18">
      <c r="C121" s="51" t="s">
        <v>72</v>
      </c>
      <c r="E121" s="35" t="s">
        <v>129</v>
      </c>
      <c r="G121" s="176">
        <v>351786</v>
      </c>
      <c r="H121" s="176">
        <v>875439</v>
      </c>
      <c r="I121" s="176">
        <v>862325</v>
      </c>
      <c r="J121" s="176">
        <v>819824</v>
      </c>
      <c r="K121" s="38">
        <f>Drivers!K36</f>
        <v>1136384.9436496694</v>
      </c>
      <c r="L121" s="38">
        <f>Drivers!L36</f>
        <v>1094669.3689455416</v>
      </c>
      <c r="M121" s="38">
        <f>Drivers!M36</f>
        <v>1049749.6030062072</v>
      </c>
      <c r="N121" s="38">
        <f>Drivers!N36</f>
        <v>996605.77064490609</v>
      </c>
      <c r="O121" s="38">
        <f>Drivers!O36</f>
        <v>937373.58650928992</v>
      </c>
      <c r="P121" s="38">
        <f>Drivers!P36</f>
        <v>873255.16797158052</v>
      </c>
      <c r="Q121" s="38"/>
      <c r="R121" s="38"/>
    </row>
    <row r="122" spans="3:18">
      <c r="C122" s="56" t="s">
        <v>73</v>
      </c>
      <c r="E122" s="35" t="s">
        <v>129</v>
      </c>
      <c r="G122" s="177">
        <v>1005</v>
      </c>
      <c r="H122" s="177">
        <v>4820</v>
      </c>
      <c r="I122" s="177">
        <v>12205</v>
      </c>
      <c r="J122" s="177">
        <v>17082</v>
      </c>
      <c r="K122" s="55">
        <f t="shared" ref="K122:P122" si="53">K65*K50</f>
        <v>9982.1461961571804</v>
      </c>
      <c r="L122" s="55">
        <f t="shared" si="53"/>
        <v>9946.5</v>
      </c>
      <c r="M122" s="55">
        <f t="shared" si="53"/>
        <v>6300</v>
      </c>
      <c r="N122" s="55">
        <f t="shared" si="53"/>
        <v>5800</v>
      </c>
      <c r="O122" s="55">
        <f t="shared" si="53"/>
        <v>3200</v>
      </c>
      <c r="P122" s="55">
        <f t="shared" si="53"/>
        <v>3040</v>
      </c>
      <c r="Q122" s="38"/>
      <c r="R122" s="38"/>
    </row>
    <row r="123" spans="3:18">
      <c r="C123" s="64" t="s">
        <v>74</v>
      </c>
      <c r="E123" s="39" t="s">
        <v>129</v>
      </c>
      <c r="G123" s="52">
        <f>SUM(G116,G118:G122)</f>
        <v>599836</v>
      </c>
      <c r="H123" s="52">
        <f t="shared" ref="H123:P123" si="54">SUM(H116,H118:H122)</f>
        <v>1192950</v>
      </c>
      <c r="I123" s="52">
        <f t="shared" si="54"/>
        <v>1215599</v>
      </c>
      <c r="J123" s="52">
        <f t="shared" si="54"/>
        <v>1241159</v>
      </c>
      <c r="K123" s="52">
        <f t="shared" si="54"/>
        <v>1617642.6662693045</v>
      </c>
      <c r="L123" s="52">
        <f t="shared" si="54"/>
        <v>1531662.4632057929</v>
      </c>
      <c r="M123" s="52">
        <f t="shared" si="54"/>
        <v>1442252.1752224579</v>
      </c>
      <c r="N123" s="52">
        <f t="shared" si="54"/>
        <v>1367087.6310785215</v>
      </c>
      <c r="O123" s="52">
        <f t="shared" si="54"/>
        <v>1332138.7316487783</v>
      </c>
      <c r="P123" s="52">
        <f t="shared" si="54"/>
        <v>1257601.5360195467</v>
      </c>
      <c r="Q123" s="38"/>
    </row>
    <row r="124" spans="3:18">
      <c r="G124" s="38"/>
      <c r="H124" s="38"/>
      <c r="I124" s="38"/>
      <c r="J124" s="38"/>
      <c r="Q124" s="38"/>
    </row>
    <row r="125" spans="3:18">
      <c r="G125" s="38"/>
      <c r="H125" s="38"/>
      <c r="I125" s="38"/>
      <c r="J125" s="38"/>
      <c r="Q125" s="38"/>
    </row>
    <row r="126" spans="3:18">
      <c r="C126" s="10" t="s">
        <v>75</v>
      </c>
      <c r="E126" s="35" t="s">
        <v>129</v>
      </c>
      <c r="G126" s="38">
        <v>0</v>
      </c>
      <c r="H126" s="38">
        <v>0</v>
      </c>
      <c r="I126" s="38">
        <v>0</v>
      </c>
      <c r="J126" s="38">
        <v>7000</v>
      </c>
      <c r="K126" s="186">
        <v>7000</v>
      </c>
      <c r="L126" s="186">
        <v>7000</v>
      </c>
      <c r="M126" s="186">
        <v>7000</v>
      </c>
      <c r="N126" s="186">
        <v>7000</v>
      </c>
      <c r="O126" s="186">
        <v>7000</v>
      </c>
      <c r="P126" s="186">
        <v>7000</v>
      </c>
      <c r="Q126" s="38"/>
    </row>
    <row r="127" spans="3:18">
      <c r="G127" s="38"/>
      <c r="H127" s="38"/>
      <c r="I127" s="38"/>
      <c r="J127" s="38"/>
      <c r="Q127" s="38"/>
    </row>
    <row r="128" spans="3:18">
      <c r="C128" s="25" t="s">
        <v>85</v>
      </c>
      <c r="D128" s="25"/>
      <c r="E128" s="25"/>
      <c r="F128" s="25"/>
      <c r="G128" s="261"/>
      <c r="H128" s="261"/>
      <c r="I128" s="261"/>
      <c r="J128" s="261"/>
      <c r="K128" s="25"/>
      <c r="L128" s="25"/>
      <c r="M128" s="25"/>
      <c r="N128" s="25"/>
      <c r="O128" s="25"/>
      <c r="P128" s="25"/>
      <c r="Q128" s="38"/>
    </row>
    <row r="129" spans="2:17">
      <c r="G129" s="38"/>
      <c r="H129" s="38"/>
      <c r="I129" s="38"/>
      <c r="J129" s="38"/>
      <c r="Q129" s="38"/>
    </row>
    <row r="130" spans="2:17">
      <c r="C130" s="51" t="s">
        <v>76</v>
      </c>
      <c r="E130" s="35" t="s">
        <v>129</v>
      </c>
      <c r="G130" s="176">
        <v>0</v>
      </c>
      <c r="H130" s="176">
        <v>0</v>
      </c>
      <c r="I130" s="176">
        <v>0</v>
      </c>
      <c r="J130" s="176">
        <v>0</v>
      </c>
      <c r="K130" s="260">
        <v>0</v>
      </c>
      <c r="L130" s="260">
        <v>0</v>
      </c>
      <c r="M130" s="260">
        <v>0</v>
      </c>
      <c r="N130" s="260">
        <v>0</v>
      </c>
      <c r="O130" s="260">
        <v>0</v>
      </c>
      <c r="P130" s="260">
        <v>0</v>
      </c>
      <c r="Q130" s="38"/>
    </row>
    <row r="131" spans="2:17">
      <c r="C131" s="51" t="s">
        <v>77</v>
      </c>
      <c r="E131" s="35" t="s">
        <v>129</v>
      </c>
      <c r="G131" s="176">
        <v>69</v>
      </c>
      <c r="H131" s="176">
        <v>70</v>
      </c>
      <c r="I131" s="176">
        <v>82</v>
      </c>
      <c r="J131" s="176">
        <v>92</v>
      </c>
      <c r="K131" s="260">
        <v>92</v>
      </c>
      <c r="L131" s="260">
        <v>92</v>
      </c>
      <c r="M131" s="260">
        <v>92</v>
      </c>
      <c r="N131" s="260">
        <v>92</v>
      </c>
      <c r="O131" s="260">
        <v>92</v>
      </c>
      <c r="P131" s="260">
        <v>92</v>
      </c>
      <c r="Q131" s="38"/>
    </row>
    <row r="132" spans="2:17">
      <c r="C132" s="51" t="s">
        <v>78</v>
      </c>
      <c r="E132" s="35" t="s">
        <v>129</v>
      </c>
      <c r="G132" s="176">
        <v>0</v>
      </c>
      <c r="H132" s="176">
        <v>0</v>
      </c>
      <c r="I132" s="176">
        <v>-432</v>
      </c>
      <c r="J132" s="176">
        <v>-3593</v>
      </c>
      <c r="K132" s="260">
        <v>-3593</v>
      </c>
      <c r="L132" s="260">
        <v>-3593</v>
      </c>
      <c r="M132" s="260">
        <v>-3593</v>
      </c>
      <c r="N132" s="260">
        <v>-3593</v>
      </c>
      <c r="O132" s="260">
        <v>-3593</v>
      </c>
      <c r="P132" s="260">
        <v>-3593</v>
      </c>
      <c r="Q132" s="38"/>
    </row>
    <row r="133" spans="2:17">
      <c r="C133" s="51" t="s">
        <v>79</v>
      </c>
      <c r="E133" s="35" t="s">
        <v>129</v>
      </c>
      <c r="G133" s="176">
        <v>0</v>
      </c>
      <c r="H133" s="176">
        <v>0</v>
      </c>
      <c r="I133" s="176">
        <v>432</v>
      </c>
      <c r="J133" s="176">
        <v>3593</v>
      </c>
      <c r="K133" s="260">
        <v>3593</v>
      </c>
      <c r="L133" s="260">
        <v>3593</v>
      </c>
      <c r="M133" s="260">
        <v>3593</v>
      </c>
      <c r="N133" s="260">
        <v>3593</v>
      </c>
      <c r="O133" s="260">
        <v>3593</v>
      </c>
      <c r="P133" s="260">
        <v>3593</v>
      </c>
      <c r="Q133" s="38"/>
    </row>
    <row r="134" spans="2:17">
      <c r="C134" s="51" t="s">
        <v>80</v>
      </c>
      <c r="E134" s="35" t="s">
        <v>129</v>
      </c>
      <c r="G134" s="176">
        <v>2997497</v>
      </c>
      <c r="H134" s="176">
        <v>3140019</v>
      </c>
      <c r="I134" s="176">
        <v>3662346</v>
      </c>
      <c r="J134" s="176">
        <v>4212692</v>
      </c>
      <c r="K134" s="260">
        <v>4212692</v>
      </c>
      <c r="L134" s="260">
        <v>4212692</v>
      </c>
      <c r="M134" s="260">
        <v>4212692</v>
      </c>
      <c r="N134" s="260">
        <v>4212692</v>
      </c>
      <c r="O134" s="260">
        <v>4212692</v>
      </c>
      <c r="P134" s="260">
        <v>4212692</v>
      </c>
      <c r="Q134" s="38"/>
    </row>
    <row r="135" spans="2:17">
      <c r="C135" s="51" t="s">
        <v>81</v>
      </c>
      <c r="E135" s="35" t="s">
        <v>129</v>
      </c>
      <c r="G135" s="176">
        <v>-1404</v>
      </c>
      <c r="H135" s="176">
        <v>-6573</v>
      </c>
      <c r="I135" s="176">
        <v>647</v>
      </c>
      <c r="J135" s="176">
        <v>-643</v>
      </c>
      <c r="K135" s="260">
        <v>-643</v>
      </c>
      <c r="L135" s="260">
        <v>-643</v>
      </c>
      <c r="M135" s="260">
        <v>-643</v>
      </c>
      <c r="N135" s="260">
        <v>-643</v>
      </c>
      <c r="O135" s="260">
        <v>-643</v>
      </c>
      <c r="P135" s="260">
        <v>-643</v>
      </c>
      <c r="Q135" s="38"/>
    </row>
    <row r="136" spans="2:17">
      <c r="C136" s="56" t="s">
        <v>82</v>
      </c>
      <c r="E136" s="35" t="s">
        <v>129</v>
      </c>
      <c r="G136" s="177">
        <v>-2073601</v>
      </c>
      <c r="H136" s="177">
        <v>-2781022</v>
      </c>
      <c r="I136" s="177">
        <v>-3387661</v>
      </c>
      <c r="J136" s="177">
        <v>-3956844</v>
      </c>
      <c r="K136" s="160">
        <f>J136+SUM(K147,K149,K155,K194)</f>
        <v>-4332349.4328808608</v>
      </c>
      <c r="L136" s="160">
        <f t="shared" ref="L136:P136" si="55">K136+SUM(L147,L149,L155,L194)</f>
        <v>-4588530.104224422</v>
      </c>
      <c r="M136" s="160">
        <f t="shared" si="55"/>
        <v>-4238823.7565983124</v>
      </c>
      <c r="N136" s="160">
        <f t="shared" si="55"/>
        <v>-3350236.4998222222</v>
      </c>
      <c r="O136" s="160">
        <f t="shared" si="55"/>
        <v>-2201639.0805772319</v>
      </c>
      <c r="P136" s="160">
        <f t="shared" si="55"/>
        <v>-536062.65727868816</v>
      </c>
      <c r="Q136" s="36"/>
    </row>
    <row r="137" spans="2:17">
      <c r="C137" s="64" t="s">
        <v>83</v>
      </c>
      <c r="E137" s="39" t="s">
        <v>129</v>
      </c>
      <c r="G137" s="52">
        <f>SUM(G130:G136)</f>
        <v>922561</v>
      </c>
      <c r="H137" s="52">
        <f t="shared" ref="H137:P137" si="56">SUM(H130:H136)</f>
        <v>352494</v>
      </c>
      <c r="I137" s="52">
        <f t="shared" si="56"/>
        <v>275414</v>
      </c>
      <c r="J137" s="52">
        <f t="shared" si="56"/>
        <v>255297</v>
      </c>
      <c r="K137" s="52">
        <f t="shared" si="56"/>
        <v>-120208.43288086075</v>
      </c>
      <c r="L137" s="52">
        <f t="shared" si="56"/>
        <v>-376389.10422442202</v>
      </c>
      <c r="M137" s="52">
        <f t="shared" si="56"/>
        <v>-26682.756598312408</v>
      </c>
      <c r="N137" s="52">
        <f t="shared" si="56"/>
        <v>861904.50017777784</v>
      </c>
      <c r="O137" s="52">
        <f t="shared" si="56"/>
        <v>2010501.9194227681</v>
      </c>
      <c r="P137" s="52">
        <f t="shared" si="56"/>
        <v>3676078.3427213118</v>
      </c>
    </row>
    <row r="138" spans="2:17">
      <c r="G138" s="38"/>
      <c r="H138" s="38"/>
      <c r="I138" s="38"/>
      <c r="J138" s="38"/>
    </row>
    <row r="139" spans="2:17">
      <c r="C139" s="64" t="s">
        <v>84</v>
      </c>
      <c r="E139" s="39" t="s">
        <v>129</v>
      </c>
      <c r="G139" s="52">
        <f>SUM(G123,G126,G137)</f>
        <v>1522397</v>
      </c>
      <c r="H139" s="52">
        <f t="shared" ref="H139:P139" si="57">SUM(H123,H126,H137)</f>
        <v>1545444</v>
      </c>
      <c r="I139" s="52">
        <f t="shared" si="57"/>
        <v>1491013</v>
      </c>
      <c r="J139" s="52">
        <f t="shared" si="57"/>
        <v>1503456</v>
      </c>
      <c r="K139" s="52">
        <f t="shared" si="57"/>
        <v>1504434.2333884437</v>
      </c>
      <c r="L139" s="52">
        <f t="shared" si="57"/>
        <v>1162273.3589813709</v>
      </c>
      <c r="M139" s="52">
        <f t="shared" si="57"/>
        <v>1422569.4186241454</v>
      </c>
      <c r="N139" s="52">
        <f t="shared" si="57"/>
        <v>2235992.1312562991</v>
      </c>
      <c r="O139" s="52">
        <f t="shared" si="57"/>
        <v>3349640.6510715466</v>
      </c>
      <c r="P139" s="52">
        <f t="shared" si="57"/>
        <v>4940679.8787408583</v>
      </c>
    </row>
    <row r="140" spans="2:17">
      <c r="G140" s="38"/>
      <c r="H140" s="38"/>
      <c r="I140" s="38"/>
      <c r="J140" s="38"/>
    </row>
    <row r="141" spans="2:17">
      <c r="C141" s="64" t="s">
        <v>86</v>
      </c>
      <c r="E141" s="39" t="s">
        <v>214</v>
      </c>
      <c r="G141" s="33">
        <f>G106-G139</f>
        <v>0</v>
      </c>
      <c r="H141" s="33">
        <f t="shared" ref="H141:P141" si="58">H106-H139</f>
        <v>0</v>
      </c>
      <c r="I141" s="33">
        <f t="shared" si="58"/>
        <v>0</v>
      </c>
      <c r="J141" s="33">
        <f t="shared" si="58"/>
        <v>0</v>
      </c>
      <c r="K141" s="33">
        <f t="shared" si="58"/>
        <v>0</v>
      </c>
      <c r="L141" s="33">
        <f t="shared" si="58"/>
        <v>0</v>
      </c>
      <c r="M141" s="33">
        <f t="shared" si="58"/>
        <v>0</v>
      </c>
      <c r="N141" s="33">
        <f t="shared" si="58"/>
        <v>0</v>
      </c>
      <c r="O141" s="33">
        <f t="shared" si="58"/>
        <v>0</v>
      </c>
      <c r="P141" s="33">
        <f t="shared" si="58"/>
        <v>0</v>
      </c>
    </row>
    <row r="143" spans="2:17">
      <c r="B143" s="1"/>
      <c r="C143" s="1"/>
      <c r="D143" s="1"/>
      <c r="E143" s="1"/>
      <c r="F143" s="1"/>
      <c r="G143" s="2"/>
      <c r="H143" s="2"/>
      <c r="I143" s="3" t="s">
        <v>0</v>
      </c>
      <c r="J143" s="2"/>
      <c r="K143" s="4"/>
      <c r="L143" s="2"/>
      <c r="M143" s="2"/>
      <c r="N143" s="2"/>
      <c r="O143" s="3" t="s">
        <v>1</v>
      </c>
      <c r="P143" s="2"/>
    </row>
    <row r="144" spans="2:17">
      <c r="B144" s="5" t="str">
        <f>"Cash Flow Statement - "&amp;Company_Name</f>
        <v>Cash Flow Statement - Ultragenyx Pharmaceutical Inc.</v>
      </c>
      <c r="C144" s="1"/>
      <c r="D144" s="1"/>
      <c r="E144" s="6" t="s">
        <v>2</v>
      </c>
      <c r="F144" s="7"/>
      <c r="G144" s="8">
        <f>G3</f>
        <v>44561</v>
      </c>
      <c r="H144" s="8">
        <f t="shared" ref="H144:P144" si="59">EOMONTH(G144,12)</f>
        <v>44926</v>
      </c>
      <c r="I144" s="8">
        <f t="shared" si="59"/>
        <v>45291</v>
      </c>
      <c r="J144" s="8">
        <f t="shared" si="59"/>
        <v>45657</v>
      </c>
      <c r="K144" s="9">
        <f t="shared" si="59"/>
        <v>46022</v>
      </c>
      <c r="L144" s="8">
        <f t="shared" si="59"/>
        <v>46387</v>
      </c>
      <c r="M144" s="8">
        <f t="shared" si="59"/>
        <v>46752</v>
      </c>
      <c r="N144" s="8">
        <f t="shared" si="59"/>
        <v>47118</v>
      </c>
      <c r="O144" s="8">
        <f t="shared" si="59"/>
        <v>47483</v>
      </c>
      <c r="P144" s="8">
        <f t="shared" si="59"/>
        <v>47848</v>
      </c>
    </row>
    <row r="145" spans="3:17">
      <c r="C145" s="25" t="s">
        <v>87</v>
      </c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</row>
    <row r="147" spans="3:17">
      <c r="C147" s="34" t="s">
        <v>42</v>
      </c>
      <c r="E147" s="39" t="s">
        <v>129</v>
      </c>
      <c r="G147" s="49">
        <f>G81</f>
        <v>-539265</v>
      </c>
      <c r="H147" s="49">
        <f t="shared" ref="H147:J147" si="60">H81</f>
        <v>-693415</v>
      </c>
      <c r="I147" s="49">
        <f t="shared" si="60"/>
        <v>-608118</v>
      </c>
      <c r="J147" s="49">
        <f t="shared" si="60"/>
        <v>-569183</v>
      </c>
      <c r="K147" s="49">
        <f>K81</f>
        <v>-586936.59</v>
      </c>
      <c r="L147" s="49">
        <f t="shared" ref="L147:P147" si="61">L81</f>
        <v>-451266.59560674342</v>
      </c>
      <c r="M147" s="49">
        <f t="shared" si="61"/>
        <v>212269.81895793619</v>
      </c>
      <c r="N147" s="49">
        <f t="shared" si="61"/>
        <v>787916.13947057317</v>
      </c>
      <c r="O147" s="49">
        <f t="shared" si="61"/>
        <v>1037373.2788725955</v>
      </c>
      <c r="P147" s="49">
        <f t="shared" si="61"/>
        <v>1571569.5257268518</v>
      </c>
    </row>
    <row r="148" spans="3:17">
      <c r="C148" s="51" t="s">
        <v>88</v>
      </c>
      <c r="G148" s="38"/>
      <c r="H148" s="38"/>
      <c r="I148" s="38"/>
      <c r="J148" s="38"/>
    </row>
    <row r="149" spans="3:17">
      <c r="C149" s="51" t="s">
        <v>89</v>
      </c>
      <c r="E149" s="35" t="s">
        <v>129</v>
      </c>
      <c r="G149" s="176">
        <v>104952</v>
      </c>
      <c r="H149" s="176">
        <v>130377</v>
      </c>
      <c r="I149" s="176">
        <v>135227</v>
      </c>
      <c r="J149" s="176">
        <v>158030</v>
      </c>
      <c r="K149" s="38">
        <f t="shared" ref="K149:P149" si="62">K54*K66</f>
        <v>155778.40711913907</v>
      </c>
      <c r="L149" s="38">
        <f t="shared" si="62"/>
        <v>133739.48676318213</v>
      </c>
      <c r="M149" s="38">
        <f t="shared" si="62"/>
        <v>74083.481793172919</v>
      </c>
      <c r="N149" s="38">
        <f t="shared" si="62"/>
        <v>40454.058711767211</v>
      </c>
      <c r="O149" s="38">
        <f t="shared" si="62"/>
        <v>51081.817130207521</v>
      </c>
      <c r="P149" s="38">
        <f t="shared" si="62"/>
        <v>32742.181018957712</v>
      </c>
    </row>
    <row r="150" spans="3:17">
      <c r="C150" s="51" t="s">
        <v>90</v>
      </c>
      <c r="E150" s="35" t="s">
        <v>129</v>
      </c>
      <c r="G150" s="176">
        <v>0</v>
      </c>
      <c r="H150" s="176">
        <v>75033</v>
      </c>
      <c r="I150" s="176">
        <v>0</v>
      </c>
      <c r="J150" s="176">
        <v>0</v>
      </c>
      <c r="K150" s="260">
        <v>0</v>
      </c>
      <c r="L150" s="260">
        <v>0</v>
      </c>
      <c r="M150" s="260">
        <v>0</v>
      </c>
      <c r="N150" s="260">
        <v>0</v>
      </c>
      <c r="O150" s="260">
        <v>0</v>
      </c>
      <c r="P150" s="260">
        <v>0</v>
      </c>
    </row>
    <row r="151" spans="3:17">
      <c r="C151" s="51" t="s">
        <v>91</v>
      </c>
      <c r="E151" s="35" t="s">
        <v>129</v>
      </c>
      <c r="G151" s="176">
        <v>6606</v>
      </c>
      <c r="H151" s="176">
        <v>2699</v>
      </c>
      <c r="I151" s="176">
        <v>-12842</v>
      </c>
      <c r="J151" s="176">
        <v>-12624</v>
      </c>
      <c r="K151" s="186">
        <f>K121-J121+K114-J114</f>
        <v>364937.77591771464</v>
      </c>
      <c r="L151" s="186">
        <f t="shared" ref="L151:P151" si="63">L121-K121+L114-K114</f>
        <v>-35822.144768045124</v>
      </c>
      <c r="M151" s="186">
        <f t="shared" si="63"/>
        <v>-39713.902829128012</v>
      </c>
      <c r="N151" s="186">
        <f t="shared" si="63"/>
        <v>-47677.676095584335</v>
      </c>
      <c r="O151" s="186">
        <f t="shared" si="63"/>
        <v>-53492.720056613631</v>
      </c>
      <c r="P151" s="186">
        <f t="shared" si="63"/>
        <v>-58091.981254756713</v>
      </c>
    </row>
    <row r="152" spans="3:17">
      <c r="C152" s="51" t="s">
        <v>92</v>
      </c>
      <c r="E152" s="35" t="s">
        <v>129</v>
      </c>
      <c r="G152" s="176">
        <v>13239</v>
      </c>
      <c r="H152" s="176">
        <v>18220</v>
      </c>
      <c r="I152" s="176">
        <v>26006</v>
      </c>
      <c r="J152" s="176">
        <v>35543</v>
      </c>
      <c r="K152" s="38">
        <f>Drivers!K385</f>
        <v>26778.119308354253</v>
      </c>
      <c r="L152" s="38">
        <f>Drivers!L385</f>
        <v>23395.807187943235</v>
      </c>
      <c r="M152" s="38">
        <f>Drivers!M385</f>
        <v>20120.142544616043</v>
      </c>
      <c r="N152" s="38">
        <f>Drivers!N385</f>
        <v>17128.565988465569</v>
      </c>
      <c r="O152" s="38">
        <f>Drivers!O385</f>
        <v>14677.002408388475</v>
      </c>
      <c r="P152" s="38">
        <f>Drivers!P385</f>
        <v>12614.671494527185</v>
      </c>
      <c r="Q152" s="38"/>
    </row>
    <row r="153" spans="3:17">
      <c r="C153" s="51" t="s">
        <v>36</v>
      </c>
      <c r="E153" s="35" t="s">
        <v>129</v>
      </c>
      <c r="G153" s="176">
        <v>42063</v>
      </c>
      <c r="H153" s="176">
        <v>19299</v>
      </c>
      <c r="I153" s="176">
        <v>-397</v>
      </c>
      <c r="J153" s="176">
        <v>1115</v>
      </c>
      <c r="K153" s="260">
        <v>0</v>
      </c>
      <c r="L153" s="260">
        <v>0</v>
      </c>
      <c r="M153" s="260">
        <v>0</v>
      </c>
      <c r="N153" s="260">
        <v>0</v>
      </c>
      <c r="O153" s="260">
        <v>0</v>
      </c>
      <c r="P153" s="260">
        <v>0</v>
      </c>
    </row>
    <row r="154" spans="3:17">
      <c r="C154" s="51" t="s">
        <v>28</v>
      </c>
      <c r="E154" s="35" t="s">
        <v>129</v>
      </c>
      <c r="G154" s="176">
        <v>-17951</v>
      </c>
      <c r="H154" s="176">
        <v>-21692</v>
      </c>
      <c r="I154" s="176">
        <v>-69364</v>
      </c>
      <c r="J154" s="176">
        <v>-100539</v>
      </c>
      <c r="K154" s="38"/>
      <c r="L154" s="38"/>
      <c r="M154" s="38"/>
      <c r="N154" s="38"/>
      <c r="O154" s="38"/>
      <c r="P154" s="38"/>
    </row>
    <row r="155" spans="3:17">
      <c r="C155" s="51" t="s">
        <v>37</v>
      </c>
      <c r="E155" s="35" t="s">
        <v>129</v>
      </c>
      <c r="G155" s="176">
        <v>29422</v>
      </c>
      <c r="H155" s="176">
        <v>43015</v>
      </c>
      <c r="I155" s="176">
        <v>66004</v>
      </c>
      <c r="J155" s="176">
        <v>63041</v>
      </c>
      <c r="K155" s="38">
        <f>Drivers!K42</f>
        <v>56735.75</v>
      </c>
      <c r="L155" s="38">
        <f>Drivers!L42</f>
        <v>62401.6875</v>
      </c>
      <c r="M155" s="38">
        <f>Drivers!M42</f>
        <v>64403.359375</v>
      </c>
      <c r="N155" s="38">
        <f>Drivers!N42</f>
        <v>61645.44921875</v>
      </c>
      <c r="O155" s="38">
        <f>Drivers!O42</f>
        <v>61296.5615234375</v>
      </c>
      <c r="P155" s="38">
        <f>Drivers!P42</f>
        <v>62436.764404296875</v>
      </c>
    </row>
    <row r="156" spans="3:17">
      <c r="C156" s="51" t="s">
        <v>93</v>
      </c>
      <c r="E156" s="35" t="s">
        <v>129</v>
      </c>
      <c r="G156" s="176">
        <v>235</v>
      </c>
      <c r="H156" s="176">
        <v>-230</v>
      </c>
      <c r="I156" s="176">
        <v>2300</v>
      </c>
      <c r="J156" s="176">
        <v>-3489</v>
      </c>
      <c r="K156" s="38">
        <f>J105-K105</f>
        <v>922.60536576496816</v>
      </c>
      <c r="L156" s="38">
        <f t="shared" ref="L156:P156" si="64">K105-L105</f>
        <v>9607.3946342350246</v>
      </c>
      <c r="M156" s="38">
        <f t="shared" si="64"/>
        <v>-7874.8648842319817</v>
      </c>
      <c r="N156" s="38">
        <f t="shared" si="64"/>
        <v>-3885.3549246273542</v>
      </c>
      <c r="O156" s="38">
        <f t="shared" si="64"/>
        <v>3227.7991219918404</v>
      </c>
      <c r="P156" s="38">
        <f t="shared" si="64"/>
        <v>11110.085775417283</v>
      </c>
    </row>
    <row r="157" spans="3:17">
      <c r="C157" s="51"/>
      <c r="E157" s="35"/>
      <c r="G157" s="176"/>
      <c r="H157" s="176"/>
      <c r="I157" s="176"/>
      <c r="J157" s="176"/>
    </row>
    <row r="158" spans="3:17">
      <c r="C158" s="51" t="s">
        <v>94</v>
      </c>
      <c r="E158" s="35"/>
      <c r="G158" s="176"/>
      <c r="H158" s="176"/>
      <c r="I158" s="176"/>
      <c r="J158" s="176"/>
    </row>
    <row r="159" spans="3:17">
      <c r="C159" s="51" t="s">
        <v>95</v>
      </c>
      <c r="E159" s="35" t="s">
        <v>129</v>
      </c>
      <c r="G159" s="176">
        <v>-5432</v>
      </c>
      <c r="H159" s="176">
        <v>-12068</v>
      </c>
      <c r="I159" s="176">
        <v>-22778</v>
      </c>
      <c r="J159" s="176">
        <v>-33598</v>
      </c>
      <c r="K159" s="38">
        <f>J94-K94</f>
        <v>-44144.205479452037</v>
      </c>
      <c r="L159" s="38">
        <f t="shared" ref="L159:P159" si="65">K94-L94</f>
        <v>-38164.38356164383</v>
      </c>
      <c r="M159" s="38">
        <f t="shared" si="65"/>
        <v>-91903.443264705711</v>
      </c>
      <c r="N159" s="38">
        <f t="shared" si="65"/>
        <v>-53223.141513101931</v>
      </c>
      <c r="O159" s="38">
        <f t="shared" si="65"/>
        <v>-38687.976690751791</v>
      </c>
      <c r="P159" s="38">
        <f t="shared" si="65"/>
        <v>-53473.352126545273</v>
      </c>
    </row>
    <row r="160" spans="3:17">
      <c r="C160" s="51" t="s">
        <v>49</v>
      </c>
      <c r="E160" s="35" t="s">
        <v>129</v>
      </c>
      <c r="G160" s="176">
        <v>-3117</v>
      </c>
      <c r="H160" s="176">
        <v>-9701</v>
      </c>
      <c r="I160" s="176">
        <v>-6930</v>
      </c>
      <c r="J160" s="176">
        <v>-11207</v>
      </c>
      <c r="K160" s="38">
        <f>J95-K95</f>
        <v>-3947.6668382865682</v>
      </c>
      <c r="L160" s="38">
        <f t="shared" ref="L160:P160" si="66">K95-L95</f>
        <v>-9319.5409819461929</v>
      </c>
      <c r="M160" s="38">
        <f t="shared" si="66"/>
        <v>-42207.254212531923</v>
      </c>
      <c r="N160" s="38">
        <f t="shared" si="66"/>
        <v>-41615.974184774212</v>
      </c>
      <c r="O160" s="38">
        <f t="shared" si="66"/>
        <v>-49373.339220771362</v>
      </c>
      <c r="P160" s="38">
        <f t="shared" si="66"/>
        <v>-56733.496997308772</v>
      </c>
    </row>
    <row r="161" spans="3:16">
      <c r="C161" s="51" t="s">
        <v>51</v>
      </c>
      <c r="E161" s="35" t="s">
        <v>129</v>
      </c>
      <c r="G161" s="176">
        <v>-29508</v>
      </c>
      <c r="H161" s="176">
        <v>3798</v>
      </c>
      <c r="I161" s="176">
        <v>15325</v>
      </c>
      <c r="J161" s="176">
        <v>11731</v>
      </c>
      <c r="K161" s="38">
        <f>J96-K96</f>
        <v>-90</v>
      </c>
      <c r="L161" s="38">
        <f t="shared" ref="L161:P161" si="67">K96-L96</f>
        <v>3130</v>
      </c>
      <c r="M161" s="38">
        <f t="shared" si="67"/>
        <v>1235.0810694608081</v>
      </c>
      <c r="N161" s="38">
        <f t="shared" si="67"/>
        <v>4059.8090261095203</v>
      </c>
      <c r="O161" s="38">
        <f t="shared" si="67"/>
        <v>11727.6363421405</v>
      </c>
      <c r="P161" s="38">
        <f t="shared" si="67"/>
        <v>-4558.6938934359387</v>
      </c>
    </row>
    <row r="162" spans="3:16">
      <c r="C162" s="51" t="s">
        <v>96</v>
      </c>
      <c r="E162" s="35" t="s">
        <v>129</v>
      </c>
      <c r="G162" s="176">
        <v>32313</v>
      </c>
      <c r="H162" s="176">
        <v>79845</v>
      </c>
      <c r="I162" s="176">
        <v>901</v>
      </c>
      <c r="J162" s="176">
        <v>46992</v>
      </c>
      <c r="K162" s="38">
        <f>K110-J110</f>
        <v>19416.866448138106</v>
      </c>
      <c r="L162" s="38">
        <f t="shared" ref="L162:P162" si="68">L110-K110</f>
        <v>-1022.1815166312517</v>
      </c>
      <c r="M162" s="38">
        <f t="shared" si="68"/>
        <v>28364.191067946929</v>
      </c>
      <c r="N162" s="38">
        <f t="shared" si="68"/>
        <v>19255.976146217276</v>
      </c>
      <c r="O162" s="38">
        <f t="shared" si="68"/>
        <v>17148.166585934901</v>
      </c>
      <c r="P162" s="38">
        <f t="shared" si="68"/>
        <v>13895.597464148072</v>
      </c>
    </row>
    <row r="163" spans="3:16">
      <c r="C163" s="51" t="s">
        <v>339</v>
      </c>
      <c r="E163" s="35" t="s">
        <v>129</v>
      </c>
      <c r="G163" s="176"/>
      <c r="H163" s="176"/>
      <c r="I163" s="176"/>
      <c r="J163" s="176"/>
      <c r="K163" s="38">
        <f>K111-J111</f>
        <v>5571.1340594422072</v>
      </c>
      <c r="L163" s="38">
        <f t="shared" ref="L163:P163" si="69">L111-K111</f>
        <v>-49257.712453682732</v>
      </c>
      <c r="M163" s="38">
        <f t="shared" si="69"/>
        <v>-67538.347892340156</v>
      </c>
      <c r="N163" s="38">
        <f t="shared" si="69"/>
        <v>-41929.690857791153</v>
      </c>
      <c r="O163" s="38">
        <f t="shared" si="69"/>
        <v>6078.2660255814408</v>
      </c>
      <c r="P163" s="38">
        <f t="shared" si="69"/>
        <v>-24009.160696672901</v>
      </c>
    </row>
    <row r="164" spans="3:16">
      <c r="C164" s="51" t="s">
        <v>340</v>
      </c>
      <c r="E164" s="35" t="s">
        <v>129</v>
      </c>
      <c r="G164" s="176"/>
      <c r="H164" s="176"/>
      <c r="I164" s="176"/>
      <c r="J164" s="176"/>
      <c r="K164" s="38">
        <f>K119-J119+K113-J113</f>
        <v>-2347.7670761632362</v>
      </c>
      <c r="L164" s="38">
        <f t="shared" ref="L164:P164" si="70">L119-K119+L113-K113</f>
        <v>144.59759502029192</v>
      </c>
      <c r="M164" s="38">
        <f t="shared" si="70"/>
        <v>-6703.3333298136495</v>
      </c>
      <c r="N164" s="38">
        <f t="shared" si="70"/>
        <v>-4303.1533367782758</v>
      </c>
      <c r="O164" s="38">
        <f t="shared" si="70"/>
        <v>-1998.6119846459296</v>
      </c>
      <c r="P164" s="38">
        <f t="shared" si="70"/>
        <v>-6170.0511419501163</v>
      </c>
    </row>
    <row r="165" spans="3:16">
      <c r="C165" s="51" t="s">
        <v>97</v>
      </c>
      <c r="E165" s="35" t="s">
        <v>129</v>
      </c>
      <c r="G165" s="176">
        <v>-57492</v>
      </c>
      <c r="H165" s="176">
        <v>0</v>
      </c>
      <c r="I165" s="176">
        <v>0</v>
      </c>
      <c r="J165" s="176">
        <v>0</v>
      </c>
      <c r="K165" s="176">
        <v>0</v>
      </c>
      <c r="L165" s="176">
        <v>0</v>
      </c>
      <c r="M165" s="176">
        <v>0</v>
      </c>
      <c r="N165" s="176">
        <v>0</v>
      </c>
      <c r="O165" s="176">
        <v>0</v>
      </c>
      <c r="P165" s="176">
        <v>0</v>
      </c>
    </row>
    <row r="166" spans="3:16">
      <c r="C166" s="51" t="s">
        <v>71</v>
      </c>
      <c r="E166" s="35" t="s">
        <v>129</v>
      </c>
      <c r="G166" s="176">
        <v>0</v>
      </c>
      <c r="H166" s="176">
        <v>-1639</v>
      </c>
      <c r="I166" s="176">
        <v>-1619</v>
      </c>
      <c r="J166" s="176">
        <v>0</v>
      </c>
      <c r="K166" s="38">
        <f>K120-J120</f>
        <v>0</v>
      </c>
      <c r="L166" s="38">
        <f t="shared" ref="L166:P166" si="71">L120-K120</f>
        <v>0</v>
      </c>
      <c r="M166" s="38">
        <f t="shared" si="71"/>
        <v>0</v>
      </c>
      <c r="N166" s="38">
        <f t="shared" si="71"/>
        <v>0</v>
      </c>
      <c r="O166" s="38">
        <f t="shared" si="71"/>
        <v>0</v>
      </c>
      <c r="P166" s="38">
        <f t="shared" si="71"/>
        <v>0</v>
      </c>
    </row>
    <row r="167" spans="3:16">
      <c r="C167" s="56" t="s">
        <v>341</v>
      </c>
      <c r="E167" s="35" t="s">
        <v>129</v>
      </c>
      <c r="G167" s="177"/>
      <c r="H167" s="177"/>
      <c r="I167" s="177"/>
      <c r="J167" s="177"/>
      <c r="K167" s="55">
        <f>K122-J122+K115-J115</f>
        <v>-11094.343079827187</v>
      </c>
      <c r="L167" s="55">
        <f t="shared" ref="L167:P167" si="72">L122-K122+L115-K115</f>
        <v>-22.761920172811529</v>
      </c>
      <c r="M167" s="55">
        <f t="shared" si="72"/>
        <v>-3818.895</v>
      </c>
      <c r="N167" s="55">
        <f t="shared" si="72"/>
        <v>-510</v>
      </c>
      <c r="O167" s="55">
        <f t="shared" si="72"/>
        <v>-2684</v>
      </c>
      <c r="P167" s="55">
        <f t="shared" si="72"/>
        <v>-161.6</v>
      </c>
    </row>
    <row r="168" spans="3:16">
      <c r="C168" s="64" t="s">
        <v>98</v>
      </c>
      <c r="E168" s="39" t="s">
        <v>129</v>
      </c>
      <c r="G168" s="52">
        <f>SUM(G147:G166)</f>
        <v>-423935</v>
      </c>
      <c r="H168" s="52">
        <f t="shared" ref="H168:J168" si="73">SUM(H147:H166)</f>
        <v>-366459</v>
      </c>
      <c r="I168" s="52">
        <f t="shared" si="73"/>
        <v>-476285</v>
      </c>
      <c r="J168" s="52">
        <f t="shared" si="73"/>
        <v>-414188</v>
      </c>
      <c r="K168" s="52">
        <f>SUM(K147:K167)</f>
        <v>-18419.914255175729</v>
      </c>
      <c r="L168" s="52">
        <f t="shared" ref="L168:P168" si="74">SUM(L147:L167)</f>
        <v>-352456.34712848469</v>
      </c>
      <c r="M168" s="52">
        <f t="shared" si="74"/>
        <v>140716.0333953815</v>
      </c>
      <c r="N168" s="52">
        <f t="shared" si="74"/>
        <v>737315.00764922565</v>
      </c>
      <c r="O168" s="52">
        <f t="shared" si="74"/>
        <v>1056373.8800574949</v>
      </c>
      <c r="P168" s="52">
        <f t="shared" si="74"/>
        <v>1501170.4897735291</v>
      </c>
    </row>
    <row r="169" spans="3:16">
      <c r="C169" s="64"/>
      <c r="G169" s="52"/>
      <c r="H169" s="52"/>
      <c r="I169" s="52"/>
      <c r="J169" s="52"/>
    </row>
    <row r="170" spans="3:16">
      <c r="C170" s="25" t="s">
        <v>119</v>
      </c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3:16">
      <c r="G171" s="38"/>
      <c r="H171" s="38"/>
      <c r="I171" s="38"/>
      <c r="J171" s="38"/>
    </row>
    <row r="172" spans="3:16">
      <c r="C172" s="51" t="s">
        <v>99</v>
      </c>
      <c r="E172" s="35" t="s">
        <v>129</v>
      </c>
      <c r="G172" s="176">
        <v>-73093</v>
      </c>
      <c r="H172" s="176">
        <v>-116123</v>
      </c>
      <c r="I172" s="176">
        <v>-44267</v>
      </c>
      <c r="J172" s="176">
        <v>-7491</v>
      </c>
      <c r="K172" s="38">
        <f>-Drivers!K370</f>
        <v>-6980</v>
      </c>
      <c r="L172" s="38">
        <f>-Drivers!L370</f>
        <v>-6631</v>
      </c>
      <c r="M172" s="38">
        <f>-Drivers!M370</f>
        <v>-3150</v>
      </c>
      <c r="N172" s="38">
        <f>-Drivers!N370</f>
        <v>-2900</v>
      </c>
      <c r="O172" s="38">
        <f>-Drivers!O370</f>
        <v>-3200</v>
      </c>
      <c r="P172" s="38">
        <f>-Drivers!P370</f>
        <v>-3040</v>
      </c>
    </row>
    <row r="173" spans="3:16">
      <c r="C173" s="51" t="s">
        <v>100</v>
      </c>
      <c r="E173" s="35" t="s">
        <v>129</v>
      </c>
      <c r="G173" s="176">
        <v>0</v>
      </c>
      <c r="H173" s="176">
        <v>-75025</v>
      </c>
      <c r="I173" s="176">
        <v>0</v>
      </c>
      <c r="J173" s="176">
        <v>0</v>
      </c>
      <c r="K173" s="260">
        <v>0</v>
      </c>
      <c r="L173" s="260">
        <v>0</v>
      </c>
      <c r="M173" s="260">
        <v>0</v>
      </c>
      <c r="N173" s="260">
        <v>0</v>
      </c>
      <c r="O173" s="260">
        <v>0</v>
      </c>
      <c r="P173" s="260">
        <v>0</v>
      </c>
    </row>
    <row r="174" spans="3:16">
      <c r="C174" s="51" t="s">
        <v>101</v>
      </c>
      <c r="E174" s="35" t="s">
        <v>129</v>
      </c>
      <c r="G174" s="176">
        <v>0</v>
      </c>
      <c r="H174" s="176">
        <v>0</v>
      </c>
      <c r="I174" s="176">
        <v>0</v>
      </c>
      <c r="J174" s="176">
        <v>0</v>
      </c>
      <c r="K174" s="260">
        <v>0</v>
      </c>
      <c r="L174" s="260">
        <v>0</v>
      </c>
      <c r="M174" s="260">
        <v>0</v>
      </c>
      <c r="N174" s="260">
        <v>0</v>
      </c>
      <c r="O174" s="260">
        <v>0</v>
      </c>
      <c r="P174" s="260">
        <v>0</v>
      </c>
    </row>
    <row r="175" spans="3:16">
      <c r="C175" s="51" t="s">
        <v>338</v>
      </c>
      <c r="E175" s="35" t="s">
        <v>129</v>
      </c>
      <c r="G175" s="176">
        <v>-201180</v>
      </c>
      <c r="H175" s="176">
        <v>-79754</v>
      </c>
      <c r="I175" s="176">
        <v>219815</v>
      </c>
      <c r="J175" s="176">
        <v>4659</v>
      </c>
      <c r="K175" s="38">
        <f>J93-K93+J101-K101</f>
        <v>-86819.997593274282</v>
      </c>
      <c r="L175" s="38">
        <f t="shared" ref="L175:P175" si="75">K93-L93+K101-L101</f>
        <v>13045.516892271116</v>
      </c>
      <c r="M175" s="38">
        <f t="shared" si="75"/>
        <v>71711.754695305077</v>
      </c>
      <c r="N175" s="38">
        <f t="shared" si="75"/>
        <v>-389.61739341051725</v>
      </c>
      <c r="O175" s="38">
        <f t="shared" si="75"/>
        <v>18302.905839571933</v>
      </c>
      <c r="P175" s="38">
        <f t="shared" si="75"/>
        <v>25141.977349743</v>
      </c>
    </row>
    <row r="176" spans="3:16">
      <c r="C176" s="51" t="s">
        <v>102</v>
      </c>
      <c r="E176" s="35" t="s">
        <v>129</v>
      </c>
      <c r="G176" s="176">
        <v>79843</v>
      </c>
      <c r="H176" s="176">
        <v>10094</v>
      </c>
      <c r="I176" s="176">
        <v>0</v>
      </c>
      <c r="J176" s="176">
        <v>0</v>
      </c>
      <c r="K176" s="260">
        <v>0</v>
      </c>
      <c r="L176" s="260">
        <v>0</v>
      </c>
      <c r="M176" s="260">
        <v>0</v>
      </c>
      <c r="N176" s="260">
        <v>0</v>
      </c>
      <c r="O176" s="260">
        <v>0</v>
      </c>
      <c r="P176" s="260">
        <v>0</v>
      </c>
    </row>
    <row r="177" spans="3:16">
      <c r="C177" s="51" t="s">
        <v>103</v>
      </c>
      <c r="E177" s="35" t="s">
        <v>129</v>
      </c>
      <c r="G177" s="176">
        <v>0</v>
      </c>
      <c r="H177" s="176">
        <v>-30000</v>
      </c>
      <c r="I177" s="176">
        <v>-2500</v>
      </c>
      <c r="J177" s="176">
        <v>-12500</v>
      </c>
      <c r="K177" s="260">
        <v>0</v>
      </c>
      <c r="L177" s="260">
        <v>0</v>
      </c>
      <c r="M177" s="260">
        <v>0</v>
      </c>
      <c r="N177" s="260">
        <v>0</v>
      </c>
      <c r="O177" s="260">
        <v>0</v>
      </c>
      <c r="P177" s="260">
        <v>0</v>
      </c>
    </row>
    <row r="178" spans="3:16">
      <c r="C178" s="56" t="s">
        <v>93</v>
      </c>
      <c r="E178" s="35" t="s">
        <v>129</v>
      </c>
      <c r="G178" s="177">
        <v>-942</v>
      </c>
      <c r="H178" s="177">
        <v>-844</v>
      </c>
      <c r="I178" s="177">
        <v>-5048</v>
      </c>
      <c r="J178" s="177">
        <v>-2436</v>
      </c>
      <c r="K178" s="72"/>
      <c r="L178" s="72"/>
      <c r="M178" s="72"/>
      <c r="N178" s="72"/>
      <c r="O178" s="72"/>
      <c r="P178" s="72"/>
    </row>
    <row r="179" spans="3:16">
      <c r="C179" s="64" t="s">
        <v>104</v>
      </c>
      <c r="E179" s="39" t="s">
        <v>129</v>
      </c>
      <c r="G179" s="52">
        <f>SUM(G172:G178)</f>
        <v>-195372</v>
      </c>
      <c r="H179" s="52">
        <f>SUM(H172:H178)</f>
        <v>-291652</v>
      </c>
      <c r="I179" s="52">
        <f>SUM(I172:I178)</f>
        <v>168000</v>
      </c>
      <c r="J179" s="52">
        <f>SUM(J172:J178)</f>
        <v>-17768</v>
      </c>
      <c r="K179" s="52">
        <f t="shared" ref="K179:P179" si="76">SUM(K172:K178)</f>
        <v>-93799.997593274282</v>
      </c>
      <c r="L179" s="52">
        <f t="shared" si="76"/>
        <v>6414.5168922711164</v>
      </c>
      <c r="M179" s="52">
        <f t="shared" si="76"/>
        <v>68561.754695305077</v>
      </c>
      <c r="N179" s="52">
        <f t="shared" si="76"/>
        <v>-3289.6173934105173</v>
      </c>
      <c r="O179" s="52">
        <f t="shared" si="76"/>
        <v>15102.905839571933</v>
      </c>
      <c r="P179" s="52">
        <f t="shared" si="76"/>
        <v>22101.977349743</v>
      </c>
    </row>
    <row r="180" spans="3:16">
      <c r="G180" s="38"/>
      <c r="H180" s="38"/>
      <c r="I180" s="38"/>
      <c r="J180" s="38"/>
    </row>
    <row r="181" spans="3:16">
      <c r="C181" s="25" t="s">
        <v>120</v>
      </c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3:16">
      <c r="G182" s="38"/>
      <c r="H182" s="38"/>
      <c r="I182" s="38"/>
      <c r="J182" s="38"/>
    </row>
    <row r="183" spans="3:16">
      <c r="C183" s="51" t="s">
        <v>105</v>
      </c>
      <c r="E183" s="35" t="s">
        <v>129</v>
      </c>
      <c r="G183" s="176">
        <v>0</v>
      </c>
      <c r="H183" s="176">
        <v>490950</v>
      </c>
      <c r="I183" s="176">
        <v>0</v>
      </c>
      <c r="J183" s="176">
        <v>0</v>
      </c>
      <c r="K183" s="260">
        <v>0</v>
      </c>
      <c r="L183" s="260">
        <f>Drivers!L41</f>
        <v>0</v>
      </c>
      <c r="M183" s="260">
        <f>Drivers!M41</f>
        <v>0</v>
      </c>
      <c r="N183" s="260">
        <f>Drivers!N41</f>
        <v>0</v>
      </c>
      <c r="O183" s="260">
        <f>Drivers!O41</f>
        <v>0</v>
      </c>
      <c r="P183" s="260">
        <f>Drivers!P41</f>
        <v>0</v>
      </c>
    </row>
    <row r="184" spans="3:16">
      <c r="C184" s="51" t="s">
        <v>106</v>
      </c>
      <c r="E184" s="35" t="s">
        <v>129</v>
      </c>
      <c r="G184" s="176">
        <v>0</v>
      </c>
      <c r="H184" s="176">
        <v>0</v>
      </c>
      <c r="I184" s="176">
        <v>326456</v>
      </c>
      <c r="J184" s="176">
        <v>380983</v>
      </c>
      <c r="K184" s="260">
        <v>0</v>
      </c>
      <c r="L184" s="260">
        <v>0</v>
      </c>
      <c r="M184" s="260">
        <v>0</v>
      </c>
      <c r="N184" s="260">
        <v>0</v>
      </c>
      <c r="O184" s="260">
        <v>0</v>
      </c>
      <c r="P184" s="260">
        <v>0</v>
      </c>
    </row>
    <row r="185" spans="3:16">
      <c r="C185" s="51" t="s">
        <v>107</v>
      </c>
      <c r="E185" s="35" t="s">
        <v>129</v>
      </c>
      <c r="G185" s="176">
        <v>0</v>
      </c>
      <c r="H185" s="176">
        <v>0</v>
      </c>
      <c r="I185" s="176">
        <v>0</v>
      </c>
      <c r="J185" s="176">
        <v>0</v>
      </c>
      <c r="K185" s="260">
        <v>0</v>
      </c>
      <c r="L185" s="260">
        <v>0</v>
      </c>
      <c r="M185" s="260">
        <v>0</v>
      </c>
      <c r="N185" s="260">
        <v>0</v>
      </c>
      <c r="O185" s="260">
        <v>0</v>
      </c>
      <c r="P185" s="260">
        <v>0</v>
      </c>
    </row>
    <row r="186" spans="3:16">
      <c r="C186" s="51" t="s">
        <v>108</v>
      </c>
      <c r="E186" s="35" t="s">
        <v>129</v>
      </c>
      <c r="G186" s="176">
        <v>0</v>
      </c>
      <c r="H186" s="176">
        <v>0</v>
      </c>
      <c r="I186" s="176">
        <v>0</v>
      </c>
      <c r="J186" s="176">
        <v>0</v>
      </c>
      <c r="K186" s="260">
        <v>0</v>
      </c>
      <c r="L186" s="260">
        <v>0</v>
      </c>
      <c r="M186" s="260">
        <v>0</v>
      </c>
      <c r="N186" s="260">
        <v>0</v>
      </c>
      <c r="O186" s="260">
        <v>0</v>
      </c>
      <c r="P186" s="260">
        <v>0</v>
      </c>
    </row>
    <row r="187" spans="3:16">
      <c r="C187" s="51" t="s">
        <v>109</v>
      </c>
      <c r="E187" s="35" t="s">
        <v>129</v>
      </c>
      <c r="G187" s="176">
        <v>78943</v>
      </c>
      <c r="H187" s="176">
        <v>0</v>
      </c>
      <c r="I187" s="176">
        <v>53299</v>
      </c>
      <c r="J187" s="176">
        <v>0</v>
      </c>
      <c r="K187" s="260">
        <v>0</v>
      </c>
      <c r="L187" s="260">
        <v>0</v>
      </c>
      <c r="M187" s="260">
        <v>0</v>
      </c>
      <c r="N187" s="260">
        <v>0</v>
      </c>
      <c r="O187" s="260">
        <v>0</v>
      </c>
      <c r="P187" s="260">
        <v>0</v>
      </c>
    </row>
    <row r="188" spans="3:16">
      <c r="C188" s="51" t="s">
        <v>110</v>
      </c>
      <c r="E188" s="35" t="s">
        <v>129</v>
      </c>
      <c r="G188" s="176">
        <v>40101</v>
      </c>
      <c r="H188" s="176">
        <v>10813</v>
      </c>
      <c r="I188" s="176">
        <v>0</v>
      </c>
      <c r="J188" s="176">
        <v>0</v>
      </c>
      <c r="K188" s="260">
        <v>0</v>
      </c>
      <c r="L188" s="260">
        <v>0</v>
      </c>
      <c r="M188" s="260">
        <v>0</v>
      </c>
      <c r="N188" s="260">
        <v>0</v>
      </c>
      <c r="O188" s="260">
        <v>0</v>
      </c>
      <c r="P188" s="260">
        <v>0</v>
      </c>
    </row>
    <row r="189" spans="3:16">
      <c r="C189" s="51" t="s">
        <v>111</v>
      </c>
      <c r="E189" s="35" t="s">
        <v>129</v>
      </c>
      <c r="G189" s="176">
        <v>0</v>
      </c>
      <c r="H189" s="176">
        <v>0</v>
      </c>
      <c r="I189" s="176">
        <v>8415</v>
      </c>
      <c r="J189" s="176">
        <v>11258</v>
      </c>
      <c r="K189" s="260">
        <v>0</v>
      </c>
      <c r="L189" s="260">
        <v>0</v>
      </c>
      <c r="M189" s="260">
        <v>0</v>
      </c>
      <c r="N189" s="260">
        <v>0</v>
      </c>
      <c r="O189" s="260">
        <v>0</v>
      </c>
      <c r="P189" s="260">
        <v>0</v>
      </c>
    </row>
    <row r="190" spans="3:16">
      <c r="C190" s="51" t="s">
        <v>112</v>
      </c>
      <c r="E190" s="35" t="s">
        <v>129</v>
      </c>
      <c r="G190" s="176">
        <v>0</v>
      </c>
      <c r="H190" s="176">
        <v>0</v>
      </c>
      <c r="I190" s="176">
        <v>0</v>
      </c>
      <c r="J190" s="176">
        <v>7000</v>
      </c>
      <c r="K190" s="260">
        <v>0</v>
      </c>
      <c r="L190" s="260">
        <v>0</v>
      </c>
      <c r="M190" s="260">
        <v>0</v>
      </c>
      <c r="N190" s="260">
        <v>0</v>
      </c>
      <c r="O190" s="260">
        <v>0</v>
      </c>
      <c r="P190" s="260">
        <v>0</v>
      </c>
    </row>
    <row r="191" spans="3:16">
      <c r="C191" s="56" t="s">
        <v>93</v>
      </c>
      <c r="E191" s="35" t="s">
        <v>129</v>
      </c>
      <c r="G191" s="177">
        <v>-492</v>
      </c>
      <c r="H191" s="177">
        <v>-555</v>
      </c>
      <c r="I191" s="177">
        <v>-28</v>
      </c>
      <c r="J191" s="177">
        <v>0</v>
      </c>
      <c r="K191" s="177">
        <v>0</v>
      </c>
      <c r="L191" s="177">
        <v>0</v>
      </c>
      <c r="M191" s="177">
        <v>0</v>
      </c>
      <c r="N191" s="177">
        <v>0</v>
      </c>
      <c r="O191" s="177">
        <v>0</v>
      </c>
      <c r="P191" s="177">
        <v>0</v>
      </c>
    </row>
    <row r="192" spans="3:16">
      <c r="C192" s="64" t="s">
        <v>113</v>
      </c>
      <c r="E192" s="39" t="s">
        <v>129</v>
      </c>
      <c r="G192" s="52">
        <f>SUM(G183:G191)</f>
        <v>118552</v>
      </c>
      <c r="H192" s="52">
        <f t="shared" ref="H192:P192" si="77">SUM(H183:H191)</f>
        <v>501208</v>
      </c>
      <c r="I192" s="52">
        <f t="shared" si="77"/>
        <v>388142</v>
      </c>
      <c r="J192" s="52">
        <f t="shared" si="77"/>
        <v>399241</v>
      </c>
      <c r="K192" s="52">
        <f t="shared" si="77"/>
        <v>0</v>
      </c>
      <c r="L192" s="52">
        <f t="shared" si="77"/>
        <v>0</v>
      </c>
      <c r="M192" s="52">
        <f t="shared" si="77"/>
        <v>0</v>
      </c>
      <c r="N192" s="52">
        <f t="shared" si="77"/>
        <v>0</v>
      </c>
      <c r="O192" s="52">
        <f t="shared" si="77"/>
        <v>0</v>
      </c>
      <c r="P192" s="52">
        <f t="shared" si="77"/>
        <v>0</v>
      </c>
    </row>
    <row r="193" spans="3:16">
      <c r="G193" s="38"/>
      <c r="H193" s="38"/>
      <c r="I193" s="38"/>
      <c r="J193" s="38"/>
    </row>
    <row r="194" spans="3:16">
      <c r="C194" s="51" t="s">
        <v>114</v>
      </c>
      <c r="E194" s="35" t="s">
        <v>129</v>
      </c>
      <c r="G194" s="38">
        <v>-1194</v>
      </c>
      <c r="H194" s="38">
        <v>-1075</v>
      </c>
      <c r="I194" s="38">
        <v>462</v>
      </c>
      <c r="J194" s="38">
        <v>-2525</v>
      </c>
      <c r="K194" s="38">
        <f>AVERAGE(G194:J194)</f>
        <v>-1083</v>
      </c>
      <c r="L194" s="38">
        <f t="shared" ref="L194:P194" si="78">AVERAGE(H194:K194)</f>
        <v>-1055.25</v>
      </c>
      <c r="M194" s="38">
        <f t="shared" si="78"/>
        <v>-1050.3125</v>
      </c>
      <c r="N194" s="38">
        <f t="shared" si="78"/>
        <v>-1428.390625</v>
      </c>
      <c r="O194" s="38">
        <f t="shared" si="78"/>
        <v>-1154.23828125</v>
      </c>
      <c r="P194" s="38">
        <f t="shared" si="78"/>
        <v>-1172.0478515625</v>
      </c>
    </row>
    <row r="195" spans="3:16">
      <c r="G195" s="38"/>
      <c r="H195" s="38"/>
      <c r="I195" s="38"/>
      <c r="J195" s="38"/>
    </row>
    <row r="196" spans="3:16">
      <c r="C196" s="51" t="s">
        <v>115</v>
      </c>
      <c r="E196" s="35" t="s">
        <v>129</v>
      </c>
      <c r="G196" s="38">
        <f>SUM(G168,G179,G192,G194)</f>
        <v>-501949</v>
      </c>
      <c r="H196" s="38">
        <f>SUM(H168,H179,H192,H194)</f>
        <v>-157978</v>
      </c>
      <c r="I196" s="38">
        <f>SUM(I168,I179,I192,I194)</f>
        <v>80319</v>
      </c>
      <c r="J196" s="38">
        <f>SUM(J168,J179,J192,J194)</f>
        <v>-35240</v>
      </c>
      <c r="K196" s="38">
        <f t="shared" ref="K196:P196" si="79">SUM(K168,K179,K192,K194)</f>
        <v>-113302.91184845001</v>
      </c>
      <c r="L196" s="38">
        <f t="shared" si="79"/>
        <v>-347097.08023621357</v>
      </c>
      <c r="M196" s="38">
        <f t="shared" si="79"/>
        <v>208227.47559068658</v>
      </c>
      <c r="N196" s="38">
        <f t="shared" si="79"/>
        <v>732596.99963081512</v>
      </c>
      <c r="O196" s="38">
        <f t="shared" si="79"/>
        <v>1070322.5476158168</v>
      </c>
      <c r="P196" s="38">
        <f t="shared" si="79"/>
        <v>1522100.4192717096</v>
      </c>
    </row>
    <row r="197" spans="3:16">
      <c r="C197" s="56" t="s">
        <v>116</v>
      </c>
      <c r="E197" s="35" t="s">
        <v>129</v>
      </c>
      <c r="G197" s="176">
        <v>726294</v>
      </c>
      <c r="H197" s="38">
        <f>G198</f>
        <v>224345</v>
      </c>
      <c r="I197" s="38">
        <v>137601</v>
      </c>
      <c r="J197" s="38">
        <v>219399</v>
      </c>
      <c r="K197" s="38">
        <f>J198</f>
        <v>173729</v>
      </c>
      <c r="L197" s="38">
        <f t="shared" ref="L197:P197" si="80">K198</f>
        <v>60426.088151549993</v>
      </c>
      <c r="M197" s="38">
        <f t="shared" si="80"/>
        <v>-286670.99208466359</v>
      </c>
      <c r="N197" s="38">
        <f t="shared" si="80"/>
        <v>-78443.516493977018</v>
      </c>
      <c r="O197" s="38">
        <f t="shared" si="80"/>
        <v>654153.48313683807</v>
      </c>
      <c r="P197" s="38">
        <f t="shared" si="80"/>
        <v>1724476.0307526549</v>
      </c>
    </row>
    <row r="198" spans="3:16">
      <c r="C198" s="64" t="s">
        <v>117</v>
      </c>
      <c r="E198" s="39" t="s">
        <v>129</v>
      </c>
      <c r="G198" s="52">
        <f>SUM(G196:G197)</f>
        <v>224345</v>
      </c>
      <c r="H198" s="52">
        <f t="shared" ref="H198:P198" si="81">SUM(H196:H197)</f>
        <v>66367</v>
      </c>
      <c r="I198" s="52">
        <f t="shared" si="81"/>
        <v>217920</v>
      </c>
      <c r="J198" s="182">
        <v>173729</v>
      </c>
      <c r="K198" s="52">
        <f t="shared" si="81"/>
        <v>60426.088151549993</v>
      </c>
      <c r="L198" s="52">
        <f t="shared" si="81"/>
        <v>-286670.99208466359</v>
      </c>
      <c r="M198" s="52">
        <f t="shared" si="81"/>
        <v>-78443.516493977018</v>
      </c>
      <c r="N198" s="52">
        <f t="shared" si="81"/>
        <v>654153.48313683807</v>
      </c>
      <c r="O198" s="52">
        <f t="shared" si="81"/>
        <v>1724476.0307526549</v>
      </c>
      <c r="P198" s="52">
        <f t="shared" si="81"/>
        <v>3246576.4500243645</v>
      </c>
    </row>
    <row r="199" spans="3:16">
      <c r="G199" s="38"/>
      <c r="H199" s="38"/>
      <c r="I199" s="38"/>
      <c r="J199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D0F9-840C-4805-86DD-8B4093B51211}">
  <dimension ref="B2:AZ385"/>
  <sheetViews>
    <sheetView showGridLines="0" zoomScale="44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M9" sqref="M9"/>
    </sheetView>
  </sheetViews>
  <sheetFormatPr defaultRowHeight="16"/>
  <cols>
    <col min="1" max="1" width="8.7265625" style="10"/>
    <col min="2" max="2" width="5.81640625" style="10" customWidth="1"/>
    <col min="3" max="3" width="55.81640625" style="10" customWidth="1"/>
    <col min="4" max="5" width="8.7265625" style="10"/>
    <col min="6" max="6" width="8.81640625" style="10" bestFit="1" customWidth="1"/>
    <col min="7" max="7" width="13.08984375" style="10" bestFit="1" customWidth="1"/>
    <col min="8" max="12" width="15" style="10" bestFit="1" customWidth="1"/>
    <col min="13" max="31" width="14.1796875" style="10" bestFit="1" customWidth="1"/>
    <col min="32" max="32" width="8.7265625" style="10"/>
    <col min="33" max="33" width="41.08984375" style="10" bestFit="1" customWidth="1"/>
    <col min="34" max="35" width="8.6328125" style="10" bestFit="1" customWidth="1"/>
    <col min="36" max="36" width="8.26953125" style="10" bestFit="1" customWidth="1"/>
    <col min="37" max="37" width="8.90625" style="10" bestFit="1" customWidth="1"/>
    <col min="38" max="16384" width="8.7265625" style="10"/>
  </cols>
  <sheetData>
    <row r="2" spans="2:31">
      <c r="B2" s="5" t="str">
        <f>Company_Name&amp;" - Revenue Drivers"</f>
        <v>Ultragenyx Pharmaceutical Inc. - Revenue Drivers</v>
      </c>
      <c r="C2" s="1"/>
      <c r="D2" s="1"/>
      <c r="E2" s="1"/>
      <c r="F2" s="1"/>
      <c r="G2" s="3"/>
      <c r="H2" s="2"/>
      <c r="I2" s="3" t="s">
        <v>0</v>
      </c>
      <c r="J2" s="2"/>
      <c r="K2" s="4"/>
      <c r="L2" s="2"/>
      <c r="M2" s="2"/>
      <c r="N2" s="2"/>
      <c r="O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1">
      <c r="B3" s="5" t="s">
        <v>221</v>
      </c>
      <c r="C3" s="1"/>
      <c r="D3" s="1"/>
      <c r="E3" s="6" t="s">
        <v>2</v>
      </c>
      <c r="F3" s="7"/>
      <c r="G3" s="8">
        <f>Model!G3</f>
        <v>44561</v>
      </c>
      <c r="H3" s="8">
        <f>EOMONTH(G3,12)</f>
        <v>44926</v>
      </c>
      <c r="I3" s="8">
        <f t="shared" ref="I3:W3" si="0">EOMONTH(H3,12)</f>
        <v>45291</v>
      </c>
      <c r="J3" s="8">
        <f t="shared" si="0"/>
        <v>45657</v>
      </c>
      <c r="K3" s="9">
        <f t="shared" si="0"/>
        <v>46022</v>
      </c>
      <c r="L3" s="8">
        <f t="shared" si="0"/>
        <v>46387</v>
      </c>
      <c r="M3" s="8">
        <f t="shared" si="0"/>
        <v>46752</v>
      </c>
      <c r="N3" s="8">
        <f t="shared" si="0"/>
        <v>47118</v>
      </c>
      <c r="O3" s="8">
        <f t="shared" si="0"/>
        <v>47483</v>
      </c>
      <c r="P3" s="8">
        <f t="shared" si="0"/>
        <v>47848</v>
      </c>
      <c r="Q3" s="8">
        <f t="shared" si="0"/>
        <v>48213</v>
      </c>
      <c r="R3" s="8">
        <f t="shared" si="0"/>
        <v>48579</v>
      </c>
      <c r="S3" s="8">
        <f t="shared" si="0"/>
        <v>48944</v>
      </c>
      <c r="T3" s="8">
        <f t="shared" si="0"/>
        <v>49309</v>
      </c>
      <c r="U3" s="8">
        <f t="shared" si="0"/>
        <v>49674</v>
      </c>
      <c r="V3" s="8">
        <f t="shared" si="0"/>
        <v>50040</v>
      </c>
      <c r="W3" s="8">
        <f t="shared" si="0"/>
        <v>50405</v>
      </c>
      <c r="X3" s="8">
        <f>EOMONTH(W3,12)</f>
        <v>50770</v>
      </c>
      <c r="Y3" s="8">
        <f t="shared" ref="Y3:AB3" si="1">EOMONTH(X3,12)</f>
        <v>51135</v>
      </c>
      <c r="Z3" s="8">
        <f t="shared" si="1"/>
        <v>51501</v>
      </c>
      <c r="AA3" s="8">
        <f t="shared" si="1"/>
        <v>51866</v>
      </c>
      <c r="AB3" s="8">
        <f t="shared" si="1"/>
        <v>52231</v>
      </c>
      <c r="AC3" s="8">
        <f t="shared" ref="AC3" si="2">EOMONTH(AB3,12)</f>
        <v>52596</v>
      </c>
      <c r="AD3" s="8">
        <f t="shared" ref="AD3" si="3">EOMONTH(AC3,12)</f>
        <v>52962</v>
      </c>
      <c r="AE3" s="8">
        <f t="shared" ref="AE3" si="4">EOMONTH(AD3,12)</f>
        <v>53327</v>
      </c>
    </row>
    <row r="4" spans="2:31">
      <c r="B4" s="166" t="s">
        <v>220</v>
      </c>
      <c r="E4" s="53"/>
      <c r="G4" s="57"/>
      <c r="H4" s="57"/>
      <c r="I4" s="57"/>
      <c r="J4" s="57"/>
      <c r="K4" s="52"/>
    </row>
    <row r="5" spans="2:31">
      <c r="E5" s="53"/>
    </row>
    <row r="6" spans="2:31">
      <c r="C6" s="51" t="s">
        <v>26</v>
      </c>
      <c r="E6" s="35" t="s">
        <v>129</v>
      </c>
      <c r="G6" s="38">
        <f>Model!G59</f>
        <v>77017</v>
      </c>
      <c r="H6" s="38">
        <f>Model!H59</f>
        <v>118927</v>
      </c>
      <c r="I6" s="38">
        <f>Model!I59</f>
        <v>180413</v>
      </c>
      <c r="J6" s="38">
        <f>Model!J59</f>
        <v>285415</v>
      </c>
      <c r="K6" s="97">
        <f>SUM(K27,K81,K112,K161)</f>
        <v>375393.05</v>
      </c>
      <c r="L6" s="97">
        <f t="shared" ref="L6:AE6" si="5">SUM(L27,L81,L112,L161,L216,L264,L312,L361)</f>
        <v>585021.11380000005</v>
      </c>
      <c r="M6" s="97">
        <f t="shared" si="5"/>
        <v>864635.1615422914</v>
      </c>
      <c r="N6" s="97">
        <f t="shared" si="5"/>
        <v>1245100.252272018</v>
      </c>
      <c r="O6" s="97">
        <f t="shared" si="5"/>
        <v>1652459.351131978</v>
      </c>
      <c r="P6" s="97">
        <f t="shared" si="5"/>
        <v>2089814.3402207252</v>
      </c>
      <c r="Q6" s="97">
        <f t="shared" si="5"/>
        <v>2473172.025187342</v>
      </c>
      <c r="R6" s="97">
        <f t="shared" si="5"/>
        <v>2636940.8279985869</v>
      </c>
      <c r="S6" s="97">
        <f t="shared" si="5"/>
        <v>2659929.986779552</v>
      </c>
      <c r="T6" s="97">
        <f t="shared" si="5"/>
        <v>2366588.910068165</v>
      </c>
      <c r="U6" s="97">
        <f t="shared" si="5"/>
        <v>2143792.7370957653</v>
      </c>
      <c r="V6" s="97">
        <f t="shared" si="5"/>
        <v>1610762.6598561108</v>
      </c>
      <c r="W6" s="97">
        <f t="shared" si="5"/>
        <v>1185898.9999196343</v>
      </c>
      <c r="X6" s="97">
        <f t="shared" si="5"/>
        <v>1082686.6888271256</v>
      </c>
      <c r="Y6" s="97">
        <f t="shared" si="5"/>
        <v>1024504.3789979498</v>
      </c>
      <c r="Z6" s="97">
        <f t="shared" si="5"/>
        <v>1029626.9008929394</v>
      </c>
      <c r="AA6" s="97">
        <f t="shared" si="5"/>
        <v>1034775.0353974039</v>
      </c>
      <c r="AB6" s="97">
        <f t="shared" si="5"/>
        <v>1039948.910574391</v>
      </c>
      <c r="AC6" s="97">
        <f t="shared" si="5"/>
        <v>1045148.6551272629</v>
      </c>
      <c r="AD6" s="97">
        <f t="shared" si="5"/>
        <v>1050374.398402899</v>
      </c>
      <c r="AE6" s="97">
        <f t="shared" si="5"/>
        <v>1081252.4214135208</v>
      </c>
    </row>
    <row r="7" spans="2:31">
      <c r="C7" s="51" t="s">
        <v>27</v>
      </c>
      <c r="E7" s="35" t="s">
        <v>129</v>
      </c>
      <c r="G7" s="38">
        <f>Model!G60</f>
        <v>0</v>
      </c>
      <c r="H7" s="38">
        <f>Model!H60</f>
        <v>21692</v>
      </c>
      <c r="I7" s="38">
        <f>Model!I60</f>
        <v>182652</v>
      </c>
      <c r="J7" s="38">
        <f>Model!J60</f>
        <v>274815</v>
      </c>
      <c r="K7" s="97">
        <f>K29</f>
        <v>296122.49703962984</v>
      </c>
      <c r="L7" s="97">
        <f t="shared" ref="L7:W7" si="6">L29</f>
        <v>316851.07183240395</v>
      </c>
      <c r="M7" s="97">
        <f t="shared" si="6"/>
        <v>335862.13614234823</v>
      </c>
      <c r="N7" s="97">
        <f t="shared" si="6"/>
        <v>352655.24294946564</v>
      </c>
      <c r="O7" s="97">
        <f t="shared" si="6"/>
        <v>370288.00509693893</v>
      </c>
      <c r="P7" s="97">
        <f t="shared" si="6"/>
        <v>388802.40535178588</v>
      </c>
      <c r="Q7" s="97">
        <f t="shared" si="6"/>
        <v>408242.52561937517</v>
      </c>
      <c r="R7" s="97">
        <f t="shared" si="6"/>
        <v>428654.65190034395</v>
      </c>
      <c r="S7" s="97">
        <f t="shared" si="6"/>
        <v>321490.98892525793</v>
      </c>
      <c r="T7" s="97">
        <f t="shared" si="6"/>
        <v>257192.79114020636</v>
      </c>
      <c r="U7" s="97">
        <f t="shared" si="6"/>
        <v>218613.8724691754</v>
      </c>
      <c r="V7" s="97">
        <f t="shared" si="6"/>
        <v>185821.79159879909</v>
      </c>
      <c r="W7" s="97">
        <f t="shared" si="6"/>
        <v>0</v>
      </c>
      <c r="X7" s="97">
        <f t="shared" ref="X7:AE7" si="7">X29</f>
        <v>0</v>
      </c>
      <c r="Y7" s="97">
        <f t="shared" si="7"/>
        <v>0</v>
      </c>
      <c r="Z7" s="97">
        <f t="shared" si="7"/>
        <v>0</v>
      </c>
      <c r="AA7" s="97">
        <f t="shared" si="7"/>
        <v>0</v>
      </c>
      <c r="AB7" s="97">
        <f t="shared" si="7"/>
        <v>0</v>
      </c>
      <c r="AC7" s="97">
        <f t="shared" si="7"/>
        <v>0</v>
      </c>
      <c r="AD7" s="97">
        <f t="shared" si="7"/>
        <v>0</v>
      </c>
      <c r="AE7" s="97">
        <f t="shared" si="7"/>
        <v>0</v>
      </c>
    </row>
    <row r="8" spans="2:31">
      <c r="C8" s="56" t="s">
        <v>28</v>
      </c>
      <c r="E8" s="35" t="s">
        <v>129</v>
      </c>
      <c r="G8" s="55">
        <f>Model!G61</f>
        <v>189149</v>
      </c>
      <c r="H8" s="55">
        <f>Model!H61</f>
        <v>236716</v>
      </c>
      <c r="I8" s="55">
        <f>Model!I61</f>
        <v>69705</v>
      </c>
      <c r="J8" s="55">
        <f>Model!J61</f>
        <v>0</v>
      </c>
      <c r="K8" s="173">
        <v>0</v>
      </c>
      <c r="L8" s="173">
        <v>0</v>
      </c>
      <c r="M8" s="173">
        <v>0</v>
      </c>
      <c r="N8" s="173">
        <v>0</v>
      </c>
      <c r="O8" s="173">
        <v>0</v>
      </c>
      <c r="P8" s="173">
        <v>0</v>
      </c>
      <c r="Q8" s="173">
        <v>0</v>
      </c>
      <c r="R8" s="173">
        <v>0</v>
      </c>
      <c r="S8" s="173">
        <v>0</v>
      </c>
      <c r="T8" s="173">
        <v>0</v>
      </c>
      <c r="U8" s="173">
        <v>0</v>
      </c>
      <c r="V8" s="173">
        <v>0</v>
      </c>
      <c r="W8" s="173">
        <v>0</v>
      </c>
      <c r="X8" s="173">
        <v>0</v>
      </c>
      <c r="Y8" s="173">
        <v>0</v>
      </c>
      <c r="Z8" s="173">
        <v>0</v>
      </c>
      <c r="AA8" s="173">
        <v>0</v>
      </c>
      <c r="AB8" s="173">
        <v>0</v>
      </c>
      <c r="AC8" s="173">
        <v>0</v>
      </c>
      <c r="AD8" s="173">
        <v>0</v>
      </c>
      <c r="AE8" s="173">
        <v>0</v>
      </c>
    </row>
    <row r="9" spans="2:31">
      <c r="C9" s="64" t="s">
        <v>29</v>
      </c>
      <c r="E9" s="39" t="s">
        <v>129</v>
      </c>
      <c r="G9" s="52">
        <f>Model!G62</f>
        <v>266166</v>
      </c>
      <c r="H9" s="52">
        <f>Model!H62</f>
        <v>377335</v>
      </c>
      <c r="I9" s="52">
        <f>Model!I62</f>
        <v>432770</v>
      </c>
      <c r="J9" s="52">
        <f>Model!J62</f>
        <v>560230</v>
      </c>
      <c r="K9" s="174">
        <f t="shared" ref="K9:W9" si="8">SUM(K6:K8)</f>
        <v>671515.54703962989</v>
      </c>
      <c r="L9" s="52">
        <f>Model!L62</f>
        <v>745000</v>
      </c>
      <c r="M9" s="174">
        <f t="shared" si="8"/>
        <v>1200497.2976846397</v>
      </c>
      <c r="N9" s="174">
        <f t="shared" si="8"/>
        <v>1597755.4952214835</v>
      </c>
      <c r="O9" s="174">
        <f t="shared" si="8"/>
        <v>2022747.3562289169</v>
      </c>
      <c r="P9" s="174">
        <f t="shared" si="8"/>
        <v>2478616.7455725111</v>
      </c>
      <c r="Q9" s="174">
        <f t="shared" si="8"/>
        <v>2881414.550806717</v>
      </c>
      <c r="R9" s="174">
        <f t="shared" si="8"/>
        <v>3065595.479898931</v>
      </c>
      <c r="S9" s="174">
        <f t="shared" si="8"/>
        <v>2981420.9757048097</v>
      </c>
      <c r="T9" s="174">
        <f t="shared" si="8"/>
        <v>2623781.7012083712</v>
      </c>
      <c r="U9" s="174">
        <f t="shared" si="8"/>
        <v>2362406.6095649409</v>
      </c>
      <c r="V9" s="174">
        <f t="shared" si="8"/>
        <v>1796584.45145491</v>
      </c>
      <c r="W9" s="174">
        <f t="shared" si="8"/>
        <v>1185898.9999196343</v>
      </c>
      <c r="X9" s="174">
        <f t="shared" ref="X9:AE9" si="9">SUM(X6:X8)</f>
        <v>1082686.6888271256</v>
      </c>
      <c r="Y9" s="174">
        <f t="shared" si="9"/>
        <v>1024504.3789979498</v>
      </c>
      <c r="Z9" s="174">
        <f t="shared" si="9"/>
        <v>1029626.9008929394</v>
      </c>
      <c r="AA9" s="174">
        <f t="shared" si="9"/>
        <v>1034775.0353974039</v>
      </c>
      <c r="AB9" s="174">
        <f t="shared" si="9"/>
        <v>1039948.910574391</v>
      </c>
      <c r="AC9" s="174">
        <f t="shared" si="9"/>
        <v>1045148.6551272629</v>
      </c>
      <c r="AD9" s="174">
        <f t="shared" si="9"/>
        <v>1050374.398402899</v>
      </c>
      <c r="AE9" s="174">
        <f t="shared" si="9"/>
        <v>1081252.4214135208</v>
      </c>
    </row>
    <row r="10" spans="2:31">
      <c r="C10" s="50" t="s">
        <v>131</v>
      </c>
      <c r="E10" s="39"/>
      <c r="G10" s="52"/>
      <c r="H10" s="175">
        <f>H9/G9-1</f>
        <v>0.41766792152265886</v>
      </c>
      <c r="I10" s="175">
        <f t="shared" ref="I10:W10" si="10">I9/H9-1</f>
        <v>0.14691189526548021</v>
      </c>
      <c r="J10" s="175">
        <f t="shared" si="10"/>
        <v>0.29452133927952495</v>
      </c>
      <c r="K10" s="175">
        <f t="shared" si="10"/>
        <v>0.19864260578624826</v>
      </c>
      <c r="L10" s="175">
        <f t="shared" si="10"/>
        <v>0.1094307544841302</v>
      </c>
      <c r="M10" s="175">
        <f t="shared" si="10"/>
        <v>0.61140576870421426</v>
      </c>
      <c r="N10" s="175">
        <f t="shared" si="10"/>
        <v>0.33091136340166938</v>
      </c>
      <c r="O10" s="175">
        <f t="shared" si="10"/>
        <v>0.26599305230273695</v>
      </c>
      <c r="P10" s="175">
        <f t="shared" si="10"/>
        <v>0.22537139299170228</v>
      </c>
      <c r="Q10" s="175">
        <f t="shared" si="10"/>
        <v>0.16250911156543801</v>
      </c>
      <c r="R10" s="175">
        <f t="shared" si="10"/>
        <v>6.3920316165769542E-2</v>
      </c>
      <c r="S10" s="175">
        <f t="shared" si="10"/>
        <v>-2.7457798899447883E-2</v>
      </c>
      <c r="T10" s="175">
        <f t="shared" si="10"/>
        <v>-0.1199559798534966</v>
      </c>
      <c r="U10" s="175">
        <f t="shared" si="10"/>
        <v>-9.96176974338433E-2</v>
      </c>
      <c r="V10" s="175">
        <f t="shared" si="10"/>
        <v>-0.23951091053467388</v>
      </c>
      <c r="W10" s="175">
        <f t="shared" si="10"/>
        <v>-0.33991469259389973</v>
      </c>
    </row>
    <row r="11" spans="2:31">
      <c r="C11"/>
      <c r="E11" s="53"/>
      <c r="I11" s="28"/>
      <c r="J11" s="28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</row>
    <row r="12" spans="2:31">
      <c r="C12" s="51" t="s">
        <v>30</v>
      </c>
      <c r="E12" s="35" t="s">
        <v>129</v>
      </c>
      <c r="G12" s="176">
        <v>16008</v>
      </c>
      <c r="H12" s="176">
        <v>28320</v>
      </c>
      <c r="I12" s="176">
        <v>45209</v>
      </c>
      <c r="J12" s="176">
        <v>76728</v>
      </c>
      <c r="K12" s="186">
        <f>Model!K64</f>
        <v>109000</v>
      </c>
      <c r="L12" s="186">
        <f>Model!L64</f>
        <v>89175.451632805445</v>
      </c>
      <c r="M12" s="186">
        <f>Model!M64</f>
        <v>143697.83718790635</v>
      </c>
      <c r="N12" s="186">
        <f>Model!N64</f>
        <v>143797.99456993351</v>
      </c>
      <c r="O12" s="186">
        <f>Model!O64</f>
        <v>182047.26206060252</v>
      </c>
      <c r="P12" s="186">
        <f>SUM(P47,P84,P115,P164)</f>
        <v>139024.68174746283</v>
      </c>
      <c r="Q12" s="186">
        <f>Q9*0.09</f>
        <v>259327.30957260451</v>
      </c>
      <c r="R12" s="186">
        <f t="shared" ref="R12:AE12" si="11">R9*0.09</f>
        <v>275903.59319090378</v>
      </c>
      <c r="S12" s="186">
        <f t="shared" si="11"/>
        <v>268327.88781343284</v>
      </c>
      <c r="T12" s="186">
        <f t="shared" si="11"/>
        <v>236140.35310875339</v>
      </c>
      <c r="U12" s="186">
        <f t="shared" si="11"/>
        <v>212616.59486084466</v>
      </c>
      <c r="V12" s="186">
        <f t="shared" si="11"/>
        <v>161692.60063094189</v>
      </c>
      <c r="W12" s="186">
        <f t="shared" si="11"/>
        <v>106730.90999276709</v>
      </c>
      <c r="X12" s="186">
        <f t="shared" si="11"/>
        <v>97441.801994441295</v>
      </c>
      <c r="Y12" s="186">
        <f t="shared" si="11"/>
        <v>92205.394109815476</v>
      </c>
      <c r="Z12" s="186">
        <f t="shared" si="11"/>
        <v>92666.42108036454</v>
      </c>
      <c r="AA12" s="186">
        <f t="shared" si="11"/>
        <v>93129.753185766342</v>
      </c>
      <c r="AB12" s="186">
        <f t="shared" si="11"/>
        <v>93595.401951695181</v>
      </c>
      <c r="AC12" s="186">
        <f t="shared" si="11"/>
        <v>94063.378961453665</v>
      </c>
      <c r="AD12" s="186">
        <f t="shared" si="11"/>
        <v>94533.695856260907</v>
      </c>
      <c r="AE12" s="186">
        <f t="shared" si="11"/>
        <v>97312.717927216872</v>
      </c>
    </row>
    <row r="13" spans="2:31">
      <c r="C13" s="51" t="s">
        <v>31</v>
      </c>
      <c r="E13" s="35" t="s">
        <v>129</v>
      </c>
      <c r="G13" s="176">
        <v>497153</v>
      </c>
      <c r="H13" s="176">
        <v>705789</v>
      </c>
      <c r="I13" s="176">
        <v>648449</v>
      </c>
      <c r="J13" s="176">
        <v>697865</v>
      </c>
      <c r="K13" s="186">
        <f>Model!K65</f>
        <v>349000</v>
      </c>
      <c r="L13" s="186">
        <f>Model!L65</f>
        <v>331550</v>
      </c>
      <c r="M13" s="186">
        <f>Model!M65</f>
        <v>315000</v>
      </c>
      <c r="N13" s="186">
        <f>Model!N65</f>
        <v>290000</v>
      </c>
      <c r="O13" s="186">
        <f>Model!O65</f>
        <v>320000</v>
      </c>
      <c r="P13" s="186">
        <f>O13*0.95</f>
        <v>304000</v>
      </c>
      <c r="Q13" s="186">
        <f t="shared" ref="Q13:AE13" si="12">P13*0.95</f>
        <v>288800</v>
      </c>
      <c r="R13" s="186">
        <f t="shared" si="12"/>
        <v>274360</v>
      </c>
      <c r="S13" s="186">
        <f t="shared" si="12"/>
        <v>260642</v>
      </c>
      <c r="T13" s="186">
        <f t="shared" si="12"/>
        <v>247609.9</v>
      </c>
      <c r="U13" s="186">
        <f t="shared" si="12"/>
        <v>235229.40499999997</v>
      </c>
      <c r="V13" s="186">
        <f t="shared" si="12"/>
        <v>223467.93474999996</v>
      </c>
      <c r="W13" s="186">
        <f t="shared" si="12"/>
        <v>212294.53801249995</v>
      </c>
      <c r="X13" s="186">
        <f t="shared" si="12"/>
        <v>201679.81111187494</v>
      </c>
      <c r="Y13" s="186">
        <f t="shared" si="12"/>
        <v>191595.82055628119</v>
      </c>
      <c r="Z13" s="186">
        <f t="shared" si="12"/>
        <v>182016.02952846713</v>
      </c>
      <c r="AA13" s="186">
        <f t="shared" si="12"/>
        <v>172915.22805204376</v>
      </c>
      <c r="AB13" s="186">
        <f t="shared" si="12"/>
        <v>164269.46664944157</v>
      </c>
      <c r="AC13" s="186">
        <f t="shared" si="12"/>
        <v>156055.99331696949</v>
      </c>
      <c r="AD13" s="186">
        <f t="shared" si="12"/>
        <v>148253.19365112099</v>
      </c>
      <c r="AE13" s="186">
        <f t="shared" si="12"/>
        <v>140840.53396856494</v>
      </c>
    </row>
    <row r="14" spans="2:31">
      <c r="C14" s="56" t="s">
        <v>32</v>
      </c>
      <c r="E14" s="35" t="s">
        <v>129</v>
      </c>
      <c r="G14" s="177">
        <v>219982</v>
      </c>
      <c r="H14" s="177">
        <v>278139</v>
      </c>
      <c r="I14" s="177">
        <v>309799</v>
      </c>
      <c r="J14" s="177">
        <v>321610</v>
      </c>
      <c r="K14" s="83">
        <f>Model!K66</f>
        <v>750000</v>
      </c>
      <c r="L14" s="83">
        <f>Model!L66</f>
        <v>712500</v>
      </c>
      <c r="M14" s="83">
        <f>Model!M66</f>
        <v>441750</v>
      </c>
      <c r="N14" s="83">
        <f>Model!N66</f>
        <v>273885</v>
      </c>
      <c r="O14" s="83">
        <f>Model!O66</f>
        <v>400000</v>
      </c>
      <c r="P14" s="83">
        <f t="shared" ref="P14:AE14" si="13">P17</f>
        <v>304000</v>
      </c>
      <c r="Q14" s="83">
        <f t="shared" si="13"/>
        <v>288800</v>
      </c>
      <c r="R14" s="83">
        <f t="shared" si="13"/>
        <v>274360</v>
      </c>
      <c r="S14" s="83">
        <f t="shared" si="13"/>
        <v>260642</v>
      </c>
      <c r="T14" s="83">
        <f t="shared" si="13"/>
        <v>247609.9</v>
      </c>
      <c r="U14" s="83">
        <f t="shared" si="13"/>
        <v>235229.40499999997</v>
      </c>
      <c r="V14" s="83">
        <f t="shared" si="13"/>
        <v>223467.93474999996</v>
      </c>
      <c r="W14" s="83">
        <f t="shared" si="13"/>
        <v>212294.53801249995</v>
      </c>
      <c r="X14" s="83">
        <f t="shared" si="13"/>
        <v>201679.81111187494</v>
      </c>
      <c r="Y14" s="83">
        <f t="shared" si="13"/>
        <v>200000</v>
      </c>
      <c r="Z14" s="83">
        <f t="shared" si="13"/>
        <v>200000</v>
      </c>
      <c r="AA14" s="83">
        <f t="shared" si="13"/>
        <v>200000</v>
      </c>
      <c r="AB14" s="83">
        <f t="shared" si="13"/>
        <v>200000</v>
      </c>
      <c r="AC14" s="83">
        <f t="shared" si="13"/>
        <v>200000</v>
      </c>
      <c r="AD14" s="83">
        <f t="shared" si="13"/>
        <v>200000</v>
      </c>
      <c r="AE14" s="83">
        <f t="shared" si="13"/>
        <v>200000</v>
      </c>
    </row>
    <row r="15" spans="2:31">
      <c r="C15" s="64" t="s">
        <v>33</v>
      </c>
      <c r="E15" s="39" t="s">
        <v>129</v>
      </c>
      <c r="G15" s="52">
        <f t="shared" ref="G15:AE15" si="14">-SUM(G12:G14)</f>
        <v>-733143</v>
      </c>
      <c r="H15" s="52">
        <f t="shared" si="14"/>
        <v>-1012248</v>
      </c>
      <c r="I15" s="52">
        <f t="shared" si="14"/>
        <v>-1003457</v>
      </c>
      <c r="J15" s="52">
        <f t="shared" si="14"/>
        <v>-1096203</v>
      </c>
      <c r="K15" s="52">
        <f t="shared" si="14"/>
        <v>-1208000</v>
      </c>
      <c r="L15" s="52">
        <f t="shared" si="14"/>
        <v>-1133225.4516328054</v>
      </c>
      <c r="M15" s="52">
        <f t="shared" si="14"/>
        <v>-900447.83718790638</v>
      </c>
      <c r="N15" s="52">
        <f t="shared" si="14"/>
        <v>-707682.99456993351</v>
      </c>
      <c r="O15" s="52">
        <f t="shared" si="14"/>
        <v>-902047.26206060254</v>
      </c>
      <c r="P15" s="52">
        <f t="shared" si="14"/>
        <v>-747024.68174746283</v>
      </c>
      <c r="Q15" s="52">
        <f t="shared" si="14"/>
        <v>-836927.30957260448</v>
      </c>
      <c r="R15" s="52">
        <f t="shared" si="14"/>
        <v>-824623.59319090378</v>
      </c>
      <c r="S15" s="52">
        <f t="shared" si="14"/>
        <v>-789611.88781343284</v>
      </c>
      <c r="T15" s="52">
        <f t="shared" si="14"/>
        <v>-731360.15310875338</v>
      </c>
      <c r="U15" s="52">
        <f t="shared" si="14"/>
        <v>-683075.4048608446</v>
      </c>
      <c r="V15" s="52">
        <f t="shared" si="14"/>
        <v>-608628.47013094183</v>
      </c>
      <c r="W15" s="52">
        <f t="shared" si="14"/>
        <v>-531319.98601776699</v>
      </c>
      <c r="X15" s="52">
        <f t="shared" si="14"/>
        <v>-500801.42421819118</v>
      </c>
      <c r="Y15" s="52">
        <f t="shared" si="14"/>
        <v>-483801.21466609667</v>
      </c>
      <c r="Z15" s="52">
        <f t="shared" si="14"/>
        <v>-474682.45060883166</v>
      </c>
      <c r="AA15" s="52">
        <f t="shared" si="14"/>
        <v>-466044.98123781011</v>
      </c>
      <c r="AB15" s="52">
        <f t="shared" si="14"/>
        <v>-457864.86860113672</v>
      </c>
      <c r="AC15" s="52">
        <f t="shared" si="14"/>
        <v>-450119.37227842316</v>
      </c>
      <c r="AD15" s="52">
        <f t="shared" si="14"/>
        <v>-442786.88950738189</v>
      </c>
      <c r="AE15" s="52">
        <f t="shared" si="14"/>
        <v>-438153.25189578184</v>
      </c>
    </row>
    <row r="16" spans="2:31">
      <c r="C16" s="64"/>
      <c r="E16" s="39"/>
      <c r="G16" s="52"/>
      <c r="H16" s="52"/>
      <c r="I16" s="52"/>
      <c r="J16" s="52"/>
      <c r="K16" s="52"/>
      <c r="L16" s="52"/>
      <c r="M16" s="52"/>
      <c r="N16" s="497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</row>
    <row r="17" spans="2:31">
      <c r="C17" s="64" t="s">
        <v>182</v>
      </c>
      <c r="E17" s="39"/>
      <c r="G17" s="52"/>
      <c r="H17" s="52"/>
      <c r="I17" s="52"/>
      <c r="J17" s="52"/>
      <c r="K17" s="174">
        <f>INDEX($K$18:$AE$20,MATCH(OpEx,$C$18:$C$20,0),1)</f>
        <v>300000</v>
      </c>
      <c r="L17" s="174">
        <f>INDEX($K$18:$AE$20,MATCH(OpEx,$C$18:$C$20,0),2)</f>
        <v>280000</v>
      </c>
      <c r="M17" s="174">
        <f>INDEX($K$18:$AE$20,MATCH(OpEx,$C$18:$C$20,0),3)</f>
        <v>260000</v>
      </c>
      <c r="N17" s="174">
        <f>INDEX($K$18:$AE$20,MATCH(OpEx,$C$18:$C$20,0),4)</f>
        <v>290000</v>
      </c>
      <c r="O17" s="174">
        <f>INDEX($K$18:$AE$20,MATCH(OpEx,$C$18:$C$20,0),5)</f>
        <v>320000</v>
      </c>
      <c r="P17" s="174">
        <f>INDEX($K$18:$AE$20,MATCH(OpEx,$C$18:$C$20,0),6)</f>
        <v>304000</v>
      </c>
      <c r="Q17" s="174">
        <f>INDEX($K$18:$AE$20,MATCH(OpEx,$C$18:$C$20,0),7)</f>
        <v>288800</v>
      </c>
      <c r="R17" s="174">
        <f>INDEX($K$18:$AE$20,MATCH(OpEx,$C$18:$C$20,0),8)</f>
        <v>274360</v>
      </c>
      <c r="S17" s="174">
        <f>INDEX($K$18:$AE$20,MATCH(OpEx,$C$18:$C$20,0),9)</f>
        <v>260642</v>
      </c>
      <c r="T17" s="174">
        <f>INDEX($K$18:$AE$20,MATCH(OpEx,$C$18:$C$20,0),10)</f>
        <v>247609.9</v>
      </c>
      <c r="U17" s="174">
        <f>INDEX($K$18:$AE$20,MATCH(OpEx,$C$18:$C$20,0),11)</f>
        <v>235229.40499999997</v>
      </c>
      <c r="V17" s="174">
        <f>INDEX($K$18:$AE$20,MATCH(OpEx,$C$18:$C$20,0),12)</f>
        <v>223467.93474999996</v>
      </c>
      <c r="W17" s="174">
        <f>INDEX($K$18:$AE$20,MATCH(OpEx,$C$18:$C$20,0),13)</f>
        <v>212294.53801249995</v>
      </c>
      <c r="X17" s="174">
        <f>INDEX($K$18:$AE$20,MATCH(OpEx,$C$18:$C$20,0),14)</f>
        <v>201679.81111187494</v>
      </c>
      <c r="Y17" s="174">
        <f>INDEX($K$18:$AE$20,MATCH(OpEx,$C$18:$C$20,0),15)</f>
        <v>200000</v>
      </c>
      <c r="Z17" s="174">
        <f>INDEX($K$18:$AE$20,MATCH(OpEx,$C$18:$C$20,0),16)</f>
        <v>200000</v>
      </c>
      <c r="AA17" s="174">
        <f>INDEX($K$18:$AE$20,MATCH(OpEx,$C$18:$C$20,0),17)</f>
        <v>200000</v>
      </c>
      <c r="AB17" s="174">
        <f>INDEX($K$18:$AE$20,MATCH(OpEx,$C$18:$C$20,0),18)</f>
        <v>200000</v>
      </c>
      <c r="AC17" s="174">
        <f>INDEX($K$18:$AE$20,MATCH(OpEx,$C$18:$C$20,0),19)</f>
        <v>200000</v>
      </c>
      <c r="AD17" s="174">
        <f>INDEX($K$18:$AE$20,MATCH(OpEx,$C$18:$C$20,0),20)</f>
        <v>200000</v>
      </c>
      <c r="AE17" s="174">
        <f>INDEX($K$18:$AE$20,MATCH(OpEx,$C$18:$C$20,0),21)</f>
        <v>200000</v>
      </c>
    </row>
    <row r="18" spans="2:31">
      <c r="C18" s="48" t="s">
        <v>139</v>
      </c>
      <c r="E18" s="39"/>
      <c r="G18" s="52"/>
      <c r="H18" s="52"/>
      <c r="I18" s="52"/>
      <c r="J18" s="52"/>
      <c r="K18" s="186">
        <v>200000</v>
      </c>
      <c r="L18" s="186">
        <v>210000</v>
      </c>
      <c r="M18" s="186">
        <v>230000</v>
      </c>
      <c r="N18" s="186">
        <v>270000</v>
      </c>
      <c r="O18" s="186">
        <v>250000</v>
      </c>
      <c r="P18" s="186">
        <f>O18-10000</f>
        <v>240000</v>
      </c>
      <c r="Q18" s="186">
        <f t="shared" ref="Q18:T18" si="15">P18-10000</f>
        <v>230000</v>
      </c>
      <c r="R18" s="186">
        <f t="shared" si="15"/>
        <v>220000</v>
      </c>
      <c r="S18" s="186">
        <f t="shared" si="15"/>
        <v>210000</v>
      </c>
      <c r="T18" s="186">
        <f t="shared" si="15"/>
        <v>200000</v>
      </c>
      <c r="U18" s="186">
        <v>200000</v>
      </c>
      <c r="V18" s="186">
        <v>200000</v>
      </c>
      <c r="W18" s="186">
        <v>200000</v>
      </c>
      <c r="X18" s="186">
        <v>200000</v>
      </c>
      <c r="Y18" s="186">
        <v>200000</v>
      </c>
      <c r="Z18" s="186">
        <v>200000</v>
      </c>
      <c r="AA18" s="186">
        <v>200000</v>
      </c>
      <c r="AB18" s="186">
        <v>200000</v>
      </c>
      <c r="AC18" s="186">
        <v>200000</v>
      </c>
      <c r="AD18" s="186">
        <v>200000</v>
      </c>
      <c r="AE18" s="186">
        <v>200000</v>
      </c>
    </row>
    <row r="19" spans="2:31">
      <c r="C19" s="48" t="s">
        <v>140</v>
      </c>
      <c r="E19" s="39"/>
      <c r="G19" s="176">
        <v>219982</v>
      </c>
      <c r="H19" s="176">
        <v>278139</v>
      </c>
      <c r="I19" s="176">
        <v>309799</v>
      </c>
      <c r="J19" s="176">
        <v>321610</v>
      </c>
      <c r="K19" s="186">
        <v>300000</v>
      </c>
      <c r="L19" s="186">
        <v>280000</v>
      </c>
      <c r="M19" s="186">
        <v>260000</v>
      </c>
      <c r="N19" s="186">
        <v>290000</v>
      </c>
      <c r="O19" s="186">
        <v>320000</v>
      </c>
      <c r="P19" s="186">
        <f>O19*0.95</f>
        <v>304000</v>
      </c>
      <c r="Q19" s="186">
        <f t="shared" ref="Q19:Q20" si="16">P19*0.95</f>
        <v>288800</v>
      </c>
      <c r="R19" s="186">
        <f t="shared" ref="R19:R20" si="17">Q19*0.95</f>
        <v>274360</v>
      </c>
      <c r="S19" s="186">
        <f t="shared" ref="S19:S20" si="18">R19*0.95</f>
        <v>260642</v>
      </c>
      <c r="T19" s="186">
        <f t="shared" ref="T19:T20" si="19">S19*0.95</f>
        <v>247609.9</v>
      </c>
      <c r="U19" s="186">
        <f t="shared" ref="U19:U20" si="20">T19*0.95</f>
        <v>235229.40499999997</v>
      </c>
      <c r="V19" s="186">
        <f t="shared" ref="V19:V20" si="21">U19*0.95</f>
        <v>223467.93474999996</v>
      </c>
      <c r="W19" s="186">
        <f t="shared" ref="W19:W20" si="22">V19*0.95</f>
        <v>212294.53801249995</v>
      </c>
      <c r="X19" s="186">
        <f t="shared" ref="X19:X20" si="23">W19*0.95</f>
        <v>201679.81111187494</v>
      </c>
      <c r="Y19" s="186">
        <v>200000</v>
      </c>
      <c r="Z19" s="186">
        <v>200000</v>
      </c>
      <c r="AA19" s="186">
        <v>200000</v>
      </c>
      <c r="AB19" s="186">
        <v>200000</v>
      </c>
      <c r="AC19" s="186">
        <v>200000</v>
      </c>
      <c r="AD19" s="186">
        <v>200000</v>
      </c>
      <c r="AE19" s="186">
        <v>200000</v>
      </c>
    </row>
    <row r="20" spans="2:31">
      <c r="C20" s="50" t="s">
        <v>141</v>
      </c>
      <c r="E20" s="39"/>
      <c r="G20" s="52"/>
      <c r="H20" s="52"/>
      <c r="I20" s="52"/>
      <c r="J20" s="52"/>
      <c r="K20" s="186">
        <v>350000</v>
      </c>
      <c r="L20" s="186">
        <v>330000</v>
      </c>
      <c r="M20" s="186">
        <v>300000</v>
      </c>
      <c r="N20" s="186">
        <v>320000</v>
      </c>
      <c r="O20" s="186">
        <v>350000</v>
      </c>
      <c r="P20" s="186">
        <f t="shared" ref="P20" si="24">O20*0.95</f>
        <v>332500</v>
      </c>
      <c r="Q20" s="186">
        <f t="shared" si="16"/>
        <v>315875</v>
      </c>
      <c r="R20" s="186">
        <f t="shared" si="17"/>
        <v>300081.25</v>
      </c>
      <c r="S20" s="186">
        <f t="shared" si="18"/>
        <v>285077.1875</v>
      </c>
      <c r="T20" s="186">
        <f t="shared" si="19"/>
        <v>270823.328125</v>
      </c>
      <c r="U20" s="186">
        <f t="shared" si="20"/>
        <v>257282.16171874999</v>
      </c>
      <c r="V20" s="186">
        <f t="shared" si="21"/>
        <v>244418.05363281249</v>
      </c>
      <c r="W20" s="186">
        <f t="shared" si="22"/>
        <v>232197.15095117185</v>
      </c>
      <c r="X20" s="186">
        <f t="shared" si="23"/>
        <v>220587.29340361324</v>
      </c>
      <c r="Y20" s="186">
        <f t="shared" ref="Y20" si="25">X20*0.95</f>
        <v>209557.92873343258</v>
      </c>
      <c r="Z20" s="186">
        <v>200000</v>
      </c>
      <c r="AA20" s="186">
        <v>200000</v>
      </c>
      <c r="AB20" s="186">
        <v>200000</v>
      </c>
      <c r="AC20" s="186">
        <v>200000</v>
      </c>
      <c r="AD20" s="186">
        <v>200000</v>
      </c>
      <c r="AE20" s="186">
        <v>200000</v>
      </c>
    </row>
    <row r="21" spans="2:31">
      <c r="C21" s="50"/>
      <c r="E21" s="39"/>
      <c r="G21" s="52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</row>
    <row r="22" spans="2:31">
      <c r="B22" s="60" t="s">
        <v>202</v>
      </c>
      <c r="C22" s="26"/>
      <c r="D22" s="26"/>
      <c r="E22" s="216"/>
      <c r="F22" s="26"/>
      <c r="G22" s="180"/>
      <c r="H22" s="180"/>
      <c r="I22" s="180"/>
      <c r="J22" s="180"/>
      <c r="K22" s="181"/>
      <c r="L22" s="26"/>
      <c r="M22" s="26"/>
      <c r="N22" s="26"/>
      <c r="O22" s="26"/>
      <c r="P22" s="209" t="s">
        <v>266</v>
      </c>
      <c r="Q22" s="26"/>
      <c r="R22" s="26"/>
      <c r="S22" s="26"/>
      <c r="T22" s="26"/>
      <c r="U22" s="26"/>
      <c r="V22" s="26"/>
      <c r="W22" s="26"/>
    </row>
    <row r="23" spans="2:31">
      <c r="C23" s="179"/>
      <c r="E23" s="53"/>
      <c r="G23" s="57"/>
      <c r="H23" s="57"/>
      <c r="I23" s="57"/>
      <c r="J23" s="57"/>
    </row>
    <row r="24" spans="2:31">
      <c r="C24" s="52" t="s">
        <v>294</v>
      </c>
      <c r="E24" s="39" t="s">
        <v>129</v>
      </c>
      <c r="G24" s="182">
        <v>210815</v>
      </c>
      <c r="H24" s="182">
        <v>279394</v>
      </c>
      <c r="I24" s="182">
        <v>328054</v>
      </c>
      <c r="J24" s="182">
        <v>409524</v>
      </c>
      <c r="K24" s="182">
        <v>481000</v>
      </c>
      <c r="L24" s="174">
        <f t="shared" ref="L24:U24" si="26">SUM(L27,L29)</f>
        <v>659851.07183240401</v>
      </c>
      <c r="M24" s="174">
        <f t="shared" si="26"/>
        <v>747462.13614234817</v>
      </c>
      <c r="N24" s="174">
        <f t="shared" si="26"/>
        <v>805415.24294946576</v>
      </c>
      <c r="O24" s="174">
        <f t="shared" si="26"/>
        <v>854741.205096939</v>
      </c>
      <c r="P24" s="174">
        <f t="shared" si="26"/>
        <v>902322.79735178594</v>
      </c>
      <c r="Q24" s="174">
        <f t="shared" si="26"/>
        <v>947438.93721937528</v>
      </c>
      <c r="R24" s="174">
        <f t="shared" si="26"/>
        <v>994810.88408034411</v>
      </c>
      <c r="S24" s="174">
        <f t="shared" si="26"/>
        <v>746108.16306025803</v>
      </c>
      <c r="T24" s="174">
        <f t="shared" si="26"/>
        <v>596886.53044820647</v>
      </c>
      <c r="U24" s="174">
        <f t="shared" si="26"/>
        <v>507353.55088097544</v>
      </c>
      <c r="V24" s="174">
        <f t="shared" ref="V24" si="27">SUM(V27,V29)</f>
        <v>431250.51824882918</v>
      </c>
    </row>
    <row r="25" spans="2:31">
      <c r="C25" s="183" t="s">
        <v>131</v>
      </c>
      <c r="E25" s="53"/>
      <c r="H25" s="167">
        <f>H24/G24-1</f>
        <v>0.32530417664777178</v>
      </c>
      <c r="I25" s="167">
        <f t="shared" ref="I25:R25" si="28">I24/H24-1</f>
        <v>0.17416265202545511</v>
      </c>
      <c r="J25" s="167">
        <f t="shared" si="28"/>
        <v>0.24834326056076139</v>
      </c>
      <c r="K25" s="167">
        <f t="shared" si="28"/>
        <v>0.17453433742588964</v>
      </c>
      <c r="L25" s="167">
        <f t="shared" si="28"/>
        <v>0.3718317501713182</v>
      </c>
      <c r="M25" s="167">
        <f t="shared" si="28"/>
        <v>0.13277399711824156</v>
      </c>
      <c r="N25" s="167">
        <f t="shared" si="28"/>
        <v>7.7533167240033896E-2</v>
      </c>
      <c r="O25" s="167">
        <f t="shared" si="28"/>
        <v>6.1242896231811228E-2</v>
      </c>
      <c r="P25" s="167">
        <f t="shared" si="28"/>
        <v>5.5667834861723442E-2</v>
      </c>
      <c r="Q25" s="167">
        <f t="shared" si="28"/>
        <v>5.0000000000000044E-2</v>
      </c>
      <c r="R25" s="167">
        <f t="shared" si="28"/>
        <v>5.0000000000000044E-2</v>
      </c>
      <c r="S25" s="167">
        <f t="shared" ref="S25" si="29">S24/R24-1</f>
        <v>-0.25000000000000011</v>
      </c>
      <c r="T25" s="167">
        <f t="shared" ref="T25" si="30">T24/S24-1</f>
        <v>-0.19999999999999996</v>
      </c>
      <c r="U25" s="167">
        <f t="shared" ref="U25" si="31">U24/T24-1</f>
        <v>-0.15000000000000013</v>
      </c>
      <c r="V25" s="167">
        <f t="shared" ref="V25" si="32">V24/U24-1</f>
        <v>-0.14999999999999991</v>
      </c>
    </row>
    <row r="26" spans="2:31">
      <c r="C26" s="179"/>
      <c r="E26" s="53"/>
      <c r="H26" s="167"/>
      <c r="I26" s="167"/>
      <c r="J26" s="16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</row>
    <row r="27" spans="2:31">
      <c r="C27" s="44" t="s">
        <v>122</v>
      </c>
      <c r="E27" s="35" t="s">
        <v>129</v>
      </c>
      <c r="G27" s="57">
        <v>21422</v>
      </c>
      <c r="H27" s="57">
        <v>42678</v>
      </c>
      <c r="I27" s="57">
        <v>75697</v>
      </c>
      <c r="J27" s="57">
        <v>134709</v>
      </c>
      <c r="K27" s="184">
        <v>245000</v>
      </c>
      <c r="L27" s="184">
        <f t="shared" ref="L27:V29" si="33">K27*(1+L28)</f>
        <v>343000</v>
      </c>
      <c r="M27" s="184">
        <f t="shared" si="33"/>
        <v>411600</v>
      </c>
      <c r="N27" s="184">
        <f t="shared" si="33"/>
        <v>452760.00000000006</v>
      </c>
      <c r="O27" s="184">
        <f t="shared" si="33"/>
        <v>484453.20000000007</v>
      </c>
      <c r="P27" s="184">
        <f t="shared" si="33"/>
        <v>513520.39200000011</v>
      </c>
      <c r="Q27" s="184">
        <f t="shared" si="33"/>
        <v>539196.41160000011</v>
      </c>
      <c r="R27" s="184">
        <f t="shared" si="33"/>
        <v>566156.23218000017</v>
      </c>
      <c r="S27" s="184">
        <f t="shared" si="33"/>
        <v>424617.1741350001</v>
      </c>
      <c r="T27" s="184">
        <f t="shared" si="33"/>
        <v>339693.73930800008</v>
      </c>
      <c r="U27" s="184">
        <f t="shared" si="33"/>
        <v>288739.67841180007</v>
      </c>
      <c r="V27" s="184">
        <f t="shared" si="33"/>
        <v>245428.72665003006</v>
      </c>
    </row>
    <row r="28" spans="2:31">
      <c r="C28" s="51" t="s">
        <v>131</v>
      </c>
      <c r="E28" s="53" t="s">
        <v>15</v>
      </c>
      <c r="G28" s="57"/>
      <c r="H28" s="187">
        <f>H27/G27-1</f>
        <v>0.99225095696013454</v>
      </c>
      <c r="I28" s="187">
        <f t="shared" ref="I28:J28" si="34">I27/H27-1</f>
        <v>0.77367730446600125</v>
      </c>
      <c r="J28" s="187">
        <f t="shared" si="34"/>
        <v>0.7795817535701548</v>
      </c>
      <c r="K28" s="195">
        <v>0.6</v>
      </c>
      <c r="L28" s="195">
        <v>0.4</v>
      </c>
      <c r="M28" s="195">
        <v>0.2</v>
      </c>
      <c r="N28" s="195">
        <v>0.1</v>
      </c>
      <c r="O28" s="195">
        <v>7.0000000000000007E-2</v>
      </c>
      <c r="P28" s="195">
        <v>0.06</v>
      </c>
      <c r="Q28" s="195">
        <v>0.05</v>
      </c>
      <c r="R28" s="195">
        <v>0.05</v>
      </c>
      <c r="S28" s="195">
        <v>-0.25</v>
      </c>
      <c r="T28" s="195">
        <v>-0.2</v>
      </c>
      <c r="U28" s="195">
        <v>-0.15</v>
      </c>
      <c r="V28" s="195">
        <v>-0.15</v>
      </c>
    </row>
    <row r="29" spans="2:31">
      <c r="C29" s="179" t="s">
        <v>130</v>
      </c>
      <c r="E29" s="35" t="s">
        <v>129</v>
      </c>
      <c r="G29" s="57">
        <v>189393</v>
      </c>
      <c r="H29" s="57">
        <v>236716</v>
      </c>
      <c r="I29" s="57">
        <v>252357</v>
      </c>
      <c r="J29" s="57">
        <v>274815</v>
      </c>
      <c r="K29" s="184">
        <f>J29*(1+K30)</f>
        <v>296122.49703962984</v>
      </c>
      <c r="L29" s="184">
        <f t="shared" si="33"/>
        <v>316851.07183240395</v>
      </c>
      <c r="M29" s="184">
        <f t="shared" ref="M29" si="35">L29*(1+M30)</f>
        <v>335862.13614234823</v>
      </c>
      <c r="N29" s="184">
        <f t="shared" ref="N29" si="36">M29*(1+N30)</f>
        <v>352655.24294946564</v>
      </c>
      <c r="O29" s="184">
        <f t="shared" ref="O29" si="37">N29*(1+O30)</f>
        <v>370288.00509693893</v>
      </c>
      <c r="P29" s="184">
        <f t="shared" ref="P29" si="38">O29*(1+P30)</f>
        <v>388802.40535178588</v>
      </c>
      <c r="Q29" s="184">
        <f t="shared" ref="Q29" si="39">P29*(1+Q30)</f>
        <v>408242.52561937517</v>
      </c>
      <c r="R29" s="184">
        <f t="shared" ref="R29" si="40">Q29*(1+R30)</f>
        <v>428654.65190034395</v>
      </c>
      <c r="S29" s="184">
        <f t="shared" ref="S29" si="41">R29*(1+S30)</f>
        <v>321490.98892525793</v>
      </c>
      <c r="T29" s="184">
        <f t="shared" ref="T29" si="42">S29*(1+T30)</f>
        <v>257192.79114020636</v>
      </c>
      <c r="U29" s="184">
        <f t="shared" ref="U29" si="43">T29*(1+U30)</f>
        <v>218613.8724691754</v>
      </c>
      <c r="V29" s="184">
        <f t="shared" ref="V29" si="44">U29*(1+V30)</f>
        <v>185821.79159879909</v>
      </c>
    </row>
    <row r="30" spans="2:31">
      <c r="C30" s="51" t="s">
        <v>131</v>
      </c>
      <c r="E30" s="35"/>
      <c r="G30" s="57"/>
      <c r="H30" s="187">
        <f>H29/G29-1</f>
        <v>0.24986667933872941</v>
      </c>
      <c r="I30" s="187">
        <f t="shared" ref="I30:J30" si="45">I29/H29-1</f>
        <v>6.6074959022626167E-2</v>
      </c>
      <c r="J30" s="187">
        <f t="shared" si="45"/>
        <v>8.8992974238875977E-2</v>
      </c>
      <c r="K30" s="195">
        <f>AVERAGE(I30:J30)</f>
        <v>7.7533966630751072E-2</v>
      </c>
      <c r="L30" s="195">
        <v>7.0000000000000007E-2</v>
      </c>
      <c r="M30" s="195">
        <v>0.06</v>
      </c>
      <c r="N30" s="195">
        <v>0.05</v>
      </c>
      <c r="O30" s="195">
        <v>0.05</v>
      </c>
      <c r="P30" s="195">
        <f t="shared" ref="P30" si="46">AVERAGE(N30:O30)</f>
        <v>0.05</v>
      </c>
      <c r="Q30" s="195">
        <f t="shared" ref="Q30" si="47">AVERAGE(O30:P30)</f>
        <v>0.05</v>
      </c>
      <c r="R30" s="195">
        <f t="shared" ref="R30" si="48">AVERAGE(P30:Q30)</f>
        <v>0.05</v>
      </c>
      <c r="S30" s="195">
        <v>-0.25</v>
      </c>
      <c r="T30" s="195">
        <v>-0.2</v>
      </c>
      <c r="U30" s="195">
        <v>-0.15</v>
      </c>
      <c r="V30" s="195">
        <v>-0.15</v>
      </c>
    </row>
    <row r="31" spans="2:31">
      <c r="C31" s="179"/>
      <c r="E31" s="35"/>
      <c r="G31" s="57"/>
      <c r="H31" s="59"/>
      <c r="I31" s="59"/>
      <c r="J31" s="59"/>
      <c r="K31" s="59"/>
      <c r="L31" s="59"/>
      <c r="M31" s="59"/>
      <c r="N31" s="59"/>
      <c r="O31" s="59"/>
      <c r="P31" s="57"/>
      <c r="Q31" s="57"/>
      <c r="R31" s="57"/>
      <c r="S31" s="57"/>
      <c r="T31" s="57"/>
      <c r="U31" s="57"/>
      <c r="V31" s="57"/>
    </row>
    <row r="32" spans="2:31">
      <c r="C32" s="44" t="s">
        <v>132</v>
      </c>
      <c r="E32" s="53" t="s">
        <v>15</v>
      </c>
      <c r="G32" s="187">
        <f>-G40/G29</f>
        <v>9.4781750117480579E-2</v>
      </c>
      <c r="H32" s="187">
        <f>-H40/H29</f>
        <v>9.1637236181753665E-2</v>
      </c>
      <c r="I32" s="187">
        <f>-I40/I29</f>
        <v>0.23501230399790773</v>
      </c>
      <c r="J32" s="187">
        <f>-J40/J29</f>
        <v>0.30906973782362679</v>
      </c>
      <c r="K32" s="187">
        <f>IF(K39&gt;0,31%,0)</f>
        <v>0.31</v>
      </c>
      <c r="L32" s="187">
        <f t="shared" ref="L32:U32" si="49">IF(L39&gt;0,31%,0)</f>
        <v>0.31</v>
      </c>
      <c r="M32" s="187">
        <f t="shared" si="49"/>
        <v>0.31</v>
      </c>
      <c r="N32" s="187">
        <f t="shared" si="49"/>
        <v>0.31</v>
      </c>
      <c r="O32" s="187">
        <f t="shared" si="49"/>
        <v>0.31</v>
      </c>
      <c r="P32" s="187">
        <f t="shared" si="49"/>
        <v>0.31</v>
      </c>
      <c r="Q32" s="187">
        <f t="shared" si="49"/>
        <v>0.31</v>
      </c>
      <c r="R32" s="187">
        <f t="shared" si="49"/>
        <v>0.31</v>
      </c>
      <c r="S32" s="187">
        <f t="shared" si="49"/>
        <v>0.31</v>
      </c>
      <c r="T32" s="187">
        <f t="shared" si="49"/>
        <v>0.31</v>
      </c>
      <c r="U32" s="187">
        <f t="shared" si="49"/>
        <v>0.31</v>
      </c>
      <c r="V32" s="187">
        <f t="shared" ref="V32" si="50">IF(V39&gt;0,31%,0)</f>
        <v>0.31</v>
      </c>
    </row>
    <row r="33" spans="3:23">
      <c r="C33" s="44"/>
      <c r="E33" s="53"/>
      <c r="G33" s="57"/>
      <c r="H33" s="57"/>
      <c r="I33" s="57"/>
      <c r="J33" s="57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3:23">
      <c r="C34" s="179"/>
      <c r="E34" s="53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3:23">
      <c r="C35" s="51" t="s">
        <v>66</v>
      </c>
      <c r="E35" s="35" t="s">
        <v>129</v>
      </c>
      <c r="G35" s="38">
        <f>Model!G114</f>
        <v>0</v>
      </c>
      <c r="H35" s="38">
        <f>Model!H114</f>
        <v>0</v>
      </c>
      <c r="I35" s="38">
        <f>Model!I114</f>
        <v>29242</v>
      </c>
      <c r="J35" s="38">
        <f>Model!J114</f>
        <v>49847</v>
      </c>
      <c r="K35" s="38">
        <f>-L40</f>
        <v>98223.832268045226</v>
      </c>
      <c r="L35" s="38">
        <f t="shared" ref="L35:U35" si="51">-M40</f>
        <v>104117.26220412795</v>
      </c>
      <c r="M35" s="38">
        <f t="shared" si="51"/>
        <v>109323.12531433435</v>
      </c>
      <c r="N35" s="38">
        <f t="shared" si="51"/>
        <v>114789.28158005107</v>
      </c>
      <c r="O35" s="38">
        <f t="shared" si="51"/>
        <v>120528.74565905362</v>
      </c>
      <c r="P35" s="38">
        <f t="shared" si="51"/>
        <v>126555.1829420063</v>
      </c>
      <c r="Q35" s="38">
        <f t="shared" si="51"/>
        <v>132882.94208910663</v>
      </c>
      <c r="R35" s="38">
        <f t="shared" si="51"/>
        <v>99662.206566829962</v>
      </c>
      <c r="S35" s="38">
        <f t="shared" si="51"/>
        <v>79729.765253463978</v>
      </c>
      <c r="T35" s="38">
        <f t="shared" si="51"/>
        <v>67770.300465444379</v>
      </c>
      <c r="U35" s="38">
        <f t="shared" si="51"/>
        <v>57604.755395627719</v>
      </c>
      <c r="V35" s="38">
        <f t="shared" ref="V35" si="52">-W40</f>
        <v>0</v>
      </c>
    </row>
    <row r="36" spans="3:23">
      <c r="C36" s="56" t="s">
        <v>72</v>
      </c>
      <c r="E36" s="35" t="s">
        <v>129</v>
      </c>
      <c r="G36" s="55">
        <f>Model!G121</f>
        <v>351786</v>
      </c>
      <c r="H36" s="55">
        <f>Model!H121</f>
        <v>875439</v>
      </c>
      <c r="I36" s="55">
        <f>Model!I121</f>
        <v>862325</v>
      </c>
      <c r="J36" s="55">
        <f>Model!J121</f>
        <v>819824</v>
      </c>
      <c r="K36" s="55">
        <f>K37-K35</f>
        <v>1136384.9436496694</v>
      </c>
      <c r="L36" s="55">
        <f t="shared" ref="L36:V36" si="53">L37-L35</f>
        <v>1094669.3689455416</v>
      </c>
      <c r="M36" s="55">
        <f t="shared" si="53"/>
        <v>1049749.6030062072</v>
      </c>
      <c r="N36" s="55">
        <f t="shared" si="53"/>
        <v>996605.77064490609</v>
      </c>
      <c r="O36" s="55">
        <f t="shared" si="53"/>
        <v>937373.58650928992</v>
      </c>
      <c r="P36" s="55">
        <f t="shared" si="53"/>
        <v>873255.16797158052</v>
      </c>
      <c r="Q36" s="55">
        <f t="shared" si="53"/>
        <v>802817.75951284496</v>
      </c>
      <c r="R36" s="55">
        <f t="shared" si="53"/>
        <v>765111.6301402289</v>
      </c>
      <c r="S36" s="55">
        <f t="shared" si="53"/>
        <v>747415.59907484474</v>
      </c>
      <c r="T36" s="55">
        <f t="shared" si="53"/>
        <v>741863.32596364082</v>
      </c>
      <c r="U36" s="55">
        <f t="shared" si="53"/>
        <v>746421.91365973942</v>
      </c>
      <c r="V36" s="55">
        <f t="shared" si="53"/>
        <v>808514.70911680453</v>
      </c>
    </row>
    <row r="37" spans="3:23">
      <c r="C37" s="34" t="s">
        <v>121</v>
      </c>
      <c r="E37" s="39" t="s">
        <v>129</v>
      </c>
      <c r="G37" s="52">
        <f>SUM(G35:G36)</f>
        <v>351786</v>
      </c>
      <c r="H37" s="52">
        <f>SUM(H35:H36)</f>
        <v>875439</v>
      </c>
      <c r="I37" s="52">
        <f t="shared" ref="I37:J37" si="54">SUM(I35:I36)</f>
        <v>891567</v>
      </c>
      <c r="J37" s="52">
        <f t="shared" si="54"/>
        <v>869671</v>
      </c>
      <c r="K37" s="52">
        <f>K43</f>
        <v>1234608.7759177147</v>
      </c>
      <c r="L37" s="52">
        <f t="shared" ref="L37:U37" si="55">L43</f>
        <v>1198786.6311496694</v>
      </c>
      <c r="M37" s="52">
        <f t="shared" si="55"/>
        <v>1159072.7283205416</v>
      </c>
      <c r="N37" s="52">
        <f t="shared" si="55"/>
        <v>1111395.0522249572</v>
      </c>
      <c r="O37" s="52">
        <f t="shared" si="55"/>
        <v>1057902.3321683435</v>
      </c>
      <c r="P37" s="52">
        <f t="shared" si="55"/>
        <v>999810.35091358679</v>
      </c>
      <c r="Q37" s="52">
        <f t="shared" si="55"/>
        <v>935700.70160195162</v>
      </c>
      <c r="R37" s="52">
        <f t="shared" si="55"/>
        <v>864773.83670705883</v>
      </c>
      <c r="S37" s="52">
        <f t="shared" si="55"/>
        <v>827145.36432830873</v>
      </c>
      <c r="T37" s="52">
        <f t="shared" si="55"/>
        <v>809633.62642908515</v>
      </c>
      <c r="U37" s="52">
        <f t="shared" si="55"/>
        <v>804026.66905536712</v>
      </c>
      <c r="V37" s="52">
        <f t="shared" ref="V37" si="56">V43</f>
        <v>808514.70911680453</v>
      </c>
    </row>
    <row r="38" spans="3:23">
      <c r="C38" s="44"/>
      <c r="E38" s="53"/>
      <c r="G38" s="38"/>
      <c r="H38" s="38"/>
      <c r="I38" s="38"/>
      <c r="J38" s="38"/>
      <c r="K38" s="52"/>
      <c r="R38" s="38"/>
    </row>
    <row r="39" spans="3:23">
      <c r="C39" s="51" t="s">
        <v>123</v>
      </c>
      <c r="E39" s="35" t="s">
        <v>129</v>
      </c>
      <c r="G39" s="38">
        <v>335665</v>
      </c>
      <c r="H39" s="38">
        <f>G43</f>
        <v>351786</v>
      </c>
      <c r="I39" s="38">
        <f t="shared" ref="I39:K39" si="57">H43</f>
        <v>875439</v>
      </c>
      <c r="J39" s="38">
        <f t="shared" si="57"/>
        <v>891567</v>
      </c>
      <c r="K39" s="186">
        <f t="shared" si="57"/>
        <v>869671</v>
      </c>
      <c r="L39" s="186">
        <f t="shared" ref="L39:V39" si="58">K43</f>
        <v>1234608.7759177147</v>
      </c>
      <c r="M39" s="186">
        <f t="shared" si="58"/>
        <v>1198786.6311496694</v>
      </c>
      <c r="N39" s="186">
        <f t="shared" si="58"/>
        <v>1159072.7283205416</v>
      </c>
      <c r="O39" s="186">
        <f t="shared" si="58"/>
        <v>1111395.0522249572</v>
      </c>
      <c r="P39" s="186">
        <f t="shared" si="58"/>
        <v>1057902.3321683435</v>
      </c>
      <c r="Q39" s="186">
        <f t="shared" si="58"/>
        <v>999810.35091358679</v>
      </c>
      <c r="R39" s="186">
        <f t="shared" si="58"/>
        <v>935700.70160195162</v>
      </c>
      <c r="S39" s="186">
        <f t="shared" si="58"/>
        <v>864773.83670705883</v>
      </c>
      <c r="T39" s="186">
        <f t="shared" si="58"/>
        <v>827145.36432830873</v>
      </c>
      <c r="U39" s="186">
        <f t="shared" si="58"/>
        <v>809633.62642908515</v>
      </c>
      <c r="V39" s="186">
        <f t="shared" si="58"/>
        <v>804026.66905536712</v>
      </c>
    </row>
    <row r="40" spans="3:23">
      <c r="C40" s="51" t="s">
        <v>124</v>
      </c>
      <c r="E40" s="35" t="s">
        <v>129</v>
      </c>
      <c r="G40" s="38">
        <v>-17951</v>
      </c>
      <c r="H40" s="38">
        <v>-21692</v>
      </c>
      <c r="I40" s="38">
        <v>-59307</v>
      </c>
      <c r="J40" s="38">
        <v>-84937</v>
      </c>
      <c r="K40" s="186">
        <f t="shared" ref="K40:V40" si="59">IF(K29*K32&lt;K39,-K29*K32,-K39)</f>
        <v>-91797.974082285247</v>
      </c>
      <c r="L40" s="186">
        <f t="shared" si="59"/>
        <v>-98223.832268045226</v>
      </c>
      <c r="M40" s="186">
        <f t="shared" si="59"/>
        <v>-104117.26220412795</v>
      </c>
      <c r="N40" s="186">
        <f t="shared" si="59"/>
        <v>-109323.12531433435</v>
      </c>
      <c r="O40" s="186">
        <f t="shared" si="59"/>
        <v>-114789.28158005107</v>
      </c>
      <c r="P40" s="186">
        <f t="shared" si="59"/>
        <v>-120528.74565905362</v>
      </c>
      <c r="Q40" s="186">
        <f t="shared" si="59"/>
        <v>-126555.1829420063</v>
      </c>
      <c r="R40" s="186">
        <f t="shared" si="59"/>
        <v>-132882.94208910663</v>
      </c>
      <c r="S40" s="186">
        <f t="shared" si="59"/>
        <v>-99662.206566829962</v>
      </c>
      <c r="T40" s="186">
        <f t="shared" si="59"/>
        <v>-79729.765253463978</v>
      </c>
      <c r="U40" s="186">
        <f t="shared" si="59"/>
        <v>-67770.300465444379</v>
      </c>
      <c r="V40" s="186">
        <f t="shared" si="59"/>
        <v>-57604.755395627719</v>
      </c>
    </row>
    <row r="41" spans="3:23">
      <c r="C41" s="51" t="s">
        <v>128</v>
      </c>
      <c r="E41" s="35" t="s">
        <v>129</v>
      </c>
      <c r="G41" s="38">
        <f>Model!G183</f>
        <v>0</v>
      </c>
      <c r="H41" s="38">
        <f>Model!H183</f>
        <v>490950</v>
      </c>
      <c r="I41" s="38">
        <f>Model!I183</f>
        <v>0</v>
      </c>
      <c r="J41" s="38">
        <f>Model!J183</f>
        <v>0</v>
      </c>
      <c r="K41" s="186">
        <v>400000</v>
      </c>
      <c r="L41" s="186">
        <v>0</v>
      </c>
      <c r="M41" s="186">
        <v>0</v>
      </c>
      <c r="N41" s="186">
        <v>0</v>
      </c>
      <c r="O41" s="186">
        <v>0</v>
      </c>
      <c r="P41" s="186">
        <v>0</v>
      </c>
      <c r="Q41" s="186">
        <v>0</v>
      </c>
      <c r="R41" s="186">
        <v>0</v>
      </c>
      <c r="S41" s="186">
        <v>0</v>
      </c>
      <c r="T41" s="186">
        <v>0</v>
      </c>
      <c r="U41" s="186">
        <v>0</v>
      </c>
      <c r="V41" s="186">
        <v>0</v>
      </c>
    </row>
    <row r="42" spans="3:23">
      <c r="C42" s="56" t="s">
        <v>125</v>
      </c>
      <c r="E42" s="35" t="s">
        <v>129</v>
      </c>
      <c r="G42" s="55">
        <v>34072</v>
      </c>
      <c r="H42" s="55">
        <v>54395</v>
      </c>
      <c r="I42" s="55">
        <v>75435</v>
      </c>
      <c r="J42" s="55">
        <f>Model!J155</f>
        <v>63041</v>
      </c>
      <c r="K42" s="83">
        <f>AVERAGE(G42:J42)</f>
        <v>56735.75</v>
      </c>
      <c r="L42" s="83">
        <f t="shared" ref="L42:V42" si="60">AVERAGE(H42:K42)</f>
        <v>62401.6875</v>
      </c>
      <c r="M42" s="83">
        <f t="shared" si="60"/>
        <v>64403.359375</v>
      </c>
      <c r="N42" s="83">
        <f t="shared" si="60"/>
        <v>61645.44921875</v>
      </c>
      <c r="O42" s="83">
        <f t="shared" si="60"/>
        <v>61296.5615234375</v>
      </c>
      <c r="P42" s="83">
        <f t="shared" si="60"/>
        <v>62436.764404296875</v>
      </c>
      <c r="Q42" s="83">
        <f t="shared" si="60"/>
        <v>62445.533630371094</v>
      </c>
      <c r="R42" s="83">
        <f t="shared" si="60"/>
        <v>61956.077194213867</v>
      </c>
      <c r="S42" s="83">
        <f t="shared" si="60"/>
        <v>62033.734188079834</v>
      </c>
      <c r="T42" s="83">
        <f t="shared" si="60"/>
        <v>62218.027354240417</v>
      </c>
      <c r="U42" s="83">
        <f t="shared" si="60"/>
        <v>62163.343091726303</v>
      </c>
      <c r="V42" s="83">
        <f t="shared" si="60"/>
        <v>62092.795457065105</v>
      </c>
    </row>
    <row r="43" spans="3:23">
      <c r="C43" s="34" t="s">
        <v>126</v>
      </c>
      <c r="E43" s="39" t="s">
        <v>129</v>
      </c>
      <c r="G43" s="52">
        <f>SUM(G39:G42)</f>
        <v>351786</v>
      </c>
      <c r="H43" s="52">
        <f t="shared" ref="H43:K43" si="61">SUM(H39:H42)</f>
        <v>875439</v>
      </c>
      <c r="I43" s="52">
        <f t="shared" si="61"/>
        <v>891567</v>
      </c>
      <c r="J43" s="52">
        <f t="shared" si="61"/>
        <v>869671</v>
      </c>
      <c r="K43" s="52">
        <f t="shared" si="61"/>
        <v>1234608.7759177147</v>
      </c>
      <c r="L43" s="52">
        <f t="shared" ref="L43" si="62">SUM(L39:L42)</f>
        <v>1198786.6311496694</v>
      </c>
      <c r="M43" s="52">
        <f t="shared" ref="M43" si="63">SUM(M39:M42)</f>
        <v>1159072.7283205416</v>
      </c>
      <c r="N43" s="52">
        <f t="shared" ref="N43" si="64">SUM(N39:N42)</f>
        <v>1111395.0522249572</v>
      </c>
      <c r="O43" s="52">
        <f t="shared" ref="O43" si="65">SUM(O39:O42)</f>
        <v>1057902.3321683435</v>
      </c>
      <c r="P43" s="52">
        <f t="shared" ref="P43" si="66">SUM(P39:P42)</f>
        <v>999810.35091358679</v>
      </c>
      <c r="Q43" s="52">
        <f t="shared" ref="Q43" si="67">SUM(Q39:Q42)</f>
        <v>935700.70160195162</v>
      </c>
      <c r="R43" s="52">
        <f t="shared" ref="R43" si="68">SUM(R39:R42)</f>
        <v>864773.83670705883</v>
      </c>
      <c r="S43" s="52">
        <f t="shared" ref="S43" si="69">SUM(S39:S42)</f>
        <v>827145.36432830873</v>
      </c>
      <c r="T43" s="52">
        <f t="shared" ref="T43" si="70">SUM(T39:T42)</f>
        <v>809633.62642908515</v>
      </c>
      <c r="U43" s="52">
        <f t="shared" ref="U43:V43" si="71">SUM(U39:U42)</f>
        <v>804026.66905536712</v>
      </c>
      <c r="V43" s="52">
        <f t="shared" si="71"/>
        <v>808514.70911680453</v>
      </c>
    </row>
    <row r="44" spans="3:23">
      <c r="C44" s="44"/>
      <c r="E44" s="53"/>
      <c r="G44" s="38"/>
      <c r="H44" s="38"/>
      <c r="I44" s="38"/>
      <c r="J44" s="38"/>
      <c r="K44" s="52"/>
    </row>
    <row r="45" spans="3:23">
      <c r="C45" s="51" t="s">
        <v>127</v>
      </c>
      <c r="E45" s="35" t="s">
        <v>129</v>
      </c>
      <c r="G45" s="38">
        <v>29422</v>
      </c>
      <c r="H45" s="38">
        <v>43015</v>
      </c>
      <c r="I45" s="38">
        <v>66004</v>
      </c>
      <c r="J45" s="38">
        <v>63041</v>
      </c>
      <c r="K45" s="52"/>
    </row>
    <row r="46" spans="3:23">
      <c r="C46" s="44"/>
      <c r="E46" s="53"/>
      <c r="G46" s="57"/>
      <c r="H46" s="57"/>
      <c r="I46" s="57"/>
      <c r="J46" s="57"/>
      <c r="K46" s="52"/>
    </row>
    <row r="47" spans="3:23">
      <c r="C47" s="44" t="s">
        <v>293</v>
      </c>
      <c r="E47" s="35" t="s">
        <v>180</v>
      </c>
      <c r="G47" s="57">
        <f>(G24/G9)*G12</f>
        <v>12679.029327562499</v>
      </c>
      <c r="H47" s="57">
        <f>(H24/H9)*H12</f>
        <v>20969.266248823988</v>
      </c>
      <c r="I47" s="57">
        <f>(I24/I9)*I12</f>
        <v>34269.920017561293</v>
      </c>
      <c r="J47" s="57">
        <f>(J24/J9)*J12</f>
        <v>56087.602363315069</v>
      </c>
      <c r="K47" s="184">
        <f t="shared" ref="K47:V47" si="72">K24*K48</f>
        <v>45288.301336688986</v>
      </c>
      <c r="L47" s="184">
        <f t="shared" si="72"/>
        <v>67738.569825588362</v>
      </c>
      <c r="M47" s="184">
        <f t="shared" si="72"/>
        <v>81890.855486040266</v>
      </c>
      <c r="N47" s="184">
        <f t="shared" si="72"/>
        <v>89265.863239481609</v>
      </c>
      <c r="O47" s="184">
        <f t="shared" si="72"/>
        <v>89150.035057908128</v>
      </c>
      <c r="P47" s="184">
        <f t="shared" si="72"/>
        <v>96401.598826836809</v>
      </c>
      <c r="Q47" s="184">
        <f t="shared" si="72"/>
        <v>102211.70315969993</v>
      </c>
      <c r="R47" s="184">
        <f t="shared" si="72"/>
        <v>106905.35500351894</v>
      </c>
      <c r="S47" s="184">
        <f t="shared" si="72"/>
        <v>79550.58656722153</v>
      </c>
      <c r="T47" s="184">
        <f t="shared" si="72"/>
        <v>63986.678217613029</v>
      </c>
      <c r="U47" s="184">
        <f t="shared" si="72"/>
        <v>54434.79336112392</v>
      </c>
      <c r="V47" s="184">
        <f t="shared" si="72"/>
        <v>46205.914949765065</v>
      </c>
    </row>
    <row r="48" spans="3:23">
      <c r="C48" s="51" t="s">
        <v>296</v>
      </c>
      <c r="E48" s="53" t="s">
        <v>15</v>
      </c>
      <c r="G48" s="187">
        <f>G47/G24</f>
        <v>6.0142918329163006E-2</v>
      </c>
      <c r="H48" s="187">
        <f>H47/H24</f>
        <v>7.5052672028833783E-2</v>
      </c>
      <c r="I48" s="187">
        <f>I47/I24</f>
        <v>0.10446426508306954</v>
      </c>
      <c r="J48" s="187">
        <f>J47/J24</f>
        <v>0.13695803509272977</v>
      </c>
      <c r="K48" s="188">
        <f>AVERAGE(G48:J48)</f>
        <v>9.4154472633449032E-2</v>
      </c>
      <c r="L48" s="188">
        <f t="shared" ref="L48:V48" si="73">AVERAGE(H48:K48)</f>
        <v>0.10265736120952051</v>
      </c>
      <c r="M48" s="188">
        <f t="shared" si="73"/>
        <v>0.10955853350469222</v>
      </c>
      <c r="N48" s="188">
        <f t="shared" si="73"/>
        <v>0.11083210061009788</v>
      </c>
      <c r="O48" s="188">
        <f t="shared" si="73"/>
        <v>0.1043006169894399</v>
      </c>
      <c r="P48" s="188">
        <f t="shared" si="73"/>
        <v>0.10683715307843764</v>
      </c>
      <c r="Q48" s="188">
        <f t="shared" si="73"/>
        <v>0.10788210104566692</v>
      </c>
      <c r="R48" s="188">
        <f t="shared" si="73"/>
        <v>0.10746299293091059</v>
      </c>
      <c r="S48" s="188">
        <f t="shared" si="73"/>
        <v>0.10662071601111377</v>
      </c>
      <c r="T48" s="188">
        <f t="shared" si="73"/>
        <v>0.10720074076653223</v>
      </c>
      <c r="U48" s="188">
        <f t="shared" si="73"/>
        <v>0.10729163768855589</v>
      </c>
      <c r="V48" s="188">
        <f t="shared" si="73"/>
        <v>0.10714402184927811</v>
      </c>
    </row>
    <row r="49" spans="2:43">
      <c r="C49" s="44"/>
      <c r="E49" s="53"/>
      <c r="G49" s="57"/>
      <c r="H49" s="57"/>
      <c r="I49" s="57"/>
      <c r="J49" s="57"/>
      <c r="K49" s="52"/>
    </row>
    <row r="50" spans="2:43">
      <c r="C50" s="44"/>
      <c r="E50" s="53"/>
      <c r="G50" s="57"/>
      <c r="H50" s="57"/>
      <c r="I50" s="57"/>
      <c r="J50" s="57"/>
      <c r="K50" s="52"/>
    </row>
    <row r="51" spans="2:43">
      <c r="C51" s="44"/>
      <c r="E51" s="53"/>
      <c r="G51" s="57"/>
      <c r="H51" s="57"/>
      <c r="I51" s="57"/>
      <c r="K51" s="52"/>
      <c r="L51" s="52"/>
      <c r="O51" s="36"/>
      <c r="P51" s="37"/>
      <c r="Q51" s="37"/>
      <c r="R51" s="38"/>
      <c r="S51" s="38"/>
      <c r="T51" s="38"/>
      <c r="U51" s="57"/>
      <c r="V51" s="57"/>
      <c r="W51" s="57"/>
      <c r="X51" s="57"/>
      <c r="Y51" s="57"/>
      <c r="Z51" s="57"/>
    </row>
    <row r="52" spans="2:43">
      <c r="B52" s="60" t="s">
        <v>136</v>
      </c>
      <c r="C52" s="26"/>
      <c r="D52" s="26"/>
      <c r="E52" s="216"/>
      <c r="F52" s="26"/>
      <c r="G52" s="180"/>
      <c r="H52" s="180"/>
      <c r="I52" s="180"/>
      <c r="J52" s="180"/>
      <c r="K52" s="181"/>
      <c r="L52" s="26"/>
      <c r="M52" s="26"/>
      <c r="N52" s="26"/>
      <c r="O52" s="26"/>
      <c r="P52" s="26"/>
      <c r="Q52" s="26"/>
      <c r="R52" s="26"/>
      <c r="S52" s="26"/>
      <c r="T52" s="209" t="s">
        <v>266</v>
      </c>
      <c r="U52" s="26"/>
      <c r="V52" s="26"/>
      <c r="W52" s="26"/>
    </row>
    <row r="53" spans="2:43">
      <c r="C53" s="44"/>
      <c r="E53" s="53"/>
      <c r="G53" s="57"/>
      <c r="H53" s="57"/>
      <c r="I53" s="57"/>
      <c r="J53" s="57"/>
      <c r="K53" s="52"/>
    </row>
    <row r="54" spans="2:43">
      <c r="C54" s="34" t="s">
        <v>133</v>
      </c>
      <c r="E54" s="53"/>
      <c r="G54" s="57"/>
      <c r="H54" s="57"/>
      <c r="I54" s="57"/>
      <c r="J54" s="57"/>
      <c r="K54" s="52"/>
    </row>
    <row r="55" spans="2:43">
      <c r="C55" s="51" t="s">
        <v>209</v>
      </c>
      <c r="E55" s="53" t="s">
        <v>20</v>
      </c>
      <c r="G55" s="57">
        <v>10781.644506875</v>
      </c>
      <c r="H55" s="57">
        <v>10835.823625000001</v>
      </c>
      <c r="I55" s="57">
        <v>10890.275</v>
      </c>
      <c r="J55" s="57">
        <v>10945</v>
      </c>
      <c r="K55" s="184">
        <v>11000</v>
      </c>
      <c r="L55" s="184">
        <v>11055</v>
      </c>
      <c r="M55" s="184">
        <v>11110</v>
      </c>
      <c r="N55" s="184">
        <v>11165.5</v>
      </c>
      <c r="O55" s="184">
        <v>11221.5</v>
      </c>
      <c r="P55" s="184">
        <v>11278</v>
      </c>
      <c r="Q55" s="184">
        <v>11334</v>
      </c>
      <c r="R55" s="184">
        <v>11390.5</v>
      </c>
      <c r="S55" s="184">
        <v>11448</v>
      </c>
      <c r="T55" s="184">
        <v>11505.5</v>
      </c>
      <c r="U55" s="184">
        <v>11563</v>
      </c>
      <c r="V55" s="184">
        <v>11620.5</v>
      </c>
      <c r="W55" s="184">
        <v>11678</v>
      </c>
    </row>
    <row r="56" spans="2:43">
      <c r="C56" s="50" t="s">
        <v>131</v>
      </c>
      <c r="E56" s="53" t="s">
        <v>15</v>
      </c>
      <c r="G56" s="57"/>
      <c r="H56" s="220">
        <v>5.0000000000000001E-3</v>
      </c>
      <c r="I56" s="220">
        <v>5.0000000000000001E-3</v>
      </c>
      <c r="J56" s="220">
        <v>5.0000000000000001E-3</v>
      </c>
      <c r="K56" s="221">
        <v>5.0000000000000001E-3</v>
      </c>
      <c r="L56" s="221">
        <v>5.0000000000000001E-3</v>
      </c>
      <c r="M56" s="221">
        <v>5.0000000000000001E-3</v>
      </c>
      <c r="N56" s="221">
        <v>5.0000000000000001E-3</v>
      </c>
      <c r="O56" s="221">
        <v>5.0000000000000001E-3</v>
      </c>
      <c r="P56" s="221">
        <v>5.0000000000000001E-3</v>
      </c>
      <c r="Q56" s="221">
        <v>5.0000000000000001E-3</v>
      </c>
      <c r="R56" s="221">
        <v>5.0000000000000001E-3</v>
      </c>
      <c r="S56" s="221">
        <v>5.0000000000000001E-3</v>
      </c>
      <c r="T56" s="221">
        <v>5.0000000000000001E-3</v>
      </c>
      <c r="U56" s="221">
        <v>5.0000000000000001E-3</v>
      </c>
      <c r="V56" s="221">
        <v>5.0000000000000001E-3</v>
      </c>
      <c r="W56" s="221">
        <v>5.0000000000000001E-3</v>
      </c>
    </row>
    <row r="57" spans="2:43">
      <c r="C57" s="51"/>
      <c r="E57" s="53"/>
      <c r="G57" s="5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</row>
    <row r="58" spans="2:43">
      <c r="C58" s="34" t="s">
        <v>134</v>
      </c>
      <c r="E58" s="53"/>
      <c r="G58" s="57"/>
      <c r="H58" s="57"/>
      <c r="I58" s="57"/>
      <c r="J58" s="57"/>
      <c r="K58" s="52"/>
    </row>
    <row r="59" spans="2:43">
      <c r="C59" s="51" t="s">
        <v>135</v>
      </c>
      <c r="E59" s="53" t="s">
        <v>20</v>
      </c>
      <c r="G59" s="57">
        <v>3100</v>
      </c>
      <c r="H59" s="57">
        <v>3200</v>
      </c>
      <c r="I59" s="57">
        <v>3300</v>
      </c>
      <c r="J59" s="57">
        <v>3400</v>
      </c>
      <c r="K59" s="184">
        <v>3500</v>
      </c>
      <c r="L59" s="184">
        <v>3675</v>
      </c>
      <c r="M59" s="184">
        <v>3822</v>
      </c>
      <c r="N59" s="184">
        <v>3937</v>
      </c>
      <c r="O59" s="184">
        <v>4035</v>
      </c>
      <c r="P59" s="184">
        <v>4116</v>
      </c>
      <c r="Q59" s="184">
        <v>4178</v>
      </c>
      <c r="R59" s="184">
        <v>4219</v>
      </c>
      <c r="S59" s="184">
        <v>4261</v>
      </c>
      <c r="T59" s="184">
        <v>4304</v>
      </c>
      <c r="U59" s="184">
        <v>4304</v>
      </c>
      <c r="V59" s="184">
        <v>4304</v>
      </c>
      <c r="W59" s="184">
        <v>4304</v>
      </c>
    </row>
    <row r="60" spans="2:43">
      <c r="C60" s="50" t="s">
        <v>131</v>
      </c>
      <c r="E60" s="53" t="s">
        <v>15</v>
      </c>
      <c r="G60" s="57"/>
      <c r="H60" s="220">
        <v>3.2258064516129004E-2</v>
      </c>
      <c r="I60" s="220">
        <v>3.125E-2</v>
      </c>
      <c r="J60" s="220">
        <v>3.0303030303030276E-2</v>
      </c>
      <c r="K60" s="221">
        <f t="shared" ref="K60" si="74">K59/J59-1</f>
        <v>2.9411764705882248E-2</v>
      </c>
      <c r="L60" s="221">
        <v>0.05</v>
      </c>
      <c r="M60" s="221">
        <v>0.04</v>
      </c>
      <c r="N60" s="221">
        <v>0.03</v>
      </c>
      <c r="O60" s="221">
        <v>2.5000000000000001E-2</v>
      </c>
      <c r="P60" s="221">
        <v>0.02</v>
      </c>
      <c r="Q60" s="221">
        <v>1.4999999999999999E-2</v>
      </c>
      <c r="R60" s="221">
        <v>0.01</v>
      </c>
      <c r="S60" s="221">
        <v>0.01</v>
      </c>
      <c r="T60" s="221">
        <v>0.01</v>
      </c>
      <c r="U60" s="221">
        <v>0</v>
      </c>
      <c r="V60" s="221">
        <v>0</v>
      </c>
      <c r="W60" s="221">
        <v>0</v>
      </c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</row>
    <row r="61" spans="2:43">
      <c r="C61" s="44"/>
      <c r="E61" s="39"/>
      <c r="G61" s="57"/>
      <c r="H61" s="57"/>
      <c r="I61" s="57"/>
      <c r="J61" s="57"/>
      <c r="K61" s="52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</row>
    <row r="62" spans="2:43">
      <c r="C62" s="45" t="s">
        <v>138</v>
      </c>
      <c r="E62" s="190" t="s">
        <v>15</v>
      </c>
      <c r="G62" s="222">
        <v>8.6999999999999994E-2</v>
      </c>
      <c r="H62" s="222">
        <v>5.8999999999999997E-2</v>
      </c>
      <c r="I62" s="222">
        <v>7.2999999999999995E-2</v>
      </c>
      <c r="J62" s="222">
        <v>8.8999999999999996E-2</v>
      </c>
      <c r="K62" s="223">
        <f>INDEX($K$63:$W$65,MATCH(Scenario,$C$63:$C$65,0),1)</f>
        <v>0.09</v>
      </c>
      <c r="L62" s="223">
        <f>INDEX($K$63:$W$65,MATCH(Scenario,$C$63:$C$65,0),2)</f>
        <v>0.105</v>
      </c>
      <c r="M62" s="223">
        <f>INDEX($K$63:$W$65,MATCH(Scenario,$C$63:$C$65,0),3)</f>
        <v>0.12</v>
      </c>
      <c r="N62" s="223">
        <f>INDEX($K$63:$W$65,MATCH(Scenario,$C$63:$C$65,0),4)</f>
        <v>0.13</v>
      </c>
      <c r="O62" s="223">
        <f>INDEX($K$63:$W$65,MATCH(Scenario,$C$63:$C$65,0),5)</f>
        <v>0.14000000000000001</v>
      </c>
      <c r="P62" s="223">
        <f>INDEX($K$63:$W$65,MATCH(Scenario,$C$63:$C$65,0),6)</f>
        <v>0.14499999999999999</v>
      </c>
      <c r="Q62" s="223">
        <f>INDEX($K$63:$W$65,MATCH(Scenario,$C$63:$C$65,0),7)</f>
        <v>0.14799999999999999</v>
      </c>
      <c r="R62" s="223">
        <f>INDEX($K$63:$W$65,MATCH(Scenario,$C$63:$C$65,0),8)</f>
        <v>0.15</v>
      </c>
      <c r="S62" s="223">
        <f>INDEX($K$63:$W$65,MATCH(Scenario,$C$63:$C$65,0),9)</f>
        <v>0.185</v>
      </c>
      <c r="T62" s="223">
        <f>INDEX($K$63:$W$65,MATCH(Scenario,$C$63:$C$65,0),10)</f>
        <v>0.15</v>
      </c>
      <c r="U62" s="223">
        <f>INDEX($K$63:$W$65,MATCH(Scenario,$C$63:$C$65,0),11)</f>
        <v>0.12</v>
      </c>
      <c r="V62" s="223">
        <f>INDEX($K$63:$W$65,MATCH(Scenario,$C$63:$C$65,0),12)</f>
        <v>0.09</v>
      </c>
      <c r="W62" s="223">
        <f>INDEX($K$63:$W$65,MATCH(Scenario,$C$63:$C$65,0),13)</f>
        <v>7.0000000000000007E-2</v>
      </c>
    </row>
    <row r="63" spans="2:43">
      <c r="C63" s="48" t="s">
        <v>139</v>
      </c>
      <c r="E63" s="53" t="s">
        <v>15</v>
      </c>
      <c r="G63" s="224"/>
      <c r="H63" s="224"/>
      <c r="I63" s="224"/>
      <c r="J63" s="224"/>
      <c r="K63" s="221">
        <v>0.11</v>
      </c>
      <c r="L63" s="221">
        <v>0.125</v>
      </c>
      <c r="M63" s="221">
        <v>0.14000000000000001</v>
      </c>
      <c r="N63" s="221">
        <v>0.15</v>
      </c>
      <c r="O63" s="221">
        <v>0.16</v>
      </c>
      <c r="P63" s="221">
        <v>0.16500000000000001</v>
      </c>
      <c r="Q63" s="221">
        <v>0.16800000000000001</v>
      </c>
      <c r="R63" s="221">
        <v>0.17</v>
      </c>
      <c r="S63" s="221">
        <v>0.17</v>
      </c>
      <c r="T63" s="221">
        <v>0.17</v>
      </c>
      <c r="U63" s="221">
        <v>0.14000000000000001</v>
      </c>
      <c r="V63" s="221">
        <v>0.11</v>
      </c>
      <c r="W63" s="221">
        <v>0.09</v>
      </c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</row>
    <row r="64" spans="2:43">
      <c r="C64" s="48" t="s">
        <v>140</v>
      </c>
      <c r="E64" s="53" t="s">
        <v>15</v>
      </c>
      <c r="G64" s="224"/>
      <c r="H64" s="224"/>
      <c r="I64" s="224"/>
      <c r="J64" s="224"/>
      <c r="K64" s="221">
        <v>0.09</v>
      </c>
      <c r="L64" s="221">
        <v>0.105</v>
      </c>
      <c r="M64" s="221">
        <v>0.12</v>
      </c>
      <c r="N64" s="221">
        <v>0.13</v>
      </c>
      <c r="O64" s="221">
        <v>0.14000000000000001</v>
      </c>
      <c r="P64" s="221">
        <v>0.14499999999999999</v>
      </c>
      <c r="Q64" s="221">
        <v>0.14799999999999999</v>
      </c>
      <c r="R64" s="221">
        <v>0.15</v>
      </c>
      <c r="S64" s="221">
        <v>0.185</v>
      </c>
      <c r="T64" s="221">
        <v>0.15</v>
      </c>
      <c r="U64" s="221">
        <v>0.12</v>
      </c>
      <c r="V64" s="221">
        <v>0.09</v>
      </c>
      <c r="W64" s="221">
        <v>7.0000000000000007E-2</v>
      </c>
    </row>
    <row r="65" spans="3:43">
      <c r="C65" s="50" t="s">
        <v>141</v>
      </c>
      <c r="E65" s="53" t="s">
        <v>15</v>
      </c>
      <c r="G65" s="224"/>
      <c r="H65" s="224"/>
      <c r="I65" s="224"/>
      <c r="J65" s="224"/>
      <c r="K65" s="221">
        <v>7.0000000000000007E-2</v>
      </c>
      <c r="L65" s="221">
        <v>8.5000000000000006E-2</v>
      </c>
      <c r="M65" s="221">
        <v>0.1</v>
      </c>
      <c r="N65" s="221">
        <v>0.11</v>
      </c>
      <c r="O65" s="221">
        <v>0.12</v>
      </c>
      <c r="P65" s="221">
        <v>0.125</v>
      </c>
      <c r="Q65" s="221">
        <v>0.128</v>
      </c>
      <c r="R65" s="221">
        <v>0.13</v>
      </c>
      <c r="S65" s="221">
        <v>0.19600000000000001</v>
      </c>
      <c r="T65" s="221">
        <v>0.13</v>
      </c>
      <c r="U65" s="221">
        <v>0.1</v>
      </c>
      <c r="V65" s="221">
        <v>7.0000000000000007E-2</v>
      </c>
      <c r="W65" s="221">
        <v>0.05</v>
      </c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</row>
    <row r="66" spans="3:43">
      <c r="C66" s="44"/>
      <c r="E66" s="53"/>
      <c r="G66" s="57"/>
      <c r="H66" s="57"/>
      <c r="I66" s="57"/>
      <c r="J66" s="5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</row>
    <row r="67" spans="3:43">
      <c r="C67" s="34" t="s">
        <v>142</v>
      </c>
      <c r="E67" s="39" t="s">
        <v>129</v>
      </c>
      <c r="G67" s="52">
        <v>147</v>
      </c>
      <c r="H67" s="52">
        <v>293</v>
      </c>
      <c r="I67" s="52">
        <v>293</v>
      </c>
      <c r="J67" s="52">
        <v>293</v>
      </c>
      <c r="K67" s="174">
        <f>INDEX($K$68:$W$70,MATCH(Scenario,$C$68:$C$70,0),1)</f>
        <v>304</v>
      </c>
      <c r="L67" s="174">
        <f>INDEX($K$68:$W$70,MATCH(Scenario,$C$68:$C$70,0),2)</f>
        <v>313.12</v>
      </c>
      <c r="M67" s="174">
        <f>INDEX($K$68:$W$70,MATCH(Scenario,$C$68:$C$70,0),3)</f>
        <v>322.5136</v>
      </c>
      <c r="N67" s="174">
        <f>INDEX($K$68:$W$70,MATCH(Scenario,$C$68:$C$70,0),4)</f>
        <v>332.189008</v>
      </c>
      <c r="O67" s="174">
        <f>INDEX($K$68:$W$70,MATCH(Scenario,$C$68:$C$70,0),5)</f>
        <v>342.15467824000001</v>
      </c>
      <c r="P67" s="174">
        <f>INDEX($K$68:$W$70,MATCH(Scenario,$C$68:$C$70,0),6)</f>
        <v>352.4193185872</v>
      </c>
      <c r="Q67" s="174">
        <f>INDEX($K$68:$W$70,MATCH(Scenario,$C$68:$C$70,0),7)</f>
        <v>362.99189814481599</v>
      </c>
      <c r="R67" s="174">
        <f>INDEX($K$68:$W$70,MATCH(Scenario,$C$68:$C$70,0),8)</f>
        <v>373.88165508916046</v>
      </c>
      <c r="S67" s="174">
        <f>INDEX($K$68:$W$70,MATCH(Scenario,$C$68:$C$70,0),9)</f>
        <v>385.0981047418353</v>
      </c>
      <c r="T67" s="174">
        <f>INDEX($K$68:$W$70,MATCH(Scenario,$C$68:$C$70,0),10)</f>
        <v>200</v>
      </c>
      <c r="U67" s="174">
        <f>INDEX($K$68:$W$70,MATCH(Scenario,$C$68:$C$70,0),11)</f>
        <v>180</v>
      </c>
      <c r="V67" s="174">
        <f>INDEX($K$68:$W$70,MATCH(Scenario,$C$68:$C$70,0),12)</f>
        <v>160</v>
      </c>
      <c r="W67" s="174">
        <f>INDEX($K$68:$W$70,MATCH(Scenario,$C$68:$C$70,0),13)</f>
        <v>140</v>
      </c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</row>
    <row r="68" spans="3:43">
      <c r="C68" s="50" t="s">
        <v>139</v>
      </c>
      <c r="E68" s="35" t="s">
        <v>129</v>
      </c>
      <c r="K68" s="186">
        <v>370</v>
      </c>
      <c r="L68" s="186">
        <v>381</v>
      </c>
      <c r="M68" s="186">
        <v>392</v>
      </c>
      <c r="N68" s="186">
        <v>400</v>
      </c>
      <c r="O68" s="186">
        <v>408</v>
      </c>
      <c r="P68" s="186">
        <v>416</v>
      </c>
      <c r="Q68" s="186">
        <v>420</v>
      </c>
      <c r="R68" s="186">
        <v>424</v>
      </c>
      <c r="S68" s="186">
        <v>429</v>
      </c>
      <c r="T68" s="186">
        <v>220</v>
      </c>
      <c r="U68" s="186">
        <f>T68-20</f>
        <v>200</v>
      </c>
      <c r="V68" s="186">
        <f t="shared" ref="V68:W68" si="75">U68-20</f>
        <v>180</v>
      </c>
      <c r="W68" s="186">
        <f t="shared" si="75"/>
        <v>160</v>
      </c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</row>
    <row r="69" spans="3:43">
      <c r="C69" s="50" t="s">
        <v>140</v>
      </c>
      <c r="E69" s="35" t="s">
        <v>129</v>
      </c>
      <c r="K69" s="186">
        <v>304</v>
      </c>
      <c r="L69" s="186">
        <f>K69*(1+0.03)</f>
        <v>313.12</v>
      </c>
      <c r="M69" s="186">
        <f t="shared" ref="M69:S69" si="76">L69*(1+0.03)</f>
        <v>322.5136</v>
      </c>
      <c r="N69" s="186">
        <f t="shared" si="76"/>
        <v>332.189008</v>
      </c>
      <c r="O69" s="186">
        <f t="shared" si="76"/>
        <v>342.15467824000001</v>
      </c>
      <c r="P69" s="186">
        <f t="shared" si="76"/>
        <v>352.4193185872</v>
      </c>
      <c r="Q69" s="186">
        <f t="shared" si="76"/>
        <v>362.99189814481599</v>
      </c>
      <c r="R69" s="186">
        <f t="shared" si="76"/>
        <v>373.88165508916046</v>
      </c>
      <c r="S69" s="186">
        <f t="shared" si="76"/>
        <v>385.0981047418353</v>
      </c>
      <c r="T69" s="186">
        <v>200</v>
      </c>
      <c r="U69" s="186">
        <f t="shared" ref="U69:W70" si="77">T69-20</f>
        <v>180</v>
      </c>
      <c r="V69" s="186">
        <f t="shared" si="77"/>
        <v>160</v>
      </c>
      <c r="W69" s="186">
        <f t="shared" si="77"/>
        <v>140</v>
      </c>
    </row>
    <row r="70" spans="3:43">
      <c r="C70" s="50" t="s">
        <v>141</v>
      </c>
      <c r="E70" s="35" t="s">
        <v>129</v>
      </c>
      <c r="K70" s="186">
        <v>270</v>
      </c>
      <c r="L70" s="186">
        <f>K70*1.03</f>
        <v>278.10000000000002</v>
      </c>
      <c r="M70" s="186">
        <f t="shared" ref="M70:S70" si="78">L70*1.03</f>
        <v>286.44300000000004</v>
      </c>
      <c r="N70" s="186">
        <f t="shared" si="78"/>
        <v>295.03629000000006</v>
      </c>
      <c r="O70" s="186">
        <f t="shared" si="78"/>
        <v>303.88737870000006</v>
      </c>
      <c r="P70" s="186">
        <f t="shared" si="78"/>
        <v>313.00400006100006</v>
      </c>
      <c r="Q70" s="186">
        <f t="shared" si="78"/>
        <v>322.39412006283004</v>
      </c>
      <c r="R70" s="186">
        <f t="shared" si="78"/>
        <v>332.06594366471495</v>
      </c>
      <c r="S70" s="186">
        <f t="shared" si="78"/>
        <v>342.02792197465641</v>
      </c>
      <c r="T70" s="186">
        <v>180</v>
      </c>
      <c r="U70" s="186">
        <f t="shared" si="77"/>
        <v>160</v>
      </c>
      <c r="V70" s="186">
        <f t="shared" si="77"/>
        <v>140</v>
      </c>
      <c r="W70" s="186">
        <f t="shared" si="77"/>
        <v>120</v>
      </c>
    </row>
    <row r="71" spans="3:43">
      <c r="C71" s="44"/>
      <c r="E71" s="35"/>
      <c r="K71" s="52"/>
      <c r="M71" s="59"/>
      <c r="N71" s="59"/>
      <c r="O71" s="59"/>
      <c r="P71" s="59"/>
      <c r="Q71" s="59"/>
    </row>
    <row r="72" spans="3:43">
      <c r="C72" s="34" t="s">
        <v>143</v>
      </c>
      <c r="E72" s="39" t="s">
        <v>20</v>
      </c>
      <c r="G72" s="64">
        <v>270</v>
      </c>
      <c r="H72" s="64">
        <v>190</v>
      </c>
      <c r="I72" s="64">
        <v>241</v>
      </c>
      <c r="J72" s="64">
        <v>301</v>
      </c>
      <c r="K72" s="191">
        <f>INDEX($K$73:$W$75,MATCH(Scenario,$C$73:$C$75,0),1)</f>
        <v>315</v>
      </c>
      <c r="L72" s="191">
        <f>INDEX($K$73:$W$75,MATCH(Scenario,$C$73:$C$75,0),2)</f>
        <v>385.875</v>
      </c>
      <c r="M72" s="191">
        <f>INDEX($K$73:$W$75,MATCH(Scenario,$C$73:$C$75,0),3)</f>
        <v>458.64</v>
      </c>
      <c r="N72" s="191">
        <f>INDEX($K$73:$W$75,MATCH(Scenario,$C$73:$C$75,0),4)</f>
        <v>511.81</v>
      </c>
      <c r="O72" s="191">
        <f>INDEX($K$73:$W$75,MATCH(Scenario,$C$73:$C$75,0),5)</f>
        <v>564.90000000000009</v>
      </c>
      <c r="P72" s="191">
        <f>INDEX($K$73:$W$75,MATCH(Scenario,$C$73:$C$75,0),6)</f>
        <v>596.81999999999994</v>
      </c>
      <c r="Q72" s="191">
        <f>INDEX($K$73:$W$75,MATCH(Scenario,$C$73:$C$75,0),7)</f>
        <v>618.34399999999994</v>
      </c>
      <c r="R72" s="191">
        <f>INDEX($K$73:$W$75,MATCH(Scenario,$C$73:$C$75,0),8)</f>
        <v>632.85</v>
      </c>
      <c r="S72" s="191">
        <f>INDEX($K$73:$W$75,MATCH(Scenario,$C$73:$C$75,0),9)</f>
        <v>788.28499999999997</v>
      </c>
      <c r="T72" s="191">
        <f>INDEX($K$73:$W$75,MATCH(Scenario,$C$73:$C$75,0),10)</f>
        <v>645.6</v>
      </c>
      <c r="U72" s="191">
        <f>INDEX($K$73:$W$75,MATCH(Scenario,$C$73:$C$75,0),11)</f>
        <v>516.48</v>
      </c>
      <c r="V72" s="191">
        <f>INDEX($K$73:$W$75,MATCH(Scenario,$C$73:$C$75,0),12)</f>
        <v>387.36</v>
      </c>
      <c r="W72" s="191">
        <f>INDEX($K$73:$W$75,MATCH(Scenario,$C$73:$C$75,0),13)</f>
        <v>301.28000000000003</v>
      </c>
    </row>
    <row r="73" spans="3:43">
      <c r="C73" s="50" t="s">
        <v>139</v>
      </c>
      <c r="E73" s="35" t="s">
        <v>20</v>
      </c>
      <c r="G73" s="57"/>
      <c r="H73" s="57"/>
      <c r="I73" s="57"/>
      <c r="J73" s="57"/>
      <c r="K73" s="186">
        <f>K$59*K63</f>
        <v>385</v>
      </c>
      <c r="L73" s="186">
        <f t="shared" ref="L73:W73" si="79">L$59*L63</f>
        <v>459.375</v>
      </c>
      <c r="M73" s="186">
        <f t="shared" si="79"/>
        <v>535.08000000000004</v>
      </c>
      <c r="N73" s="186">
        <f t="shared" si="79"/>
        <v>590.54999999999995</v>
      </c>
      <c r="O73" s="186">
        <f t="shared" si="79"/>
        <v>645.6</v>
      </c>
      <c r="P73" s="186">
        <f t="shared" si="79"/>
        <v>679.14</v>
      </c>
      <c r="Q73" s="186">
        <f t="shared" si="79"/>
        <v>701.904</v>
      </c>
      <c r="R73" s="186">
        <f t="shared" si="79"/>
        <v>717.23</v>
      </c>
      <c r="S73" s="186">
        <f t="shared" si="79"/>
        <v>724.37</v>
      </c>
      <c r="T73" s="186">
        <f t="shared" si="79"/>
        <v>731.68000000000006</v>
      </c>
      <c r="U73" s="186">
        <f t="shared" si="79"/>
        <v>602.56000000000006</v>
      </c>
      <c r="V73" s="186">
        <f t="shared" si="79"/>
        <v>473.44</v>
      </c>
      <c r="W73" s="186">
        <f t="shared" si="79"/>
        <v>387.36</v>
      </c>
    </row>
    <row r="74" spans="3:43">
      <c r="C74" s="50" t="s">
        <v>140</v>
      </c>
      <c r="E74" s="35" t="s">
        <v>20</v>
      </c>
      <c r="G74" s="57"/>
      <c r="H74" s="57"/>
      <c r="I74" s="57"/>
      <c r="J74" s="57"/>
      <c r="K74" s="186">
        <f t="shared" ref="K74:W74" si="80">K$59*K64</f>
        <v>315</v>
      </c>
      <c r="L74" s="186">
        <f t="shared" si="80"/>
        <v>385.875</v>
      </c>
      <c r="M74" s="186">
        <f t="shared" si="80"/>
        <v>458.64</v>
      </c>
      <c r="N74" s="186">
        <f t="shared" si="80"/>
        <v>511.81</v>
      </c>
      <c r="O74" s="186">
        <f t="shared" si="80"/>
        <v>564.90000000000009</v>
      </c>
      <c r="P74" s="186">
        <f t="shared" si="80"/>
        <v>596.81999999999994</v>
      </c>
      <c r="Q74" s="186">
        <f t="shared" si="80"/>
        <v>618.34399999999994</v>
      </c>
      <c r="R74" s="186">
        <f t="shared" si="80"/>
        <v>632.85</v>
      </c>
      <c r="S74" s="186">
        <f t="shared" si="80"/>
        <v>788.28499999999997</v>
      </c>
      <c r="T74" s="186">
        <f t="shared" si="80"/>
        <v>645.6</v>
      </c>
      <c r="U74" s="186">
        <f t="shared" si="80"/>
        <v>516.48</v>
      </c>
      <c r="V74" s="186">
        <f t="shared" si="80"/>
        <v>387.36</v>
      </c>
      <c r="W74" s="186">
        <f t="shared" si="80"/>
        <v>301.28000000000003</v>
      </c>
    </row>
    <row r="75" spans="3:43">
      <c r="C75" s="50" t="s">
        <v>141</v>
      </c>
      <c r="E75" s="35" t="s">
        <v>20</v>
      </c>
      <c r="G75" s="57"/>
      <c r="H75" s="57"/>
      <c r="I75" s="57"/>
      <c r="J75" s="57"/>
      <c r="K75" s="186">
        <f t="shared" ref="K75:W75" si="81">K$59*K65</f>
        <v>245.00000000000003</v>
      </c>
      <c r="L75" s="186">
        <f t="shared" si="81"/>
        <v>312.375</v>
      </c>
      <c r="M75" s="186">
        <f t="shared" si="81"/>
        <v>382.20000000000005</v>
      </c>
      <c r="N75" s="186">
        <f t="shared" si="81"/>
        <v>433.07</v>
      </c>
      <c r="O75" s="186">
        <f t="shared" si="81"/>
        <v>484.2</v>
      </c>
      <c r="P75" s="186">
        <f t="shared" si="81"/>
        <v>514.5</v>
      </c>
      <c r="Q75" s="186">
        <f t="shared" si="81"/>
        <v>534.78399999999999</v>
      </c>
      <c r="R75" s="186">
        <f t="shared" si="81"/>
        <v>548.47</v>
      </c>
      <c r="S75" s="186">
        <f t="shared" si="81"/>
        <v>835.15600000000006</v>
      </c>
      <c r="T75" s="186">
        <f t="shared" si="81"/>
        <v>559.52</v>
      </c>
      <c r="U75" s="186">
        <f t="shared" si="81"/>
        <v>430.40000000000003</v>
      </c>
      <c r="V75" s="186">
        <f t="shared" si="81"/>
        <v>301.28000000000003</v>
      </c>
      <c r="W75" s="186">
        <f t="shared" si="81"/>
        <v>215.20000000000002</v>
      </c>
    </row>
    <row r="76" spans="3:43">
      <c r="C76" s="44"/>
      <c r="E76" s="35"/>
      <c r="G76" s="57"/>
      <c r="H76" s="57"/>
      <c r="I76" s="57"/>
      <c r="J76" s="57"/>
      <c r="K76" s="52"/>
    </row>
    <row r="77" spans="3:43">
      <c r="C77" s="34" t="s">
        <v>137</v>
      </c>
      <c r="E77" s="39" t="s">
        <v>129</v>
      </c>
      <c r="F77" s="64"/>
      <c r="G77" s="52">
        <v>39560</v>
      </c>
      <c r="H77" s="52">
        <v>55612</v>
      </c>
      <c r="I77" s="52">
        <v>70633</v>
      </c>
      <c r="J77" s="52">
        <v>88194</v>
      </c>
      <c r="K77" s="174">
        <f>K67*K72</f>
        <v>95760</v>
      </c>
      <c r="L77" s="174">
        <f t="shared" ref="L77:W77" si="82">L72*L67</f>
        <v>120825.18000000001</v>
      </c>
      <c r="M77" s="174">
        <f t="shared" si="82"/>
        <v>147917.63750399998</v>
      </c>
      <c r="N77" s="174">
        <f t="shared" si="82"/>
        <v>170017.65618448</v>
      </c>
      <c r="O77" s="174">
        <f t="shared" si="82"/>
        <v>193283.17773777604</v>
      </c>
      <c r="P77" s="174">
        <f t="shared" si="82"/>
        <v>210330.89771921269</v>
      </c>
      <c r="Q77" s="174">
        <f t="shared" si="82"/>
        <v>224453.86226645808</v>
      </c>
      <c r="R77" s="174">
        <f t="shared" si="82"/>
        <v>236611.0054231752</v>
      </c>
      <c r="S77" s="174">
        <f t="shared" si="82"/>
        <v>303567.05949641764</v>
      </c>
      <c r="T77" s="174">
        <f t="shared" si="82"/>
        <v>129120</v>
      </c>
      <c r="U77" s="174">
        <f t="shared" si="82"/>
        <v>92966.400000000009</v>
      </c>
      <c r="V77" s="174">
        <f t="shared" si="82"/>
        <v>61977.600000000006</v>
      </c>
      <c r="W77" s="174">
        <f t="shared" si="82"/>
        <v>42179.200000000004</v>
      </c>
    </row>
    <row r="78" spans="3:43">
      <c r="C78" s="44"/>
      <c r="E78" s="53"/>
      <c r="G78" s="57"/>
      <c r="H78" s="187">
        <f>H77/G77-1</f>
        <v>0.40576339737108191</v>
      </c>
      <c r="I78" s="187">
        <f t="shared" ref="I78:W78" si="83">I77/H77-1</f>
        <v>0.27010357476803559</v>
      </c>
      <c r="J78" s="187">
        <f t="shared" si="83"/>
        <v>0.24862316480964997</v>
      </c>
      <c r="K78" s="187">
        <f>K77/J77-1</f>
        <v>8.5788148853663593E-2</v>
      </c>
      <c r="L78" s="187">
        <f t="shared" si="83"/>
        <v>0.26175000000000015</v>
      </c>
      <c r="M78" s="187">
        <f t="shared" si="83"/>
        <v>0.22422857142857122</v>
      </c>
      <c r="N78" s="187">
        <f t="shared" si="83"/>
        <v>0.14940759637188217</v>
      </c>
      <c r="O78" s="187">
        <f t="shared" si="83"/>
        <v>0.13684179676051689</v>
      </c>
      <c r="P78" s="187">
        <f t="shared" si="83"/>
        <v>8.8200743494423417E-2</v>
      </c>
      <c r="Q78" s="187">
        <f t="shared" si="83"/>
        <v>6.7146409302637267E-2</v>
      </c>
      <c r="R78" s="187">
        <f t="shared" si="83"/>
        <v>5.41632165914121E-2</v>
      </c>
      <c r="S78" s="187">
        <f t="shared" si="83"/>
        <v>0.28297945800742674</v>
      </c>
      <c r="T78" s="187">
        <f t="shared" si="83"/>
        <v>-0.57465740777607754</v>
      </c>
      <c r="U78" s="187">
        <f t="shared" si="83"/>
        <v>-0.27999999999999992</v>
      </c>
      <c r="V78" s="187">
        <f t="shared" si="83"/>
        <v>-0.33333333333333337</v>
      </c>
      <c r="W78" s="187">
        <f t="shared" si="83"/>
        <v>-0.31944444444444442</v>
      </c>
    </row>
    <row r="79" spans="3:43">
      <c r="C79" s="44"/>
      <c r="E79" s="53"/>
      <c r="G79" s="57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</row>
    <row r="80" spans="3:43">
      <c r="C80" s="56" t="s">
        <v>204</v>
      </c>
      <c r="E80" s="35" t="s">
        <v>129</v>
      </c>
      <c r="F80" s="192">
        <v>7.0000000000000007E-2</v>
      </c>
      <c r="G80" s="57"/>
      <c r="H80" s="59"/>
      <c r="I80" s="59"/>
      <c r="J80" s="59"/>
      <c r="K80" s="193">
        <f>-K77*$F$80</f>
        <v>-6703.2000000000007</v>
      </c>
      <c r="L80" s="193">
        <f t="shared" ref="L80:W80" si="84">-L77*$F$80</f>
        <v>-8457.7626000000018</v>
      </c>
      <c r="M80" s="193">
        <f t="shared" si="84"/>
        <v>-10354.23462528</v>
      </c>
      <c r="N80" s="193">
        <f t="shared" si="84"/>
        <v>-11901.235932913602</v>
      </c>
      <c r="O80" s="193">
        <f t="shared" si="84"/>
        <v>-13529.822441644324</v>
      </c>
      <c r="P80" s="193">
        <f t="shared" si="84"/>
        <v>-14723.16284034489</v>
      </c>
      <c r="Q80" s="193">
        <f t="shared" si="84"/>
        <v>-15711.770358652067</v>
      </c>
      <c r="R80" s="193">
        <f t="shared" si="84"/>
        <v>-16562.770379622267</v>
      </c>
      <c r="S80" s="193">
        <f t="shared" si="84"/>
        <v>-21249.694164749239</v>
      </c>
      <c r="T80" s="193">
        <f t="shared" si="84"/>
        <v>-9038.4000000000015</v>
      </c>
      <c r="U80" s="193">
        <f t="shared" si="84"/>
        <v>-6507.648000000001</v>
      </c>
      <c r="V80" s="193">
        <f t="shared" si="84"/>
        <v>-4338.4320000000007</v>
      </c>
      <c r="W80" s="193">
        <f t="shared" si="84"/>
        <v>-2952.5440000000008</v>
      </c>
    </row>
    <row r="81" spans="2:43">
      <c r="C81" s="64" t="str">
        <f>"Revenue to "&amp;Company_Name</f>
        <v>Revenue to Ultragenyx Pharmaceutical Inc.</v>
      </c>
      <c r="E81" s="39" t="s">
        <v>129</v>
      </c>
      <c r="F81" s="194"/>
      <c r="G81" s="57"/>
      <c r="H81" s="59"/>
      <c r="I81" s="59"/>
      <c r="J81" s="59"/>
      <c r="K81" s="174">
        <f>SUM(K77,K80)</f>
        <v>89056.8</v>
      </c>
      <c r="L81" s="174">
        <f t="shared" ref="L81:W81" si="85">SUM(L77,L80)</f>
        <v>112367.41740000001</v>
      </c>
      <c r="M81" s="174">
        <f t="shared" si="85"/>
        <v>137563.40287871999</v>
      </c>
      <c r="N81" s="174">
        <f t="shared" si="85"/>
        <v>158116.42025156639</v>
      </c>
      <c r="O81" s="174">
        <f t="shared" si="85"/>
        <v>179753.35529613172</v>
      </c>
      <c r="P81" s="174">
        <f t="shared" si="85"/>
        <v>195607.73487886781</v>
      </c>
      <c r="Q81" s="174">
        <f t="shared" si="85"/>
        <v>208742.091907806</v>
      </c>
      <c r="R81" s="174">
        <f t="shared" si="85"/>
        <v>220048.23504355294</v>
      </c>
      <c r="S81" s="174">
        <f t="shared" si="85"/>
        <v>282317.36533166841</v>
      </c>
      <c r="T81" s="174">
        <f t="shared" si="85"/>
        <v>120081.60000000001</v>
      </c>
      <c r="U81" s="174">
        <f t="shared" si="85"/>
        <v>86458.752000000008</v>
      </c>
      <c r="V81" s="174">
        <f t="shared" si="85"/>
        <v>57639.168000000005</v>
      </c>
      <c r="W81" s="174">
        <f t="shared" si="85"/>
        <v>39226.656000000003</v>
      </c>
    </row>
    <row r="82" spans="2:43">
      <c r="C82" s="34"/>
      <c r="E82" s="39"/>
      <c r="F82" s="194"/>
      <c r="G82" s="57"/>
      <c r="H82" s="168"/>
      <c r="I82" s="168"/>
      <c r="J82" s="168"/>
      <c r="K82" s="52"/>
      <c r="L82" s="175">
        <f>L81/K81-1</f>
        <v>0.26174999999999993</v>
      </c>
      <c r="M82" s="175">
        <f t="shared" ref="M82:W82" si="86">M81/L81-1</f>
        <v>0.22422857142857122</v>
      </c>
      <c r="N82" s="175">
        <f t="shared" si="86"/>
        <v>0.14940759637188217</v>
      </c>
      <c r="O82" s="175">
        <f t="shared" si="86"/>
        <v>0.13684179676051689</v>
      </c>
      <c r="P82" s="175">
        <f t="shared" si="86"/>
        <v>8.8200743494423417E-2</v>
      </c>
      <c r="Q82" s="175">
        <f t="shared" si="86"/>
        <v>6.7146409302637045E-2</v>
      </c>
      <c r="R82" s="175">
        <f t="shared" si="86"/>
        <v>5.41632165914121E-2</v>
      </c>
      <c r="S82" s="175">
        <f t="shared" si="86"/>
        <v>0.28297945800742674</v>
      </c>
      <c r="T82" s="175">
        <f t="shared" si="86"/>
        <v>-0.57465740777607743</v>
      </c>
      <c r="U82" s="175">
        <f t="shared" si="86"/>
        <v>-0.27999999999999992</v>
      </c>
      <c r="V82" s="175">
        <f t="shared" si="86"/>
        <v>-0.33333333333333337</v>
      </c>
      <c r="W82" s="175">
        <f t="shared" si="86"/>
        <v>-0.31944444444444442</v>
      </c>
    </row>
    <row r="83" spans="2:43">
      <c r="C83" s="34"/>
      <c r="E83" s="39"/>
      <c r="F83" s="194"/>
      <c r="G83" s="57"/>
      <c r="H83" s="168"/>
      <c r="I83" s="168"/>
      <c r="J83" s="168"/>
      <c r="K83" s="52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</row>
    <row r="84" spans="2:43">
      <c r="C84" s="44" t="s">
        <v>293</v>
      </c>
      <c r="E84" s="35" t="s">
        <v>180</v>
      </c>
      <c r="F84" s="194"/>
      <c r="G84" s="57">
        <f>(G77/G9)*G12</f>
        <v>2379.253849101688</v>
      </c>
      <c r="H84" s="57">
        <f>(H77/H9)*H12</f>
        <v>4173.8291968675048</v>
      </c>
      <c r="I84" s="57">
        <f>(I77/I9)*I12</f>
        <v>7378.6244356124507</v>
      </c>
      <c r="J84" s="57">
        <f>(J77/J9)*J12</f>
        <v>12078.87694696821</v>
      </c>
      <c r="K84" s="186">
        <f>K77*K85</f>
        <v>9016.2322993790785</v>
      </c>
      <c r="L84" s="186">
        <f t="shared" ref="L84:W84" si="87">L77*L85</f>
        <v>12403.594146465339</v>
      </c>
      <c r="M84" s="186">
        <f t="shared" si="87"/>
        <v>16205.6394444169</v>
      </c>
      <c r="N84" s="186">
        <f t="shared" si="87"/>
        <v>18843.413975731321</v>
      </c>
      <c r="O84" s="186">
        <f t="shared" si="87"/>
        <v>20159.55469172962</v>
      </c>
      <c r="P84" s="186">
        <f t="shared" si="87"/>
        <v>22471.154316752738</v>
      </c>
      <c r="Q84" s="186">
        <f t="shared" si="87"/>
        <v>24214.554249120236</v>
      </c>
      <c r="R84" s="186">
        <f t="shared" si="87"/>
        <v>25426.926803166327</v>
      </c>
      <c r="S84" s="186">
        <f t="shared" si="87"/>
        <v>32366.537240896421</v>
      </c>
      <c r="T84" s="186">
        <f t="shared" si="87"/>
        <v>13841.759647774643</v>
      </c>
      <c r="U84" s="186">
        <f t="shared" si="87"/>
        <v>9974.5173060093639</v>
      </c>
      <c r="V84" s="186">
        <f t="shared" si="87"/>
        <v>6640.5293285658208</v>
      </c>
      <c r="W84" s="186">
        <f t="shared" si="87"/>
        <v>4515.8856401234743</v>
      </c>
    </row>
    <row r="85" spans="2:43">
      <c r="C85" s="50" t="s">
        <v>295</v>
      </c>
      <c r="E85" s="53" t="s">
        <v>15</v>
      </c>
      <c r="F85" s="194"/>
      <c r="G85" s="187">
        <f>G84/G77</f>
        <v>6.0142918329162992E-2</v>
      </c>
      <c r="H85" s="187">
        <f t="shared" ref="H85:J85" si="88">H84/H77</f>
        <v>7.5052672028833797E-2</v>
      </c>
      <c r="I85" s="187">
        <f t="shared" si="88"/>
        <v>0.10446426508306954</v>
      </c>
      <c r="J85" s="187">
        <f t="shared" si="88"/>
        <v>0.13695803509272977</v>
      </c>
      <c r="K85" s="195">
        <f>AVERAGE(G85:J85)</f>
        <v>9.4154472633449032E-2</v>
      </c>
      <c r="L85" s="195">
        <f t="shared" ref="L85:W85" si="89">AVERAGE(H85:K85)</f>
        <v>0.10265736120952054</v>
      </c>
      <c r="M85" s="195">
        <f t="shared" si="89"/>
        <v>0.10955853350469222</v>
      </c>
      <c r="N85" s="195">
        <f t="shared" si="89"/>
        <v>0.11083210061009791</v>
      </c>
      <c r="O85" s="195">
        <f t="shared" si="89"/>
        <v>0.10430061698943992</v>
      </c>
      <c r="P85" s="195">
        <f t="shared" si="89"/>
        <v>0.10683715307843765</v>
      </c>
      <c r="Q85" s="195">
        <f t="shared" si="89"/>
        <v>0.10788210104566692</v>
      </c>
      <c r="R85" s="195">
        <f t="shared" si="89"/>
        <v>0.10746299293091061</v>
      </c>
      <c r="S85" s="195">
        <f t="shared" si="89"/>
        <v>0.10662071601111377</v>
      </c>
      <c r="T85" s="195">
        <f t="shared" si="89"/>
        <v>0.10720074076653224</v>
      </c>
      <c r="U85" s="195">
        <f t="shared" si="89"/>
        <v>0.10729163768855589</v>
      </c>
      <c r="V85" s="195">
        <f t="shared" si="89"/>
        <v>0.10714402184927813</v>
      </c>
      <c r="W85" s="195">
        <f t="shared" si="89"/>
        <v>0.10706427907887001</v>
      </c>
    </row>
    <row r="86" spans="2:43">
      <c r="C86" s="44"/>
      <c r="E86" s="53"/>
      <c r="G86" s="57"/>
      <c r="H86" s="57"/>
      <c r="I86" s="57"/>
      <c r="J86" s="57"/>
      <c r="K86" s="52"/>
    </row>
    <row r="87" spans="2:43">
      <c r="B87" s="60" t="s">
        <v>199</v>
      </c>
      <c r="C87" s="26"/>
      <c r="D87" s="26"/>
      <c r="E87" s="216"/>
      <c r="F87" s="26"/>
      <c r="G87" s="180"/>
      <c r="H87" s="180"/>
      <c r="I87" s="180"/>
      <c r="J87" s="180"/>
      <c r="K87" s="181"/>
      <c r="L87" s="26"/>
      <c r="M87" s="26"/>
      <c r="N87" s="26"/>
      <c r="O87" s="26"/>
      <c r="P87" s="26"/>
      <c r="Q87" s="209" t="s">
        <v>266</v>
      </c>
      <c r="R87" s="26"/>
      <c r="S87" s="26"/>
      <c r="T87" s="26"/>
      <c r="U87" s="26"/>
      <c r="V87" s="26"/>
      <c r="W87" s="26"/>
    </row>
    <row r="88" spans="2:43">
      <c r="C88" s="44"/>
      <c r="E88" s="53"/>
      <c r="G88" s="57"/>
      <c r="H88" s="57"/>
      <c r="I88" s="57"/>
      <c r="J88" s="57"/>
      <c r="K88" s="52"/>
    </row>
    <row r="89" spans="2:43">
      <c r="C89" s="34" t="s">
        <v>200</v>
      </c>
      <c r="E89" s="53"/>
      <c r="I89" s="57"/>
      <c r="J89" s="57"/>
      <c r="K89" s="57"/>
      <c r="L89" s="57"/>
      <c r="M89" s="52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</row>
    <row r="90" spans="2:43">
      <c r="C90" s="51" t="s">
        <v>201</v>
      </c>
      <c r="E90" s="35" t="s">
        <v>20</v>
      </c>
      <c r="G90" s="57">
        <v>2200</v>
      </c>
      <c r="H90" s="57">
        <v>2250</v>
      </c>
      <c r="I90" s="57">
        <v>2300</v>
      </c>
      <c r="J90" s="57">
        <v>2350</v>
      </c>
      <c r="K90" s="184">
        <f>J90*(1+K91)</f>
        <v>2538</v>
      </c>
      <c r="L90" s="184">
        <f t="shared" ref="L90" si="90">K90*(1+L91)</f>
        <v>2741.04</v>
      </c>
      <c r="M90" s="184">
        <f t="shared" ref="M90" si="91">L90*(1+M91)</f>
        <v>2960.3232000000003</v>
      </c>
      <c r="N90" s="184">
        <f t="shared" ref="N90" si="92">M90*(1+N91)</f>
        <v>3197.1490560000007</v>
      </c>
      <c r="O90" s="184">
        <f t="shared" ref="O90" si="93">N90*(1+O91)</f>
        <v>3452.9209804800007</v>
      </c>
      <c r="P90" s="184">
        <f t="shared" ref="P90" si="94">O90*(1+P91)</f>
        <v>3729.1546589184009</v>
      </c>
      <c r="Q90" s="184">
        <f t="shared" ref="Q90" si="95">P90*(1+Q91)</f>
        <v>4027.4870316318734</v>
      </c>
      <c r="R90" s="184">
        <v>4000</v>
      </c>
      <c r="S90" s="184">
        <f t="shared" ref="S90" si="96">R90*(1+S91)</f>
        <v>4320</v>
      </c>
      <c r="T90" s="184">
        <f t="shared" ref="T90" si="97">S90*(1+T91)</f>
        <v>4665.6000000000004</v>
      </c>
      <c r="U90" s="184">
        <f t="shared" ref="U90" si="98">T90*(1+U91)</f>
        <v>5038.8480000000009</v>
      </c>
      <c r="V90" s="184">
        <f t="shared" ref="V90" si="99">U90*(1+V91)</f>
        <v>5441.9558400000014</v>
      </c>
      <c r="W90" s="184">
        <f t="shared" ref="W90" si="100">V90*(1+W91)</f>
        <v>5877.3123072000017</v>
      </c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</row>
    <row r="91" spans="2:43">
      <c r="C91" s="50" t="s">
        <v>131</v>
      </c>
      <c r="E91" s="35" t="s">
        <v>15</v>
      </c>
      <c r="H91" s="221">
        <v>0.08</v>
      </c>
      <c r="I91" s="221">
        <v>0.08</v>
      </c>
      <c r="J91" s="221">
        <v>0.08</v>
      </c>
      <c r="K91" s="221">
        <v>0.08</v>
      </c>
      <c r="L91" s="221">
        <v>0.08</v>
      </c>
      <c r="M91" s="221">
        <v>0.08</v>
      </c>
      <c r="N91" s="221">
        <v>0.08</v>
      </c>
      <c r="O91" s="221">
        <v>0.08</v>
      </c>
      <c r="P91" s="221">
        <v>0.08</v>
      </c>
      <c r="Q91" s="221">
        <v>0.08</v>
      </c>
      <c r="R91" s="221">
        <v>0.08</v>
      </c>
      <c r="S91" s="221">
        <v>0.08</v>
      </c>
      <c r="T91" s="221">
        <v>0.08</v>
      </c>
      <c r="U91" s="221">
        <v>0.08</v>
      </c>
      <c r="V91" s="221">
        <v>0.08</v>
      </c>
      <c r="W91" s="221">
        <v>0.08</v>
      </c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</row>
    <row r="92" spans="2:43">
      <c r="C92" s="44"/>
      <c r="E92" s="35"/>
      <c r="I92" s="57"/>
      <c r="J92" s="57"/>
      <c r="K92" s="57"/>
      <c r="L92" s="57"/>
      <c r="M92" s="52"/>
    </row>
    <row r="93" spans="2:43">
      <c r="C93" s="45" t="s">
        <v>208</v>
      </c>
      <c r="E93" s="39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</row>
    <row r="94" spans="2:43">
      <c r="C94" s="48" t="s">
        <v>139</v>
      </c>
      <c r="E94" s="35" t="s">
        <v>15</v>
      </c>
      <c r="I94" s="57"/>
      <c r="J94" s="57"/>
      <c r="K94" s="221">
        <v>6.5000000000000002E-2</v>
      </c>
      <c r="L94" s="221">
        <v>7.4999999999999997E-2</v>
      </c>
      <c r="M94" s="221">
        <v>9.5000000000000001E-2</v>
      </c>
      <c r="N94" s="221">
        <v>0.11</v>
      </c>
      <c r="O94" s="221">
        <v>0.125</v>
      </c>
      <c r="P94" s="221">
        <v>0.13500000000000001</v>
      </c>
      <c r="Q94" s="221">
        <v>0.14000000000000001</v>
      </c>
      <c r="R94" s="221">
        <v>0.14499999999999999</v>
      </c>
      <c r="S94" s="221">
        <v>0.15</v>
      </c>
      <c r="T94" s="221">
        <v>0.155</v>
      </c>
      <c r="U94" s="221">
        <v>0.14000000000000001</v>
      </c>
      <c r="V94" s="221">
        <v>0.11</v>
      </c>
      <c r="W94" s="221">
        <v>0.09</v>
      </c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</row>
    <row r="95" spans="2:43">
      <c r="C95" s="48" t="s">
        <v>140</v>
      </c>
      <c r="E95" s="35" t="s">
        <v>15</v>
      </c>
      <c r="I95" s="57"/>
      <c r="J95" s="57"/>
      <c r="K95" s="221">
        <v>5.5E-2</v>
      </c>
      <c r="L95" s="221">
        <v>5.5E-2</v>
      </c>
      <c r="M95" s="221">
        <v>7.0000000000000007E-2</v>
      </c>
      <c r="N95" s="221">
        <v>8.5000000000000006E-2</v>
      </c>
      <c r="O95" s="221">
        <v>0.09</v>
      </c>
      <c r="P95" s="221">
        <v>9.5000000000000001E-2</v>
      </c>
      <c r="Q95" s="221">
        <v>0.1</v>
      </c>
      <c r="R95" s="221">
        <v>0.11</v>
      </c>
      <c r="S95" s="221">
        <v>0.115</v>
      </c>
      <c r="T95" s="221">
        <v>0.12</v>
      </c>
      <c r="U95" s="221">
        <v>0.11</v>
      </c>
      <c r="V95" s="221">
        <v>0.09</v>
      </c>
      <c r="W95" s="221">
        <v>7.0000000000000007E-2</v>
      </c>
    </row>
    <row r="96" spans="2:43">
      <c r="C96" s="50" t="s">
        <v>141</v>
      </c>
      <c r="E96" s="35" t="s">
        <v>15</v>
      </c>
      <c r="I96" s="57"/>
      <c r="J96" s="57"/>
      <c r="K96" s="221">
        <v>4.4999999999999998E-2</v>
      </c>
      <c r="L96" s="221">
        <v>0.04</v>
      </c>
      <c r="M96" s="221">
        <v>0.05</v>
      </c>
      <c r="N96" s="221">
        <v>0.06</v>
      </c>
      <c r="O96" s="221">
        <v>7.0000000000000007E-2</v>
      </c>
      <c r="P96" s="221">
        <v>7.4999999999999997E-2</v>
      </c>
      <c r="Q96" s="221">
        <v>0.08</v>
      </c>
      <c r="R96" s="221">
        <v>8.5000000000000006E-2</v>
      </c>
      <c r="S96" s="221">
        <v>0.09</v>
      </c>
      <c r="T96" s="221">
        <v>9.5000000000000001E-2</v>
      </c>
      <c r="U96" s="221">
        <v>8.5000000000000006E-2</v>
      </c>
      <c r="V96" s="221">
        <v>7.0000000000000007E-2</v>
      </c>
      <c r="W96" s="221">
        <v>5.5E-2</v>
      </c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</row>
    <row r="97" spans="3:43">
      <c r="C97" s="44"/>
      <c r="E97" s="35"/>
      <c r="I97" s="57"/>
      <c r="J97" s="57"/>
      <c r="K97" s="57"/>
      <c r="L97" s="57"/>
      <c r="M97" s="52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</row>
    <row r="98" spans="3:43">
      <c r="C98" s="45" t="s">
        <v>142</v>
      </c>
      <c r="E98" s="39" t="s">
        <v>129</v>
      </c>
      <c r="G98" s="64">
        <v>450</v>
      </c>
      <c r="H98" s="64">
        <v>450</v>
      </c>
      <c r="I98" s="64">
        <v>450</v>
      </c>
      <c r="J98" s="64">
        <v>450</v>
      </c>
      <c r="K98" s="191">
        <f>INDEX($K$99:$W$101,MATCH(Scenario,$C$99:$C$101,0),1)</f>
        <v>460</v>
      </c>
      <c r="L98" s="191">
        <f>INDEX($K$99:$W$101,MATCH(Scenario,$C$99:$C$101,0),2)</f>
        <v>470</v>
      </c>
      <c r="M98" s="191">
        <f>INDEX($K$99:$W$101,MATCH(Scenario,$C$99:$C$101,0),3)</f>
        <v>480</v>
      </c>
      <c r="N98" s="191">
        <f>INDEX($K$99:$W$101,MATCH(Scenario,$C$99:$C$101,0),4)</f>
        <v>490</v>
      </c>
      <c r="O98" s="191">
        <f>INDEX($K$99:$W$101,MATCH(Scenario,$C$99:$C$101,0),5)</f>
        <v>500</v>
      </c>
      <c r="P98" s="191">
        <f>INDEX($K$99:$W$101,MATCH(Scenario,$C$99:$C$101,0),6)</f>
        <v>510</v>
      </c>
      <c r="Q98" s="191">
        <f>INDEX($K$99:$W$101,MATCH(Scenario,$C$99:$C$101,0),7)</f>
        <v>520</v>
      </c>
      <c r="R98" s="191">
        <f>INDEX($K$99:$W$101,MATCH(Scenario,$C$99:$C$101,0),8)</f>
        <v>260</v>
      </c>
      <c r="S98" s="191">
        <f>INDEX($K$99:$W$101,MATCH(Scenario,$C$99:$C$101,0),9)</f>
        <v>240</v>
      </c>
      <c r="T98" s="191">
        <f>INDEX($K$99:$W$101,MATCH(Scenario,$C$99:$C$101,0),10)</f>
        <v>220</v>
      </c>
      <c r="U98" s="191">
        <f>INDEX($K$99:$W$101,MATCH(Scenario,$C$99:$C$101,0),11)</f>
        <v>200</v>
      </c>
      <c r="V98" s="191">
        <f>INDEX($K$99:$W$101,MATCH(Scenario,$C$99:$C$101,0),12)</f>
        <v>180</v>
      </c>
      <c r="W98" s="191">
        <f>INDEX($K$99:$W$101,MATCH(Scenario,$C$99:$C$101,0),13)</f>
        <v>160</v>
      </c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</row>
    <row r="99" spans="3:43">
      <c r="C99" s="48" t="s">
        <v>139</v>
      </c>
      <c r="E99" s="35" t="s">
        <v>129</v>
      </c>
      <c r="G99" s="57"/>
      <c r="H99" s="57"/>
      <c r="I99" s="57"/>
      <c r="J99" s="57"/>
      <c r="K99" s="186">
        <v>483</v>
      </c>
      <c r="L99" s="186">
        <v>494</v>
      </c>
      <c r="M99" s="186">
        <v>504</v>
      </c>
      <c r="N99" s="186">
        <v>514</v>
      </c>
      <c r="O99" s="186">
        <v>525</v>
      </c>
      <c r="P99" s="186">
        <v>536</v>
      </c>
      <c r="Q99" s="186">
        <v>546</v>
      </c>
      <c r="R99" s="186">
        <v>270</v>
      </c>
      <c r="S99" s="186">
        <v>250</v>
      </c>
      <c r="T99" s="186">
        <v>230</v>
      </c>
      <c r="U99" s="186">
        <v>210</v>
      </c>
      <c r="V99" s="186">
        <v>190</v>
      </c>
      <c r="W99" s="186">
        <v>170</v>
      </c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</row>
    <row r="100" spans="3:43">
      <c r="C100" s="48" t="s">
        <v>140</v>
      </c>
      <c r="E100" s="35" t="s">
        <v>129</v>
      </c>
      <c r="G100" s="57"/>
      <c r="H100" s="57"/>
      <c r="I100" s="57"/>
      <c r="J100" s="57"/>
      <c r="K100" s="186">
        <v>460</v>
      </c>
      <c r="L100" s="186">
        <v>470</v>
      </c>
      <c r="M100" s="186">
        <v>480</v>
      </c>
      <c r="N100" s="186">
        <v>490</v>
      </c>
      <c r="O100" s="186">
        <v>500</v>
      </c>
      <c r="P100" s="186">
        <v>510</v>
      </c>
      <c r="Q100" s="186">
        <v>520</v>
      </c>
      <c r="R100" s="186">
        <v>260</v>
      </c>
      <c r="S100" s="186">
        <v>240</v>
      </c>
      <c r="T100" s="186">
        <v>220</v>
      </c>
      <c r="U100" s="186">
        <v>200</v>
      </c>
      <c r="V100" s="186">
        <v>180</v>
      </c>
      <c r="W100" s="186">
        <v>160</v>
      </c>
    </row>
    <row r="101" spans="3:43">
      <c r="C101" s="50" t="s">
        <v>141</v>
      </c>
      <c r="E101" s="35" t="s">
        <v>129</v>
      </c>
      <c r="G101" s="57"/>
      <c r="H101" s="57"/>
      <c r="I101" s="57"/>
      <c r="J101" s="57"/>
      <c r="K101" s="186">
        <v>414</v>
      </c>
      <c r="L101" s="186">
        <v>423</v>
      </c>
      <c r="M101" s="186">
        <v>432</v>
      </c>
      <c r="N101" s="186">
        <v>441</v>
      </c>
      <c r="O101" s="186">
        <v>450</v>
      </c>
      <c r="P101" s="186">
        <v>459</v>
      </c>
      <c r="Q101" s="186">
        <v>468</v>
      </c>
      <c r="R101" s="186">
        <v>230</v>
      </c>
      <c r="S101" s="186">
        <v>210</v>
      </c>
      <c r="T101" s="186">
        <v>190</v>
      </c>
      <c r="U101" s="186">
        <v>170</v>
      </c>
      <c r="V101" s="186">
        <v>150</v>
      </c>
      <c r="W101" s="186">
        <v>130</v>
      </c>
    </row>
    <row r="102" spans="3:43">
      <c r="C102" s="44"/>
      <c r="E102" s="35"/>
      <c r="I102" s="57"/>
      <c r="J102" s="57"/>
      <c r="K102" s="57"/>
      <c r="L102" s="57"/>
      <c r="M102" s="52"/>
      <c r="Q102" s="59"/>
    </row>
    <row r="103" spans="3:43">
      <c r="C103" s="45" t="s">
        <v>143</v>
      </c>
      <c r="E103" s="39" t="s">
        <v>20</v>
      </c>
      <c r="G103" s="52">
        <v>0</v>
      </c>
      <c r="H103" s="52">
        <v>0</v>
      </c>
      <c r="I103" s="64">
        <v>8</v>
      </c>
      <c r="J103" s="64">
        <v>71</v>
      </c>
      <c r="K103" s="191">
        <f>INDEX($K$104:$W$106,MATCH(Scenario,$C$104:$C$106,0),1)</f>
        <v>139.59</v>
      </c>
      <c r="L103" s="191">
        <f>INDEX($K$104:$W$106,MATCH(Scenario,$C$104:$C$106,0),2)</f>
        <v>150.75720000000001</v>
      </c>
      <c r="M103" s="191">
        <f>INDEX($K$104:$W$106,MATCH(Scenario,$C$104:$C$106,0),3)</f>
        <v>207.22262400000002</v>
      </c>
      <c r="N103" s="191">
        <f>INDEX($K$104:$W$106,MATCH(Scenario,$C$104:$C$106,0),4)</f>
        <v>271.75766976000006</v>
      </c>
      <c r="O103" s="191">
        <f>INDEX($K$104:$W$106,MATCH(Scenario,$C$104:$C$106,0),5)</f>
        <v>310.76288824320005</v>
      </c>
      <c r="P103" s="191">
        <f>INDEX($K$104:$W$106,MATCH(Scenario,$C$104:$C$106,0),6)</f>
        <v>354.26969259724808</v>
      </c>
      <c r="Q103" s="191">
        <f>INDEX($K$104:$W$106,MATCH(Scenario,$C$104:$C$106,0),7)</f>
        <v>402.74870316318737</v>
      </c>
      <c r="R103" s="191">
        <f>INDEX($K$104:$W$106,MATCH(Scenario,$C$104:$C$106,0),8)</f>
        <v>440</v>
      </c>
      <c r="S103" s="191">
        <f>INDEX($K$104:$W$106,MATCH(Scenario,$C$104:$C$106,0),9)</f>
        <v>496.8</v>
      </c>
      <c r="T103" s="191">
        <f>INDEX($K$104:$W$106,MATCH(Scenario,$C$104:$C$106,0),10)</f>
        <v>559.87200000000007</v>
      </c>
      <c r="U103" s="191">
        <f>INDEX($K$104:$W$106,MATCH(Scenario,$C$104:$C$106,0),11)</f>
        <v>554.27328000000011</v>
      </c>
      <c r="V103" s="191">
        <f>INDEX($K$104:$W$106,MATCH(Scenario,$C$104:$C$106,0),12)</f>
        <v>489.77602560000014</v>
      </c>
      <c r="W103" s="191">
        <f>INDEX($K$104:$W$106,MATCH(Scenario,$C$104:$C$106,0),13)</f>
        <v>411.41186150400017</v>
      </c>
    </row>
    <row r="104" spans="3:43">
      <c r="C104" s="48" t="s">
        <v>139</v>
      </c>
      <c r="E104" s="35" t="s">
        <v>20</v>
      </c>
      <c r="G104" s="57"/>
      <c r="H104" s="57"/>
      <c r="I104" s="57"/>
      <c r="J104" s="57"/>
      <c r="K104" s="186">
        <f t="shared" ref="K104:W104" si="101">K$90*K94</f>
        <v>164.97</v>
      </c>
      <c r="L104" s="186">
        <f t="shared" si="101"/>
        <v>205.578</v>
      </c>
      <c r="M104" s="186">
        <f t="shared" si="101"/>
        <v>281.230704</v>
      </c>
      <c r="N104" s="186">
        <f t="shared" si="101"/>
        <v>351.68639616000007</v>
      </c>
      <c r="O104" s="186">
        <f t="shared" si="101"/>
        <v>431.61512256000009</v>
      </c>
      <c r="P104" s="186">
        <f t="shared" si="101"/>
        <v>503.43587895398417</v>
      </c>
      <c r="Q104" s="186">
        <f t="shared" si="101"/>
        <v>563.84818442846233</v>
      </c>
      <c r="R104" s="186">
        <f t="shared" si="101"/>
        <v>580</v>
      </c>
      <c r="S104" s="186">
        <f t="shared" si="101"/>
        <v>648</v>
      </c>
      <c r="T104" s="186">
        <f t="shared" si="101"/>
        <v>723.16800000000001</v>
      </c>
      <c r="U104" s="186">
        <f t="shared" si="101"/>
        <v>705.43872000000022</v>
      </c>
      <c r="V104" s="186">
        <f t="shared" si="101"/>
        <v>598.6151424000002</v>
      </c>
      <c r="W104" s="186">
        <f t="shared" si="101"/>
        <v>528.95810764800012</v>
      </c>
    </row>
    <row r="105" spans="3:43">
      <c r="C105" s="48" t="s">
        <v>140</v>
      </c>
      <c r="E105" s="35" t="s">
        <v>20</v>
      </c>
      <c r="G105" s="57"/>
      <c r="H105" s="57"/>
      <c r="I105" s="57"/>
      <c r="J105" s="57"/>
      <c r="K105" s="186">
        <f t="shared" ref="K105:W105" si="102">K$90*K95</f>
        <v>139.59</v>
      </c>
      <c r="L105" s="186">
        <f t="shared" si="102"/>
        <v>150.75720000000001</v>
      </c>
      <c r="M105" s="186">
        <f t="shared" si="102"/>
        <v>207.22262400000002</v>
      </c>
      <c r="N105" s="186">
        <f t="shared" si="102"/>
        <v>271.75766976000006</v>
      </c>
      <c r="O105" s="186">
        <f t="shared" si="102"/>
        <v>310.76288824320005</v>
      </c>
      <c r="P105" s="186">
        <f t="shared" si="102"/>
        <v>354.26969259724808</v>
      </c>
      <c r="Q105" s="186">
        <f t="shared" si="102"/>
        <v>402.74870316318737</v>
      </c>
      <c r="R105" s="186">
        <f t="shared" si="102"/>
        <v>440</v>
      </c>
      <c r="S105" s="186">
        <f t="shared" si="102"/>
        <v>496.8</v>
      </c>
      <c r="T105" s="186">
        <f t="shared" si="102"/>
        <v>559.87200000000007</v>
      </c>
      <c r="U105" s="186">
        <f t="shared" si="102"/>
        <v>554.27328000000011</v>
      </c>
      <c r="V105" s="186">
        <f t="shared" si="102"/>
        <v>489.77602560000014</v>
      </c>
      <c r="W105" s="186">
        <f t="shared" si="102"/>
        <v>411.41186150400017</v>
      </c>
    </row>
    <row r="106" spans="3:43">
      <c r="C106" s="50" t="s">
        <v>141</v>
      </c>
      <c r="E106" s="35" t="s">
        <v>20</v>
      </c>
      <c r="G106" s="57"/>
      <c r="H106" s="57"/>
      <c r="I106" s="57"/>
      <c r="J106" s="57"/>
      <c r="K106" s="186">
        <f t="shared" ref="K106:W106" si="103">K$90*K96</f>
        <v>114.21</v>
      </c>
      <c r="L106" s="186">
        <f t="shared" si="103"/>
        <v>109.6416</v>
      </c>
      <c r="M106" s="186">
        <f t="shared" si="103"/>
        <v>148.01616000000001</v>
      </c>
      <c r="N106" s="186">
        <f t="shared" si="103"/>
        <v>191.82894336000004</v>
      </c>
      <c r="O106" s="186">
        <f t="shared" si="103"/>
        <v>241.70446863360007</v>
      </c>
      <c r="P106" s="186">
        <f t="shared" si="103"/>
        <v>279.68659941888006</v>
      </c>
      <c r="Q106" s="186">
        <f t="shared" si="103"/>
        <v>322.19896253054986</v>
      </c>
      <c r="R106" s="186">
        <f t="shared" si="103"/>
        <v>340</v>
      </c>
      <c r="S106" s="186">
        <f t="shared" si="103"/>
        <v>388.8</v>
      </c>
      <c r="T106" s="186">
        <f t="shared" si="103"/>
        <v>443.23200000000003</v>
      </c>
      <c r="U106" s="186">
        <f t="shared" si="103"/>
        <v>428.3020800000001</v>
      </c>
      <c r="V106" s="186">
        <f t="shared" si="103"/>
        <v>380.93690880000014</v>
      </c>
      <c r="W106" s="186">
        <f t="shared" si="103"/>
        <v>323.25217689600009</v>
      </c>
    </row>
    <row r="107" spans="3:43">
      <c r="C107" s="44"/>
      <c r="E107" s="35"/>
      <c r="K107" s="57"/>
      <c r="L107" s="178"/>
      <c r="M107" s="52"/>
    </row>
    <row r="108" spans="3:43">
      <c r="C108" s="64" t="s">
        <v>206</v>
      </c>
      <c r="E108" s="39" t="s">
        <v>129</v>
      </c>
      <c r="F108" s="64"/>
      <c r="G108" s="196"/>
      <c r="H108" s="196"/>
      <c r="I108" s="52">
        <f t="shared" ref="I108:W108" si="104">I98*I103</f>
        <v>3600</v>
      </c>
      <c r="J108" s="52">
        <f t="shared" si="104"/>
        <v>31950</v>
      </c>
      <c r="K108" s="174">
        <v>59000</v>
      </c>
      <c r="L108" s="174">
        <f t="shared" si="104"/>
        <v>70855.884000000005</v>
      </c>
      <c r="M108" s="174">
        <f t="shared" si="104"/>
        <v>99466.859520000013</v>
      </c>
      <c r="N108" s="174">
        <f t="shared" si="104"/>
        <v>133161.25818240002</v>
      </c>
      <c r="O108" s="174">
        <f t="shared" si="104"/>
        <v>155381.44412160001</v>
      </c>
      <c r="P108" s="174">
        <f t="shared" si="104"/>
        <v>180677.54322459653</v>
      </c>
      <c r="Q108" s="174">
        <f t="shared" si="104"/>
        <v>209429.32564485742</v>
      </c>
      <c r="R108" s="174">
        <f t="shared" si="104"/>
        <v>114400</v>
      </c>
      <c r="S108" s="174">
        <f t="shared" si="104"/>
        <v>119232</v>
      </c>
      <c r="T108" s="174">
        <f t="shared" si="104"/>
        <v>123171.84000000001</v>
      </c>
      <c r="U108" s="174">
        <f t="shared" si="104"/>
        <v>110854.65600000002</v>
      </c>
      <c r="V108" s="174">
        <f t="shared" si="104"/>
        <v>88159.684608000025</v>
      </c>
      <c r="W108" s="174">
        <f t="shared" si="104"/>
        <v>65825.897840640027</v>
      </c>
    </row>
    <row r="109" spans="3:43">
      <c r="C109" s="10" t="s">
        <v>131</v>
      </c>
      <c r="E109" s="35" t="s">
        <v>15</v>
      </c>
      <c r="J109" s="187">
        <f t="shared" ref="J109" si="105">J108/I108-1</f>
        <v>7.875</v>
      </c>
      <c r="K109" s="195">
        <f t="shared" ref="K109" si="106">K108/J108-1</f>
        <v>0.84663536776212833</v>
      </c>
      <c r="L109" s="195">
        <f t="shared" ref="L109" si="107">L108/K108-1</f>
        <v>0.20094718644067799</v>
      </c>
      <c r="M109" s="195">
        <f t="shared" ref="M109" si="108">M108/L108-1</f>
        <v>0.40379110251450689</v>
      </c>
      <c r="N109" s="195">
        <f t="shared" ref="N109" si="109">N108/M108-1</f>
        <v>0.33875000000000011</v>
      </c>
      <c r="O109" s="195">
        <f t="shared" ref="O109" si="110">O108/N108-1</f>
        <v>0.16686674669867929</v>
      </c>
      <c r="P109" s="195">
        <f t="shared" ref="P109" si="111">P108/O108-1</f>
        <v>0.16280000000000028</v>
      </c>
      <c r="Q109" s="195">
        <f t="shared" ref="Q109" si="112">Q108/P108-1</f>
        <v>0.15913312693498471</v>
      </c>
      <c r="R109" s="195">
        <f t="shared" ref="R109" si="113">R108/Q108-1</f>
        <v>-0.45375367252055554</v>
      </c>
      <c r="S109" s="195">
        <f t="shared" ref="S109" si="114">S108/R108-1</f>
        <v>4.2237762237762322E-2</v>
      </c>
      <c r="T109" s="195">
        <f t="shared" ref="T109" si="115">T108/S108-1</f>
        <v>3.304347826086973E-2</v>
      </c>
      <c r="U109" s="195">
        <f t="shared" ref="U109" si="116">U108/T108-1</f>
        <v>-9.9999999999999978E-2</v>
      </c>
      <c r="V109" s="195">
        <f t="shared" ref="V109" si="117">V108/U108-1</f>
        <v>-0.20472727272727265</v>
      </c>
      <c r="W109" s="195">
        <f t="shared" ref="W109" si="118">W108/V108-1</f>
        <v>-0.25333333333333319</v>
      </c>
    </row>
    <row r="110" spans="3:43">
      <c r="E110" s="53"/>
    </row>
    <row r="111" spans="3:43">
      <c r="C111" s="56" t="s">
        <v>213</v>
      </c>
      <c r="E111" s="35" t="s">
        <v>129</v>
      </c>
      <c r="F111" s="192">
        <v>0.3</v>
      </c>
      <c r="G111" s="57"/>
      <c r="H111" s="59"/>
      <c r="I111" s="197">
        <f>-I108*$F$111</f>
        <v>-1080</v>
      </c>
      <c r="J111" s="197">
        <f t="shared" ref="J111:W111" si="119">-J108*$F$111</f>
        <v>-9585</v>
      </c>
      <c r="K111" s="193">
        <f t="shared" si="119"/>
        <v>-17700</v>
      </c>
      <c r="L111" s="193">
        <f t="shared" si="119"/>
        <v>-21256.765200000002</v>
      </c>
      <c r="M111" s="193">
        <f t="shared" si="119"/>
        <v>-29840.057856000003</v>
      </c>
      <c r="N111" s="193">
        <f t="shared" si="119"/>
        <v>-39948.377454720008</v>
      </c>
      <c r="O111" s="193">
        <f t="shared" si="119"/>
        <v>-46614.433236479999</v>
      </c>
      <c r="P111" s="193">
        <f t="shared" si="119"/>
        <v>-54203.262967378956</v>
      </c>
      <c r="Q111" s="193">
        <f t="shared" si="119"/>
        <v>-62828.797693457222</v>
      </c>
      <c r="R111" s="193">
        <f t="shared" si="119"/>
        <v>-34320</v>
      </c>
      <c r="S111" s="193">
        <f t="shared" si="119"/>
        <v>-35769.599999999999</v>
      </c>
      <c r="T111" s="193">
        <f t="shared" si="119"/>
        <v>-36951.552000000003</v>
      </c>
      <c r="U111" s="193">
        <f t="shared" si="119"/>
        <v>-33256.396800000002</v>
      </c>
      <c r="V111" s="193">
        <f t="shared" si="119"/>
        <v>-26447.905382400008</v>
      </c>
      <c r="W111" s="193">
        <f t="shared" si="119"/>
        <v>-19747.769352192008</v>
      </c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</row>
    <row r="112" spans="3:43">
      <c r="C112" s="64" t="str">
        <f>"Revenue to "&amp;Company_Name</f>
        <v>Revenue to Ultragenyx Pharmaceutical Inc.</v>
      </c>
      <c r="E112" s="39" t="s">
        <v>129</v>
      </c>
      <c r="F112" s="194"/>
      <c r="G112" s="57"/>
      <c r="H112" s="59"/>
      <c r="I112" s="52">
        <f>SUM(I108,I111)</f>
        <v>2520</v>
      </c>
      <c r="J112" s="52">
        <f t="shared" ref="J112:W112" si="120">SUM(J108,J111)</f>
        <v>22365</v>
      </c>
      <c r="K112" s="174">
        <f t="shared" si="120"/>
        <v>41300</v>
      </c>
      <c r="L112" s="174">
        <f t="shared" si="120"/>
        <v>49599.118800000004</v>
      </c>
      <c r="M112" s="174">
        <f t="shared" si="120"/>
        <v>69626.801664000013</v>
      </c>
      <c r="N112" s="174">
        <f t="shared" si="120"/>
        <v>93212.880727680022</v>
      </c>
      <c r="O112" s="174">
        <f t="shared" si="120"/>
        <v>108767.01088512002</v>
      </c>
      <c r="P112" s="174">
        <f t="shared" si="120"/>
        <v>126474.28025721759</v>
      </c>
      <c r="Q112" s="174">
        <f t="shared" si="120"/>
        <v>146600.5279514002</v>
      </c>
      <c r="R112" s="174">
        <f t="shared" si="120"/>
        <v>80080</v>
      </c>
      <c r="S112" s="174">
        <f t="shared" si="120"/>
        <v>83462.399999999994</v>
      </c>
      <c r="T112" s="174">
        <f t="shared" si="120"/>
        <v>86220.288</v>
      </c>
      <c r="U112" s="174">
        <f t="shared" si="120"/>
        <v>77598.259200000015</v>
      </c>
      <c r="V112" s="174">
        <f t="shared" si="120"/>
        <v>61711.779225600018</v>
      </c>
      <c r="W112" s="174">
        <f t="shared" si="120"/>
        <v>46078.128488448019</v>
      </c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</row>
    <row r="113" spans="2:43">
      <c r="C113" s="34"/>
      <c r="E113" s="39"/>
      <c r="F113" s="194"/>
      <c r="G113" s="57"/>
      <c r="H113" s="168"/>
      <c r="I113" s="52"/>
      <c r="J113" s="175">
        <f>J112/I112-1</f>
        <v>7.875</v>
      </c>
      <c r="K113" s="175">
        <f t="shared" ref="K113:W113" si="121">K112/J112-1</f>
        <v>0.84663536776212833</v>
      </c>
      <c r="L113" s="175">
        <f t="shared" si="121"/>
        <v>0.20094718644067799</v>
      </c>
      <c r="M113" s="175">
        <f t="shared" si="121"/>
        <v>0.40379110251450689</v>
      </c>
      <c r="N113" s="175">
        <f t="shared" si="121"/>
        <v>0.33875000000000011</v>
      </c>
      <c r="O113" s="175">
        <f t="shared" si="121"/>
        <v>0.16686674669867951</v>
      </c>
      <c r="P113" s="175">
        <f t="shared" si="121"/>
        <v>0.16280000000000028</v>
      </c>
      <c r="Q113" s="175">
        <f t="shared" si="121"/>
        <v>0.15913312693498449</v>
      </c>
      <c r="R113" s="175">
        <f t="shared" si="121"/>
        <v>-0.45375367252055554</v>
      </c>
      <c r="S113" s="175">
        <f t="shared" si="121"/>
        <v>4.22377622377621E-2</v>
      </c>
      <c r="T113" s="175">
        <f t="shared" si="121"/>
        <v>3.304347826086973E-2</v>
      </c>
      <c r="U113" s="175">
        <f t="shared" si="121"/>
        <v>-9.9999999999999867E-2</v>
      </c>
      <c r="V113" s="175">
        <f t="shared" si="121"/>
        <v>-0.20472727272727265</v>
      </c>
      <c r="W113" s="175">
        <f t="shared" si="121"/>
        <v>-0.25333333333333319</v>
      </c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</row>
    <row r="114" spans="2:43">
      <c r="C114" s="34"/>
      <c r="E114" s="39"/>
      <c r="F114" s="194"/>
      <c r="G114" s="57"/>
      <c r="H114" s="168"/>
      <c r="I114" s="52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</row>
    <row r="115" spans="2:43">
      <c r="C115" s="44" t="s">
        <v>293</v>
      </c>
      <c r="E115" s="35" t="s">
        <v>180</v>
      </c>
      <c r="F115" s="194"/>
      <c r="G115" s="57"/>
      <c r="H115" s="168"/>
      <c r="I115" s="38">
        <f>(I108/I9)*I12</f>
        <v>376.07135429905031</v>
      </c>
      <c r="J115" s="38">
        <f>(J108/J9)*J12</f>
        <v>4375.8092212127167</v>
      </c>
      <c r="K115" s="186">
        <f>K108*K116</f>
        <v>7080</v>
      </c>
      <c r="L115" s="186">
        <f t="shared" ref="L115:W115" si="122">L108*L116</f>
        <v>7794.1472400000002</v>
      </c>
      <c r="M115" s="186">
        <f t="shared" si="122"/>
        <v>9946.6859520000016</v>
      </c>
      <c r="N115" s="186">
        <f t="shared" si="122"/>
        <v>11984.513236416002</v>
      </c>
      <c r="O115" s="186">
        <f t="shared" si="122"/>
        <v>13984.329970944</v>
      </c>
      <c r="P115" s="186">
        <f t="shared" si="122"/>
        <v>16260.978890213688</v>
      </c>
      <c r="Q115" s="186">
        <f t="shared" si="122"/>
        <v>18848.639308037167</v>
      </c>
      <c r="R115" s="186">
        <f t="shared" si="122"/>
        <v>10296</v>
      </c>
      <c r="S115" s="186">
        <f t="shared" si="122"/>
        <v>10730.88</v>
      </c>
      <c r="T115" s="186">
        <f t="shared" si="122"/>
        <v>11085.465600000001</v>
      </c>
      <c r="U115" s="186">
        <f t="shared" si="122"/>
        <v>9976.9190400000007</v>
      </c>
      <c r="V115" s="186">
        <f t="shared" si="122"/>
        <v>7934.3716147200021</v>
      </c>
      <c r="W115" s="186">
        <f t="shared" si="122"/>
        <v>5924.3308056576025</v>
      </c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</row>
    <row r="116" spans="2:43">
      <c r="C116" s="50" t="s">
        <v>295</v>
      </c>
      <c r="E116" s="53" t="s">
        <v>15</v>
      </c>
      <c r="F116" s="194"/>
      <c r="G116" s="57"/>
      <c r="H116" s="168"/>
      <c r="I116" s="175">
        <f>I115/I112</f>
        <v>0.14923466440438504</v>
      </c>
      <c r="J116" s="175">
        <f>J115/J112</f>
        <v>0.19565433584675684</v>
      </c>
      <c r="K116" s="195">
        <v>0.12</v>
      </c>
      <c r="L116" s="195">
        <v>0.11</v>
      </c>
      <c r="M116" s="195">
        <v>0.1</v>
      </c>
      <c r="N116" s="195">
        <v>0.09</v>
      </c>
      <c r="O116" s="195">
        <v>0.09</v>
      </c>
      <c r="P116" s="195">
        <v>0.09</v>
      </c>
      <c r="Q116" s="195">
        <v>0.09</v>
      </c>
      <c r="R116" s="195">
        <v>0.09</v>
      </c>
      <c r="S116" s="195">
        <v>0.09</v>
      </c>
      <c r="T116" s="195">
        <v>0.09</v>
      </c>
      <c r="U116" s="195">
        <v>0.09</v>
      </c>
      <c r="V116" s="195">
        <v>0.09</v>
      </c>
      <c r="W116" s="195">
        <v>0.09</v>
      </c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</row>
    <row r="117" spans="2:43">
      <c r="C117" s="34"/>
      <c r="E117" s="39"/>
      <c r="F117" s="194"/>
      <c r="G117" s="57"/>
      <c r="H117" s="168"/>
      <c r="I117" s="52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</row>
    <row r="118" spans="2:43">
      <c r="C118" s="34"/>
      <c r="D118" s="39"/>
      <c r="E118" s="217"/>
      <c r="G118" s="57"/>
      <c r="H118" s="168"/>
      <c r="I118" s="168"/>
      <c r="J118" s="168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</row>
    <row r="119" spans="2:43">
      <c r="B119" s="60" t="s">
        <v>203</v>
      </c>
      <c r="C119" s="26"/>
      <c r="D119" s="26"/>
      <c r="E119" s="216"/>
      <c r="F119" s="26"/>
      <c r="G119" s="180"/>
      <c r="H119" s="180"/>
      <c r="I119" s="180"/>
      <c r="J119" s="180"/>
      <c r="K119" s="181"/>
      <c r="L119" s="26"/>
      <c r="M119" s="26"/>
      <c r="N119" s="26"/>
      <c r="O119" s="26"/>
      <c r="P119" s="26"/>
      <c r="Q119" s="26"/>
      <c r="R119" s="26"/>
      <c r="S119" s="26"/>
      <c r="T119" s="26"/>
      <c r="U119" s="209" t="s">
        <v>266</v>
      </c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spans="2:43">
      <c r="E120" s="53"/>
    </row>
    <row r="121" spans="2:43">
      <c r="C121" s="64" t="s">
        <v>200</v>
      </c>
      <c r="E121" s="53"/>
    </row>
    <row r="122" spans="2:43">
      <c r="C122" s="51" t="s">
        <v>207</v>
      </c>
      <c r="E122" s="53" t="s">
        <v>20</v>
      </c>
      <c r="G122" s="57">
        <v>160</v>
      </c>
      <c r="H122" s="57">
        <v>161</v>
      </c>
      <c r="I122" s="57">
        <v>162</v>
      </c>
      <c r="J122" s="57">
        <v>162</v>
      </c>
      <c r="K122" s="184">
        <v>163</v>
      </c>
      <c r="L122" s="184">
        <v>164</v>
      </c>
      <c r="M122" s="184">
        <v>165</v>
      </c>
      <c r="N122" s="184">
        <v>166</v>
      </c>
      <c r="O122" s="184">
        <v>166</v>
      </c>
      <c r="P122" s="184">
        <v>167</v>
      </c>
      <c r="Q122" s="184">
        <v>168</v>
      </c>
      <c r="R122" s="184">
        <v>169</v>
      </c>
      <c r="S122" s="184">
        <v>170</v>
      </c>
      <c r="T122" s="184">
        <v>170</v>
      </c>
      <c r="U122" s="184">
        <v>171</v>
      </c>
      <c r="V122" s="184">
        <v>172</v>
      </c>
      <c r="W122" s="184">
        <v>173</v>
      </c>
    </row>
    <row r="123" spans="2:43">
      <c r="C123" s="50" t="s">
        <v>131</v>
      </c>
      <c r="E123" s="53" t="s">
        <v>15</v>
      </c>
      <c r="H123" s="220">
        <v>5.0000000000000001E-3</v>
      </c>
      <c r="I123" s="220">
        <v>5.0000000000000001E-3</v>
      </c>
      <c r="J123" s="220">
        <v>5.0000000000000001E-3</v>
      </c>
      <c r="K123" s="221">
        <v>5.0000000000000001E-3</v>
      </c>
      <c r="L123" s="221">
        <v>5.0000000000000001E-3</v>
      </c>
      <c r="M123" s="221">
        <v>5.0000000000000001E-3</v>
      </c>
      <c r="N123" s="221">
        <v>5.0000000000000001E-3</v>
      </c>
      <c r="O123" s="221">
        <v>5.0000000000000001E-3</v>
      </c>
      <c r="P123" s="221">
        <v>5.0000000000000001E-3</v>
      </c>
      <c r="Q123" s="221">
        <v>5.0000000000000001E-3</v>
      </c>
      <c r="R123" s="221">
        <v>5.0000000000000001E-3</v>
      </c>
      <c r="S123" s="221">
        <v>5.0000000000000001E-3</v>
      </c>
      <c r="T123" s="221">
        <v>5.0000000000000001E-3</v>
      </c>
      <c r="U123" s="221">
        <v>5.0000000000000001E-3</v>
      </c>
      <c r="V123" s="221">
        <v>5.0000000000000001E-3</v>
      </c>
      <c r="W123" s="221">
        <v>5.0000000000000001E-3</v>
      </c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</row>
    <row r="124" spans="2:43">
      <c r="E124" s="53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</row>
    <row r="125" spans="2:43">
      <c r="C125" s="64" t="s">
        <v>218</v>
      </c>
      <c r="E125" s="53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</row>
    <row r="126" spans="2:43">
      <c r="C126" s="51" t="s">
        <v>207</v>
      </c>
      <c r="E126" s="53" t="s">
        <v>20</v>
      </c>
      <c r="G126" s="57">
        <v>50</v>
      </c>
      <c r="H126" s="57">
        <v>50</v>
      </c>
      <c r="I126" s="57">
        <v>51</v>
      </c>
      <c r="J126" s="57">
        <v>51</v>
      </c>
      <c r="K126" s="184">
        <v>51</v>
      </c>
      <c r="L126" s="184">
        <v>51</v>
      </c>
      <c r="M126" s="184">
        <v>52</v>
      </c>
      <c r="N126" s="184">
        <v>52</v>
      </c>
      <c r="O126" s="184">
        <v>52</v>
      </c>
      <c r="P126" s="184">
        <v>53</v>
      </c>
      <c r="Q126" s="184">
        <v>53</v>
      </c>
      <c r="R126" s="184">
        <v>53</v>
      </c>
      <c r="S126" s="184">
        <v>54</v>
      </c>
      <c r="T126" s="184">
        <v>54</v>
      </c>
      <c r="U126" s="184">
        <v>54</v>
      </c>
      <c r="V126" s="184">
        <v>54</v>
      </c>
      <c r="W126" s="184">
        <v>54</v>
      </c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</row>
    <row r="127" spans="2:43">
      <c r="C127" s="50" t="s">
        <v>131</v>
      </c>
      <c r="E127" s="53" t="s">
        <v>15</v>
      </c>
      <c r="H127" s="220">
        <v>5.0000000000000001E-3</v>
      </c>
      <c r="I127" s="220">
        <v>5.0000000000000001E-3</v>
      </c>
      <c r="J127" s="220">
        <v>5.0000000000000001E-3</v>
      </c>
      <c r="K127" s="221">
        <v>5.0000000000000001E-3</v>
      </c>
      <c r="L127" s="221">
        <v>5.0000000000000001E-3</v>
      </c>
      <c r="M127" s="221">
        <v>5.0000000000000001E-3</v>
      </c>
      <c r="N127" s="221">
        <v>5.0000000000000001E-3</v>
      </c>
      <c r="O127" s="221">
        <v>5.0000000000000001E-3</v>
      </c>
      <c r="P127" s="221">
        <v>5.0000000000000001E-3</v>
      </c>
      <c r="Q127" s="221">
        <v>5.0000000000000001E-3</v>
      </c>
      <c r="R127" s="221">
        <v>5.0000000000000001E-3</v>
      </c>
      <c r="S127" s="221">
        <v>5.0000000000000001E-3</v>
      </c>
      <c r="T127" s="221">
        <v>5.0000000000000001E-3</v>
      </c>
      <c r="U127" s="221">
        <v>5.0000000000000001E-3</v>
      </c>
      <c r="V127" s="221">
        <v>5.0000000000000001E-3</v>
      </c>
      <c r="W127" s="221">
        <v>5.0000000000000001E-3</v>
      </c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</row>
    <row r="128" spans="2:43">
      <c r="E128" s="53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</row>
    <row r="129" spans="3:23">
      <c r="C129" s="45" t="s">
        <v>210</v>
      </c>
      <c r="E129" s="190" t="s">
        <v>15</v>
      </c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3:23">
      <c r="C130" s="48" t="s">
        <v>139</v>
      </c>
      <c r="E130" s="53" t="s">
        <v>15</v>
      </c>
      <c r="G130" s="220">
        <v>0.26900000000000002</v>
      </c>
      <c r="H130" s="220">
        <v>0.34200000000000003</v>
      </c>
      <c r="I130" s="220">
        <v>0.5</v>
      </c>
      <c r="J130" s="220">
        <v>0.5</v>
      </c>
      <c r="K130" s="221">
        <v>0.32</v>
      </c>
      <c r="L130" s="221">
        <v>0.34</v>
      </c>
      <c r="M130" s="221">
        <v>0.36</v>
      </c>
      <c r="N130" s="221">
        <v>0.38</v>
      </c>
      <c r="O130" s="221">
        <v>0.4</v>
      </c>
      <c r="P130" s="221">
        <v>0.42</v>
      </c>
      <c r="Q130" s="221">
        <v>0.43</v>
      </c>
      <c r="R130" s="221">
        <v>0.44</v>
      </c>
      <c r="S130" s="221">
        <v>0.45</v>
      </c>
      <c r="T130" s="221">
        <v>0.46</v>
      </c>
      <c r="U130" s="221">
        <v>0.4</v>
      </c>
      <c r="V130" s="221">
        <f>U130-4%</f>
        <v>0.36000000000000004</v>
      </c>
      <c r="W130" s="221">
        <f>V130-4%</f>
        <v>0.32000000000000006</v>
      </c>
    </row>
    <row r="131" spans="3:23">
      <c r="C131" s="48" t="s">
        <v>140</v>
      </c>
      <c r="E131" s="53" t="s">
        <v>15</v>
      </c>
      <c r="G131" s="225"/>
      <c r="H131" s="225"/>
      <c r="I131" s="225"/>
      <c r="J131" s="225"/>
      <c r="K131" s="221">
        <v>0.26</v>
      </c>
      <c r="L131" s="221">
        <v>0.28000000000000003</v>
      </c>
      <c r="M131" s="221">
        <v>0.3</v>
      </c>
      <c r="N131" s="221">
        <v>0.32</v>
      </c>
      <c r="O131" s="221">
        <v>0.34</v>
      </c>
      <c r="P131" s="221">
        <v>0.36</v>
      </c>
      <c r="Q131" s="221">
        <v>0.37</v>
      </c>
      <c r="R131" s="221">
        <v>0.38</v>
      </c>
      <c r="S131" s="221">
        <v>0.39</v>
      </c>
      <c r="T131" s="221">
        <v>0.4</v>
      </c>
      <c r="U131" s="221">
        <v>0.36</v>
      </c>
      <c r="V131" s="221">
        <f t="shared" ref="V131:W132" si="123">U131-4%</f>
        <v>0.32</v>
      </c>
      <c r="W131" s="221">
        <f t="shared" si="123"/>
        <v>0.28000000000000003</v>
      </c>
    </row>
    <row r="132" spans="3:23">
      <c r="C132" s="50" t="s">
        <v>141</v>
      </c>
      <c r="E132" s="53" t="s">
        <v>15</v>
      </c>
      <c r="G132" s="225"/>
      <c r="H132" s="225"/>
      <c r="I132" s="225"/>
      <c r="J132" s="225"/>
      <c r="K132" s="221">
        <v>0.21</v>
      </c>
      <c r="L132" s="221">
        <v>0.22</v>
      </c>
      <c r="M132" s="221">
        <v>0.24</v>
      </c>
      <c r="N132" s="221">
        <v>0.26</v>
      </c>
      <c r="O132" s="221">
        <v>0.28000000000000003</v>
      </c>
      <c r="P132" s="221">
        <v>0.3</v>
      </c>
      <c r="Q132" s="221">
        <v>0.31</v>
      </c>
      <c r="R132" s="221">
        <v>0.32</v>
      </c>
      <c r="S132" s="221">
        <v>0.33</v>
      </c>
      <c r="T132" s="221">
        <v>0.34</v>
      </c>
      <c r="U132" s="221">
        <v>0.3</v>
      </c>
      <c r="V132" s="221">
        <f t="shared" si="123"/>
        <v>0.26</v>
      </c>
      <c r="W132" s="221">
        <f t="shared" si="123"/>
        <v>0.22</v>
      </c>
    </row>
    <row r="133" spans="3:23">
      <c r="E133" s="53"/>
      <c r="G133" s="225"/>
      <c r="H133" s="225"/>
      <c r="I133" s="225"/>
      <c r="J133" s="22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</row>
    <row r="134" spans="3:23">
      <c r="C134" s="45" t="s">
        <v>219</v>
      </c>
      <c r="E134" s="190" t="s">
        <v>15</v>
      </c>
      <c r="G134" s="215"/>
      <c r="H134" s="215"/>
      <c r="I134" s="215"/>
      <c r="J134" s="215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</row>
    <row r="135" spans="3:23">
      <c r="C135" s="48" t="s">
        <v>139</v>
      </c>
      <c r="E135" s="53" t="s">
        <v>15</v>
      </c>
      <c r="G135" s="220">
        <v>0.3</v>
      </c>
      <c r="H135" s="220">
        <v>0.34</v>
      </c>
      <c r="I135" s="220">
        <v>0.38</v>
      </c>
      <c r="J135" s="220">
        <v>0.4</v>
      </c>
      <c r="K135" s="221">
        <v>0.47</v>
      </c>
      <c r="L135" s="221">
        <v>0.49</v>
      </c>
      <c r="M135" s="221">
        <v>0.51</v>
      </c>
      <c r="N135" s="221">
        <v>0.53</v>
      </c>
      <c r="O135" s="221">
        <v>0.55000000000000004</v>
      </c>
      <c r="P135" s="221">
        <v>0.56999999999999995</v>
      </c>
      <c r="Q135" s="221">
        <v>0.57999999999999996</v>
      </c>
      <c r="R135" s="221">
        <v>0.59</v>
      </c>
      <c r="S135" s="221">
        <v>0.6</v>
      </c>
      <c r="T135" s="221">
        <v>0.6</v>
      </c>
      <c r="U135" s="221">
        <v>0.54</v>
      </c>
      <c r="V135" s="221">
        <f>U135-4%</f>
        <v>0.5</v>
      </c>
      <c r="W135" s="221">
        <f>V135-4%</f>
        <v>0.46</v>
      </c>
    </row>
    <row r="136" spans="3:23">
      <c r="C136" s="48" t="s">
        <v>140</v>
      </c>
      <c r="E136" s="53" t="s">
        <v>15</v>
      </c>
      <c r="G136" s="225"/>
      <c r="H136" s="225"/>
      <c r="I136" s="225"/>
      <c r="J136" s="225"/>
      <c r="K136" s="221">
        <v>0.42</v>
      </c>
      <c r="L136" s="221">
        <v>0.44</v>
      </c>
      <c r="M136" s="221">
        <v>0.46</v>
      </c>
      <c r="N136" s="221">
        <v>0.48</v>
      </c>
      <c r="O136" s="221">
        <v>0.5</v>
      </c>
      <c r="P136" s="221">
        <v>0.52</v>
      </c>
      <c r="Q136" s="221">
        <v>0.53</v>
      </c>
      <c r="R136" s="221">
        <v>0.54</v>
      </c>
      <c r="S136" s="221">
        <v>0.55000000000000004</v>
      </c>
      <c r="T136" s="221">
        <v>0.55000000000000004</v>
      </c>
      <c r="U136" s="221">
        <v>0.5</v>
      </c>
      <c r="V136" s="221">
        <f t="shared" ref="V136:W136" si="124">U136-4%</f>
        <v>0.46</v>
      </c>
      <c r="W136" s="221">
        <f t="shared" si="124"/>
        <v>0.42000000000000004</v>
      </c>
    </row>
    <row r="137" spans="3:23">
      <c r="C137" s="50" t="s">
        <v>141</v>
      </c>
      <c r="E137" s="53" t="s">
        <v>15</v>
      </c>
      <c r="G137" s="225"/>
      <c r="H137" s="225"/>
      <c r="I137" s="225"/>
      <c r="J137" s="225"/>
      <c r="K137" s="221">
        <v>0.36</v>
      </c>
      <c r="L137" s="221">
        <v>0.38</v>
      </c>
      <c r="M137" s="221">
        <v>0.4</v>
      </c>
      <c r="N137" s="221">
        <v>0.42</v>
      </c>
      <c r="O137" s="221">
        <v>0.44</v>
      </c>
      <c r="P137" s="221">
        <v>0.46</v>
      </c>
      <c r="Q137" s="221">
        <v>0.47</v>
      </c>
      <c r="R137" s="221">
        <v>0.48</v>
      </c>
      <c r="S137" s="221">
        <v>0.49</v>
      </c>
      <c r="T137" s="221">
        <v>0.49</v>
      </c>
      <c r="U137" s="221">
        <v>0.45</v>
      </c>
      <c r="V137" s="221">
        <f t="shared" ref="V137:W137" si="125">U137-4%</f>
        <v>0.41000000000000003</v>
      </c>
      <c r="W137" s="221">
        <f t="shared" si="125"/>
        <v>0.37000000000000005</v>
      </c>
    </row>
    <row r="138" spans="3:23">
      <c r="E138" s="53"/>
      <c r="G138" s="167"/>
      <c r="H138" s="167"/>
      <c r="I138" s="167"/>
      <c r="J138" s="167"/>
    </row>
    <row r="139" spans="3:23">
      <c r="C139" s="45" t="s">
        <v>142</v>
      </c>
      <c r="E139" s="39" t="s">
        <v>129</v>
      </c>
      <c r="G139" s="64">
        <v>375</v>
      </c>
      <c r="H139" s="64">
        <v>375</v>
      </c>
      <c r="I139" s="64">
        <v>375</v>
      </c>
      <c r="J139" s="64">
        <v>375</v>
      </c>
      <c r="K139" s="191">
        <f>INDEX($K$140:$W$142,MATCH(Scenario,$C$140:$C$142),1)</f>
        <v>382</v>
      </c>
      <c r="L139" s="191">
        <f>INDEX($K$140:$W$142,MATCH(Scenario,$C$140:$C$142),2)</f>
        <v>390</v>
      </c>
      <c r="M139" s="191">
        <f>INDEX($K$140:$W$142,MATCH(Scenario,$C$140:$C$142),3)</f>
        <v>398</v>
      </c>
      <c r="N139" s="191">
        <f>INDEX($K$140:$W$142,MATCH(Scenario,$C$140:$C$142),4)</f>
        <v>406</v>
      </c>
      <c r="O139" s="191">
        <f>INDEX($K$140:$W$142,MATCH(Scenario,$C$140:$C$142),5)</f>
        <v>414</v>
      </c>
      <c r="P139" s="191">
        <f>INDEX($K$140:$W$142,MATCH(Scenario,$C$140:$C$142),6)</f>
        <v>422</v>
      </c>
      <c r="Q139" s="191">
        <f>INDEX($K$140:$W$142,MATCH(Scenario,$C$140:$C$142),7)</f>
        <v>431</v>
      </c>
      <c r="R139" s="191">
        <f>INDEX($K$140:$W$142,MATCH(Scenario,$C$140:$C$142),8)</f>
        <v>440</v>
      </c>
      <c r="S139" s="191">
        <f>INDEX($K$140:$W$142,MATCH(Scenario,$C$140:$C$142),9)</f>
        <v>448</v>
      </c>
      <c r="T139" s="191">
        <f>INDEX($K$140:$W$142,MATCH(Scenario,$C$140:$C$142),10)</f>
        <v>457</v>
      </c>
      <c r="U139" s="191">
        <f>INDEX($K$140:$W$142,MATCH(Scenario,$C$140:$C$142),11)</f>
        <v>466</v>
      </c>
      <c r="V139" s="191">
        <f>INDEX($K$140:$W$142,MATCH(Scenario,$C$140:$C$142),12)</f>
        <v>240</v>
      </c>
      <c r="W139" s="191">
        <f>INDEX($K$140:$W$142,MATCH(Scenario,$C$140:$C$142),13)</f>
        <v>220</v>
      </c>
    </row>
    <row r="140" spans="3:23">
      <c r="C140" s="48" t="s">
        <v>139</v>
      </c>
      <c r="E140" s="35" t="s">
        <v>129</v>
      </c>
      <c r="G140" s="57"/>
      <c r="H140" s="57"/>
      <c r="I140" s="57"/>
      <c r="J140" s="57"/>
      <c r="K140" s="186">
        <v>420</v>
      </c>
      <c r="L140" s="186">
        <v>429</v>
      </c>
      <c r="M140" s="186">
        <v>438</v>
      </c>
      <c r="N140" s="186">
        <v>447</v>
      </c>
      <c r="O140" s="186">
        <v>455</v>
      </c>
      <c r="P140" s="186">
        <v>464</v>
      </c>
      <c r="Q140" s="186">
        <v>474</v>
      </c>
      <c r="R140" s="186">
        <v>484</v>
      </c>
      <c r="S140" s="186">
        <v>493</v>
      </c>
      <c r="T140" s="186">
        <v>503</v>
      </c>
      <c r="U140" s="186">
        <v>513</v>
      </c>
      <c r="V140" s="186">
        <v>260</v>
      </c>
      <c r="W140" s="186">
        <f>V140-20</f>
        <v>240</v>
      </c>
    </row>
    <row r="141" spans="3:23">
      <c r="C141" s="48" t="s">
        <v>140</v>
      </c>
      <c r="E141" s="35" t="s">
        <v>129</v>
      </c>
      <c r="G141" s="57"/>
      <c r="H141" s="57"/>
      <c r="I141" s="57"/>
      <c r="J141" s="57"/>
      <c r="K141" s="186">
        <v>382</v>
      </c>
      <c r="L141" s="186">
        <v>390</v>
      </c>
      <c r="M141" s="186">
        <v>398</v>
      </c>
      <c r="N141" s="186">
        <v>406</v>
      </c>
      <c r="O141" s="186">
        <v>414</v>
      </c>
      <c r="P141" s="186">
        <v>422</v>
      </c>
      <c r="Q141" s="186">
        <v>431</v>
      </c>
      <c r="R141" s="186">
        <v>440</v>
      </c>
      <c r="S141" s="186">
        <v>448</v>
      </c>
      <c r="T141" s="186">
        <v>457</v>
      </c>
      <c r="U141" s="186">
        <v>466</v>
      </c>
      <c r="V141" s="186">
        <v>240</v>
      </c>
      <c r="W141" s="186">
        <f t="shared" ref="W141:W142" si="126">V141-20</f>
        <v>220</v>
      </c>
    </row>
    <row r="142" spans="3:23">
      <c r="C142" s="50" t="s">
        <v>141</v>
      </c>
      <c r="E142" s="35" t="s">
        <v>129</v>
      </c>
      <c r="G142" s="57"/>
      <c r="H142" s="57"/>
      <c r="I142" s="57"/>
      <c r="J142" s="57"/>
      <c r="K142" s="186">
        <v>344</v>
      </c>
      <c r="L142" s="186">
        <v>351</v>
      </c>
      <c r="M142" s="186">
        <v>358</v>
      </c>
      <c r="N142" s="186">
        <v>365</v>
      </c>
      <c r="O142" s="186">
        <v>373</v>
      </c>
      <c r="P142" s="186">
        <v>380</v>
      </c>
      <c r="Q142" s="186">
        <v>388</v>
      </c>
      <c r="R142" s="186">
        <v>396</v>
      </c>
      <c r="S142" s="186">
        <v>403</v>
      </c>
      <c r="T142" s="186">
        <v>411</v>
      </c>
      <c r="U142" s="186">
        <v>419</v>
      </c>
      <c r="V142" s="186">
        <v>210</v>
      </c>
      <c r="W142" s="186">
        <f t="shared" si="126"/>
        <v>190</v>
      </c>
    </row>
    <row r="143" spans="3:23">
      <c r="E143" s="53"/>
      <c r="G143" s="57"/>
      <c r="H143" s="57"/>
      <c r="I143" s="57"/>
      <c r="J143" s="57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</row>
    <row r="144" spans="3:23">
      <c r="C144" s="45" t="s">
        <v>211</v>
      </c>
      <c r="E144" s="190" t="s">
        <v>20</v>
      </c>
      <c r="G144" s="64">
        <v>43</v>
      </c>
      <c r="H144" s="64">
        <v>55</v>
      </c>
      <c r="I144" s="64">
        <v>81</v>
      </c>
      <c r="J144" s="64">
        <v>81</v>
      </c>
      <c r="K144" s="191">
        <f>INDEX($K$145:$W$147,MATCH(Scenario,$C$145:$C$147,0),1)</f>
        <v>42.38</v>
      </c>
      <c r="L144" s="191">
        <f>INDEX($K$145:$W$147,MATCH(Scenario,$C$145:$C$147,0),2)</f>
        <v>45.92</v>
      </c>
      <c r="M144" s="191">
        <f>INDEX($K$145:$W$147,MATCH(Scenario,$C$145:$C$147,0),3)</f>
        <v>49.5</v>
      </c>
      <c r="N144" s="191">
        <f>INDEX($K$145:$W$147,MATCH(Scenario,$C$145:$C$147,0),4)</f>
        <v>53.120000000000005</v>
      </c>
      <c r="O144" s="191">
        <f>INDEX($K$145:$W$147,MATCH(Scenario,$C$145:$C$147,0),5)</f>
        <v>56.440000000000005</v>
      </c>
      <c r="P144" s="191">
        <f>INDEX($K$145:$W$147,MATCH(Scenario,$C$145:$C$147,0),6)</f>
        <v>60.12</v>
      </c>
      <c r="Q144" s="191">
        <f>INDEX($K$145:$W$147,MATCH(Scenario,$C$145:$C$147,0),7)</f>
        <v>62.16</v>
      </c>
      <c r="R144" s="191">
        <f>INDEX($K$145:$W$147,MATCH(Scenario,$C$145:$C$147,0),8)</f>
        <v>64.22</v>
      </c>
      <c r="S144" s="191">
        <f>INDEX($K$145:$W$147,MATCH(Scenario,$C$145:$C$147,0),9)</f>
        <v>66.3</v>
      </c>
      <c r="T144" s="191">
        <f>INDEX($K$145:$W$147,MATCH(Scenario,$C$145:$C$147,0),10)</f>
        <v>68</v>
      </c>
      <c r="U144" s="191">
        <f>INDEX($K$145:$W$147,MATCH(Scenario,$C$145:$C$147,0),11)</f>
        <v>61.559999999999995</v>
      </c>
      <c r="V144" s="191">
        <f>INDEX($K$145:$W$147,MATCH(Scenario,$C$145:$C$147,0),12)</f>
        <v>55.04</v>
      </c>
      <c r="W144" s="191">
        <f>INDEX($K$145:$W$147,MATCH(Scenario,$C$145:$C$147,0),13)</f>
        <v>48.440000000000005</v>
      </c>
    </row>
    <row r="145" spans="3:23">
      <c r="C145" s="48" t="s">
        <v>139</v>
      </c>
      <c r="E145" s="53" t="s">
        <v>20</v>
      </c>
      <c r="G145" s="57"/>
      <c r="H145" s="57"/>
      <c r="I145" s="57"/>
      <c r="J145" s="57"/>
      <c r="K145" s="186">
        <f>K$122*K130</f>
        <v>52.160000000000004</v>
      </c>
      <c r="L145" s="186">
        <f t="shared" ref="L145:W145" si="127">L$122*L130</f>
        <v>55.760000000000005</v>
      </c>
      <c r="M145" s="186">
        <f t="shared" si="127"/>
        <v>59.4</v>
      </c>
      <c r="N145" s="186">
        <f t="shared" si="127"/>
        <v>63.08</v>
      </c>
      <c r="O145" s="186">
        <f t="shared" si="127"/>
        <v>66.400000000000006</v>
      </c>
      <c r="P145" s="186">
        <f t="shared" si="127"/>
        <v>70.14</v>
      </c>
      <c r="Q145" s="186">
        <f t="shared" si="127"/>
        <v>72.239999999999995</v>
      </c>
      <c r="R145" s="186">
        <f t="shared" si="127"/>
        <v>74.36</v>
      </c>
      <c r="S145" s="186">
        <f t="shared" si="127"/>
        <v>76.5</v>
      </c>
      <c r="T145" s="186">
        <f t="shared" si="127"/>
        <v>78.2</v>
      </c>
      <c r="U145" s="186">
        <f t="shared" si="127"/>
        <v>68.400000000000006</v>
      </c>
      <c r="V145" s="186">
        <f t="shared" si="127"/>
        <v>61.920000000000009</v>
      </c>
      <c r="W145" s="186">
        <f t="shared" si="127"/>
        <v>55.360000000000014</v>
      </c>
    </row>
    <row r="146" spans="3:23">
      <c r="C146" s="48" t="s">
        <v>140</v>
      </c>
      <c r="E146" s="53" t="s">
        <v>20</v>
      </c>
      <c r="G146" s="57"/>
      <c r="H146" s="57"/>
      <c r="I146" s="57"/>
      <c r="J146" s="57"/>
      <c r="K146" s="186">
        <f t="shared" ref="K146:W147" si="128">K$122*K131</f>
        <v>42.38</v>
      </c>
      <c r="L146" s="186">
        <f t="shared" si="128"/>
        <v>45.92</v>
      </c>
      <c r="M146" s="186">
        <f t="shared" si="128"/>
        <v>49.5</v>
      </c>
      <c r="N146" s="186">
        <f t="shared" si="128"/>
        <v>53.120000000000005</v>
      </c>
      <c r="O146" s="186">
        <f t="shared" si="128"/>
        <v>56.440000000000005</v>
      </c>
      <c r="P146" s="186">
        <f t="shared" si="128"/>
        <v>60.12</v>
      </c>
      <c r="Q146" s="186">
        <f t="shared" si="128"/>
        <v>62.16</v>
      </c>
      <c r="R146" s="186">
        <f t="shared" si="128"/>
        <v>64.22</v>
      </c>
      <c r="S146" s="186">
        <f t="shared" si="128"/>
        <v>66.3</v>
      </c>
      <c r="T146" s="186">
        <f t="shared" si="128"/>
        <v>68</v>
      </c>
      <c r="U146" s="186">
        <f t="shared" si="128"/>
        <v>61.559999999999995</v>
      </c>
      <c r="V146" s="186">
        <f t="shared" si="128"/>
        <v>55.04</v>
      </c>
      <c r="W146" s="186">
        <f t="shared" si="128"/>
        <v>48.440000000000005</v>
      </c>
    </row>
    <row r="147" spans="3:23">
      <c r="C147" s="50" t="s">
        <v>141</v>
      </c>
      <c r="E147" s="53" t="s">
        <v>20</v>
      </c>
      <c r="G147" s="57"/>
      <c r="H147" s="57"/>
      <c r="I147" s="57"/>
      <c r="J147" s="57"/>
      <c r="K147" s="186">
        <f t="shared" si="128"/>
        <v>34.229999999999997</v>
      </c>
      <c r="L147" s="186">
        <f t="shared" si="128"/>
        <v>36.08</v>
      </c>
      <c r="M147" s="186">
        <f t="shared" si="128"/>
        <v>39.6</v>
      </c>
      <c r="N147" s="186">
        <f t="shared" si="128"/>
        <v>43.160000000000004</v>
      </c>
      <c r="O147" s="186">
        <f t="shared" si="128"/>
        <v>46.480000000000004</v>
      </c>
      <c r="P147" s="186">
        <f t="shared" si="128"/>
        <v>50.1</v>
      </c>
      <c r="Q147" s="186">
        <f t="shared" si="128"/>
        <v>52.08</v>
      </c>
      <c r="R147" s="186">
        <f t="shared" si="128"/>
        <v>54.08</v>
      </c>
      <c r="S147" s="186">
        <f t="shared" si="128"/>
        <v>56.1</v>
      </c>
      <c r="T147" s="186">
        <f t="shared" si="128"/>
        <v>57.800000000000004</v>
      </c>
      <c r="U147" s="186">
        <f t="shared" si="128"/>
        <v>51.3</v>
      </c>
      <c r="V147" s="186">
        <f t="shared" si="128"/>
        <v>44.72</v>
      </c>
      <c r="W147" s="186">
        <f t="shared" si="128"/>
        <v>38.06</v>
      </c>
    </row>
    <row r="148" spans="3:23">
      <c r="E148" s="53"/>
      <c r="G148" s="57"/>
      <c r="H148" s="57"/>
      <c r="I148" s="57"/>
      <c r="J148" s="57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</row>
    <row r="149" spans="3:23">
      <c r="C149" s="45" t="s">
        <v>217</v>
      </c>
      <c r="E149" s="190" t="s">
        <v>20</v>
      </c>
      <c r="G149" s="64">
        <v>43</v>
      </c>
      <c r="H149" s="64">
        <v>55</v>
      </c>
      <c r="I149" s="64">
        <v>81</v>
      </c>
      <c r="J149" s="64">
        <v>81</v>
      </c>
      <c r="K149" s="191">
        <f>INDEX($K$150:$W$152,MATCH(Scenario,$C$150:$C$152,0),1)</f>
        <v>21.419999999999998</v>
      </c>
      <c r="L149" s="191">
        <f>INDEX($K$150:$W$152,MATCH(Scenario,$C$150:$C$152,0),2)</f>
        <v>22.44</v>
      </c>
      <c r="M149" s="191">
        <f>INDEX($K$150:$W$152,MATCH(Scenario,$C$150:$C$152,0),3)</f>
        <v>23.92</v>
      </c>
      <c r="N149" s="191">
        <f>INDEX($K$150:$W$152,MATCH(Scenario,$C$150:$C$152,0),4)</f>
        <v>24.96</v>
      </c>
      <c r="O149" s="191">
        <f>INDEX($K$150:$W$152,MATCH(Scenario,$C$150:$C$152,0),5)</f>
        <v>26</v>
      </c>
      <c r="P149" s="191">
        <f>INDEX($K$150:$W$152,MATCH(Scenario,$C$150:$C$152,0),6)</f>
        <v>27.560000000000002</v>
      </c>
      <c r="Q149" s="191">
        <f>INDEX($K$150:$W$152,MATCH(Scenario,$C$150:$C$152,0),7)</f>
        <v>28.09</v>
      </c>
      <c r="R149" s="191">
        <f>INDEX($K$150:$W$152,MATCH(Scenario,$C$150:$C$152,0),8)</f>
        <v>28.62</v>
      </c>
      <c r="S149" s="191">
        <f>INDEX($K$150:$W$152,MATCH(Scenario,$C$150:$C$152,0),9)</f>
        <v>29.700000000000003</v>
      </c>
      <c r="T149" s="191">
        <f>INDEX($K$150:$W$152,MATCH(Scenario,$C$150:$C$152,0),10)</f>
        <v>29.700000000000003</v>
      </c>
      <c r="U149" s="191">
        <f>INDEX($K$150:$W$152,MATCH(Scenario,$C$150:$C$152,0),11)</f>
        <v>27</v>
      </c>
      <c r="V149" s="191">
        <f>INDEX($K$150:$W$152,MATCH(Scenario,$C$150:$C$152,0),12)</f>
        <v>24.84</v>
      </c>
      <c r="W149" s="191">
        <f>INDEX($K$150:$W$152,MATCH(Scenario,$C$150:$C$152,0),13)</f>
        <v>22.680000000000003</v>
      </c>
    </row>
    <row r="150" spans="3:23">
      <c r="C150" s="48" t="s">
        <v>139</v>
      </c>
      <c r="E150" s="53" t="s">
        <v>20</v>
      </c>
      <c r="G150" s="57"/>
      <c r="H150" s="57"/>
      <c r="I150" s="57"/>
      <c r="J150" s="57"/>
      <c r="K150" s="186">
        <f>K$126*K135</f>
        <v>23.97</v>
      </c>
      <c r="L150" s="186">
        <f t="shared" ref="L150:W150" si="129">L$126*L135</f>
        <v>24.99</v>
      </c>
      <c r="M150" s="186">
        <f t="shared" si="129"/>
        <v>26.52</v>
      </c>
      <c r="N150" s="186">
        <f t="shared" si="129"/>
        <v>27.560000000000002</v>
      </c>
      <c r="O150" s="186">
        <f t="shared" si="129"/>
        <v>28.6</v>
      </c>
      <c r="P150" s="186">
        <f t="shared" si="129"/>
        <v>30.209999999999997</v>
      </c>
      <c r="Q150" s="186">
        <f t="shared" si="129"/>
        <v>30.74</v>
      </c>
      <c r="R150" s="186">
        <f t="shared" si="129"/>
        <v>31.27</v>
      </c>
      <c r="S150" s="186">
        <f t="shared" si="129"/>
        <v>32.4</v>
      </c>
      <c r="T150" s="186">
        <f t="shared" si="129"/>
        <v>32.4</v>
      </c>
      <c r="U150" s="186">
        <f t="shared" si="129"/>
        <v>29.160000000000004</v>
      </c>
      <c r="V150" s="186">
        <f t="shared" si="129"/>
        <v>27</v>
      </c>
      <c r="W150" s="186">
        <f t="shared" si="129"/>
        <v>24.84</v>
      </c>
    </row>
    <row r="151" spans="3:23">
      <c r="C151" s="48" t="s">
        <v>140</v>
      </c>
      <c r="E151" s="53" t="s">
        <v>20</v>
      </c>
      <c r="G151" s="57"/>
      <c r="H151" s="57"/>
      <c r="I151" s="57"/>
      <c r="J151" s="57"/>
      <c r="K151" s="186">
        <f t="shared" ref="K151:W152" si="130">K$126*K136</f>
        <v>21.419999999999998</v>
      </c>
      <c r="L151" s="186">
        <f t="shared" si="130"/>
        <v>22.44</v>
      </c>
      <c r="M151" s="186">
        <f t="shared" si="130"/>
        <v>23.92</v>
      </c>
      <c r="N151" s="186">
        <f t="shared" si="130"/>
        <v>24.96</v>
      </c>
      <c r="O151" s="186">
        <f t="shared" si="130"/>
        <v>26</v>
      </c>
      <c r="P151" s="186">
        <f t="shared" si="130"/>
        <v>27.560000000000002</v>
      </c>
      <c r="Q151" s="186">
        <f t="shared" si="130"/>
        <v>28.09</v>
      </c>
      <c r="R151" s="186">
        <f t="shared" si="130"/>
        <v>28.62</v>
      </c>
      <c r="S151" s="186">
        <f t="shared" si="130"/>
        <v>29.700000000000003</v>
      </c>
      <c r="T151" s="186">
        <f t="shared" si="130"/>
        <v>29.700000000000003</v>
      </c>
      <c r="U151" s="186">
        <f t="shared" si="130"/>
        <v>27</v>
      </c>
      <c r="V151" s="186">
        <f t="shared" si="130"/>
        <v>24.84</v>
      </c>
      <c r="W151" s="186">
        <f t="shared" si="130"/>
        <v>22.680000000000003</v>
      </c>
    </row>
    <row r="152" spans="3:23">
      <c r="C152" s="50" t="s">
        <v>141</v>
      </c>
      <c r="E152" s="53" t="s">
        <v>20</v>
      </c>
      <c r="G152" s="57"/>
      <c r="H152" s="57"/>
      <c r="I152" s="57"/>
      <c r="J152" s="57"/>
      <c r="K152" s="186">
        <f t="shared" si="130"/>
        <v>18.36</v>
      </c>
      <c r="L152" s="186">
        <f t="shared" si="130"/>
        <v>19.38</v>
      </c>
      <c r="M152" s="186">
        <f t="shared" si="130"/>
        <v>20.8</v>
      </c>
      <c r="N152" s="186">
        <f t="shared" si="130"/>
        <v>21.84</v>
      </c>
      <c r="O152" s="186">
        <f t="shared" si="130"/>
        <v>22.88</v>
      </c>
      <c r="P152" s="186">
        <f t="shared" si="130"/>
        <v>24.380000000000003</v>
      </c>
      <c r="Q152" s="186">
        <f t="shared" si="130"/>
        <v>24.91</v>
      </c>
      <c r="R152" s="186">
        <f t="shared" si="130"/>
        <v>25.439999999999998</v>
      </c>
      <c r="S152" s="186">
        <f t="shared" si="130"/>
        <v>26.46</v>
      </c>
      <c r="T152" s="186">
        <f t="shared" si="130"/>
        <v>26.46</v>
      </c>
      <c r="U152" s="186">
        <f t="shared" si="130"/>
        <v>24.3</v>
      </c>
      <c r="V152" s="186">
        <f t="shared" si="130"/>
        <v>22.14</v>
      </c>
      <c r="W152" s="186">
        <f t="shared" si="130"/>
        <v>19.980000000000004</v>
      </c>
    </row>
    <row r="153" spans="3:23">
      <c r="E153" s="53"/>
      <c r="G153" s="57"/>
      <c r="H153" s="57"/>
      <c r="I153" s="57"/>
      <c r="J153" s="57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</row>
    <row r="154" spans="3:23">
      <c r="C154" s="64" t="s">
        <v>215</v>
      </c>
      <c r="E154" s="39" t="s">
        <v>129</v>
      </c>
      <c r="G154" s="52">
        <v>10560</v>
      </c>
      <c r="H154" s="52">
        <v>13620.419999999998</v>
      </c>
      <c r="I154" s="52">
        <v>20091.059999999998</v>
      </c>
      <c r="J154" s="52">
        <v>20031</v>
      </c>
      <c r="K154" s="174">
        <v>22</v>
      </c>
      <c r="L154" s="174">
        <f t="shared" ref="L154:W154" si="131">L144*L139</f>
        <v>17908.8</v>
      </c>
      <c r="M154" s="174">
        <f t="shared" si="131"/>
        <v>19701</v>
      </c>
      <c r="N154" s="174">
        <f t="shared" si="131"/>
        <v>21566.720000000001</v>
      </c>
      <c r="O154" s="174">
        <f t="shared" si="131"/>
        <v>23366.160000000003</v>
      </c>
      <c r="P154" s="174">
        <f t="shared" si="131"/>
        <v>25370.639999999999</v>
      </c>
      <c r="Q154" s="174">
        <f t="shared" si="131"/>
        <v>26790.959999999999</v>
      </c>
      <c r="R154" s="174">
        <f t="shared" si="131"/>
        <v>28256.799999999999</v>
      </c>
      <c r="S154" s="174">
        <f t="shared" si="131"/>
        <v>29702.399999999998</v>
      </c>
      <c r="T154" s="174">
        <f t="shared" si="131"/>
        <v>31076</v>
      </c>
      <c r="U154" s="174">
        <f t="shared" si="131"/>
        <v>28686.959999999999</v>
      </c>
      <c r="V154" s="174">
        <f t="shared" si="131"/>
        <v>13209.6</v>
      </c>
      <c r="W154" s="174">
        <f t="shared" si="131"/>
        <v>10656.800000000001</v>
      </c>
    </row>
    <row r="155" spans="3:23">
      <c r="C155" s="10" t="s">
        <v>131</v>
      </c>
      <c r="E155" s="53" t="s">
        <v>15</v>
      </c>
      <c r="G155" s="57"/>
      <c r="H155" s="187">
        <v>0.28999999999999998</v>
      </c>
      <c r="I155" s="187">
        <v>0.47</v>
      </c>
      <c r="J155" s="187">
        <v>0</v>
      </c>
      <c r="K155" s="187">
        <v>0.08</v>
      </c>
      <c r="L155" s="187">
        <v>7.0000000000000007E-2</v>
      </c>
      <c r="M155" s="187">
        <v>0.08</v>
      </c>
      <c r="N155" s="187">
        <v>7.0000000000000007E-2</v>
      </c>
      <c r="O155" s="187">
        <v>0.06</v>
      </c>
      <c r="P155" s="187">
        <v>7.0000000000000007E-2</v>
      </c>
      <c r="Q155" s="187">
        <v>0.02</v>
      </c>
      <c r="R155" s="187">
        <v>0.03</v>
      </c>
      <c r="S155" s="187">
        <v>0.02</v>
      </c>
      <c r="T155" s="187">
        <v>0.03</v>
      </c>
      <c r="U155" s="187">
        <v>0.02</v>
      </c>
      <c r="V155" s="187">
        <v>0.03</v>
      </c>
      <c r="W155" s="187">
        <v>0.02</v>
      </c>
    </row>
    <row r="156" spans="3:23">
      <c r="E156" s="53"/>
    </row>
    <row r="157" spans="3:23">
      <c r="C157" s="64" t="s">
        <v>216</v>
      </c>
      <c r="E157" s="39" t="s">
        <v>129</v>
      </c>
      <c r="G157" s="52">
        <f>G154*(0.34)</f>
        <v>3590.4</v>
      </c>
      <c r="H157" s="52">
        <f t="shared" ref="H157:J157" si="132">H154*(0.34)</f>
        <v>4630.9427999999998</v>
      </c>
      <c r="I157" s="52">
        <f t="shared" si="132"/>
        <v>6830.9603999999999</v>
      </c>
      <c r="J157" s="52">
        <f t="shared" si="132"/>
        <v>6810.5400000000009</v>
      </c>
      <c r="K157" s="174">
        <v>15</v>
      </c>
      <c r="L157" s="174">
        <f t="shared" ref="L157:W157" si="133">L149*L139</f>
        <v>8751.6</v>
      </c>
      <c r="M157" s="174">
        <f t="shared" si="133"/>
        <v>9520.16</v>
      </c>
      <c r="N157" s="174">
        <f t="shared" si="133"/>
        <v>10133.76</v>
      </c>
      <c r="O157" s="174">
        <f t="shared" si="133"/>
        <v>10764</v>
      </c>
      <c r="P157" s="174">
        <f t="shared" si="133"/>
        <v>11630.320000000002</v>
      </c>
      <c r="Q157" s="174">
        <f t="shared" si="133"/>
        <v>12106.789999999999</v>
      </c>
      <c r="R157" s="174">
        <f t="shared" si="133"/>
        <v>12592.800000000001</v>
      </c>
      <c r="S157" s="174">
        <f t="shared" si="133"/>
        <v>13305.600000000002</v>
      </c>
      <c r="T157" s="174">
        <f t="shared" si="133"/>
        <v>13572.900000000001</v>
      </c>
      <c r="U157" s="174">
        <f t="shared" si="133"/>
        <v>12582</v>
      </c>
      <c r="V157" s="174">
        <f t="shared" si="133"/>
        <v>5961.6</v>
      </c>
      <c r="W157" s="174">
        <f t="shared" si="133"/>
        <v>4989.6000000000004</v>
      </c>
    </row>
    <row r="158" spans="3:23">
      <c r="C158" s="10" t="s">
        <v>131</v>
      </c>
      <c r="E158" s="53" t="s">
        <v>15</v>
      </c>
      <c r="G158" s="57"/>
      <c r="H158" s="187">
        <v>0.28999999999999998</v>
      </c>
      <c r="I158" s="187">
        <v>0.47</v>
      </c>
      <c r="J158" s="187">
        <v>0</v>
      </c>
      <c r="K158" s="187">
        <v>0.08</v>
      </c>
      <c r="L158" s="187">
        <v>7.0000000000000007E-2</v>
      </c>
      <c r="M158" s="187">
        <v>0.08</v>
      </c>
      <c r="N158" s="187">
        <v>7.0000000000000007E-2</v>
      </c>
      <c r="O158" s="187">
        <v>0.06</v>
      </c>
      <c r="P158" s="187">
        <v>7.0000000000000007E-2</v>
      </c>
      <c r="Q158" s="187">
        <v>0.02</v>
      </c>
      <c r="R158" s="187">
        <v>0.03</v>
      </c>
      <c r="S158" s="187">
        <v>0.02</v>
      </c>
      <c r="T158" s="187">
        <v>0.03</v>
      </c>
      <c r="U158" s="187">
        <v>0.02</v>
      </c>
      <c r="V158" s="187">
        <v>0.03</v>
      </c>
      <c r="W158" s="187">
        <v>0.02</v>
      </c>
    </row>
    <row r="159" spans="3:23">
      <c r="E159" s="53"/>
    </row>
    <row r="160" spans="3:23">
      <c r="C160" s="56" t="s">
        <v>212</v>
      </c>
      <c r="E160" s="35" t="s">
        <v>129</v>
      </c>
      <c r="F160" s="198">
        <v>0.05</v>
      </c>
      <c r="G160" s="197">
        <f>-G157*$F$160</f>
        <v>-179.52</v>
      </c>
      <c r="H160" s="197">
        <f t="shared" ref="H160:W160" si="134">-H157*$F$160</f>
        <v>-231.54714000000001</v>
      </c>
      <c r="I160" s="197">
        <f t="shared" si="134"/>
        <v>-341.54802000000001</v>
      </c>
      <c r="J160" s="197">
        <f t="shared" si="134"/>
        <v>-340.52700000000004</v>
      </c>
      <c r="K160" s="193">
        <f t="shared" si="134"/>
        <v>-0.75</v>
      </c>
      <c r="L160" s="193">
        <f t="shared" si="134"/>
        <v>-437.58000000000004</v>
      </c>
      <c r="M160" s="193">
        <f t="shared" si="134"/>
        <v>-476.00800000000004</v>
      </c>
      <c r="N160" s="193">
        <f t="shared" si="134"/>
        <v>-506.68800000000005</v>
      </c>
      <c r="O160" s="193">
        <f t="shared" si="134"/>
        <v>-538.20000000000005</v>
      </c>
      <c r="P160" s="193">
        <f t="shared" si="134"/>
        <v>-581.51600000000008</v>
      </c>
      <c r="Q160" s="193">
        <f t="shared" si="134"/>
        <v>-605.33949999999993</v>
      </c>
      <c r="R160" s="193">
        <f t="shared" si="134"/>
        <v>-629.6400000000001</v>
      </c>
      <c r="S160" s="193">
        <f t="shared" si="134"/>
        <v>-665.2800000000002</v>
      </c>
      <c r="T160" s="193">
        <f t="shared" si="134"/>
        <v>-678.6450000000001</v>
      </c>
      <c r="U160" s="193">
        <f t="shared" si="134"/>
        <v>-629.1</v>
      </c>
      <c r="V160" s="193">
        <f t="shared" si="134"/>
        <v>-298.08000000000004</v>
      </c>
      <c r="W160" s="193">
        <f t="shared" si="134"/>
        <v>-249.48000000000002</v>
      </c>
    </row>
    <row r="161" spans="2:31">
      <c r="C161" s="64" t="str">
        <f>"Revenue to "&amp;Company_Name</f>
        <v>Revenue to Ultragenyx Pharmaceutical Inc.</v>
      </c>
      <c r="E161" s="39" t="s">
        <v>129</v>
      </c>
      <c r="G161" s="52">
        <f>SUM(G154,G157,G160)</f>
        <v>13970.88</v>
      </c>
      <c r="H161" s="52">
        <f t="shared" ref="H161:J161" si="135">SUM(H154,H157,H160)</f>
        <v>18019.81566</v>
      </c>
      <c r="I161" s="52">
        <f t="shared" si="135"/>
        <v>26580.472379999999</v>
      </c>
      <c r="J161" s="52">
        <f t="shared" si="135"/>
        <v>26501.012999999999</v>
      </c>
      <c r="K161" s="174">
        <f>SUM(K154,K157,K160)</f>
        <v>36.25</v>
      </c>
      <c r="L161" s="174">
        <f t="shared" ref="L161:W161" si="136">SUM(L154,L157,L160)</f>
        <v>26222.82</v>
      </c>
      <c r="M161" s="174">
        <f t="shared" si="136"/>
        <v>28745.151999999998</v>
      </c>
      <c r="N161" s="174">
        <f t="shared" si="136"/>
        <v>31193.792000000005</v>
      </c>
      <c r="O161" s="174">
        <f t="shared" si="136"/>
        <v>33591.960000000006</v>
      </c>
      <c r="P161" s="174">
        <f t="shared" si="136"/>
        <v>36419.443999999996</v>
      </c>
      <c r="Q161" s="174">
        <f t="shared" si="136"/>
        <v>38292.410499999998</v>
      </c>
      <c r="R161" s="174">
        <f t="shared" si="136"/>
        <v>40219.96</v>
      </c>
      <c r="S161" s="174">
        <f t="shared" si="136"/>
        <v>42342.720000000001</v>
      </c>
      <c r="T161" s="174">
        <f t="shared" si="136"/>
        <v>43970.255000000005</v>
      </c>
      <c r="U161" s="174">
        <f t="shared" si="136"/>
        <v>40639.86</v>
      </c>
      <c r="V161" s="174">
        <f t="shared" si="136"/>
        <v>18873.12</v>
      </c>
      <c r="W161" s="174">
        <f t="shared" si="136"/>
        <v>15396.920000000002</v>
      </c>
    </row>
    <row r="162" spans="2:31">
      <c r="E162" s="53"/>
      <c r="H162" s="187">
        <f>H161/G161-1</f>
        <v>0.28981250000000003</v>
      </c>
      <c r="I162" s="187">
        <f t="shared" ref="I162:W162" si="137">I161/H161-1</f>
        <v>0.4750690507341182</v>
      </c>
      <c r="J162" s="187">
        <f t="shared" si="137"/>
        <v>-2.9893893104694369E-3</v>
      </c>
      <c r="K162" s="187">
        <f t="shared" si="137"/>
        <v>-0.9986321277605501</v>
      </c>
      <c r="L162" s="187">
        <f t="shared" si="137"/>
        <v>722.38813793103452</v>
      </c>
      <c r="M162" s="187">
        <f t="shared" si="137"/>
        <v>9.6188434348403407E-2</v>
      </c>
      <c r="N162" s="187">
        <f t="shared" si="137"/>
        <v>8.5184451277210416E-2</v>
      </c>
      <c r="O162" s="187">
        <f t="shared" si="137"/>
        <v>7.6879656054640755E-2</v>
      </c>
      <c r="P162" s="187">
        <f t="shared" si="137"/>
        <v>8.417145054947639E-2</v>
      </c>
      <c r="Q162" s="187">
        <f t="shared" si="137"/>
        <v>5.1427652217864717E-2</v>
      </c>
      <c r="R162" s="187">
        <f t="shared" si="137"/>
        <v>5.0337638054935185E-2</v>
      </c>
      <c r="S162" s="187">
        <f t="shared" si="137"/>
        <v>5.2778769546265147E-2</v>
      </c>
      <c r="T162" s="187">
        <f t="shared" si="137"/>
        <v>3.8437185896418535E-2</v>
      </c>
      <c r="U162" s="187">
        <f t="shared" si="137"/>
        <v>-7.5741998767121177E-2</v>
      </c>
      <c r="V162" s="187">
        <f t="shared" si="137"/>
        <v>-0.53560076240420118</v>
      </c>
      <c r="W162" s="187">
        <f t="shared" si="137"/>
        <v>-0.18418788202480552</v>
      </c>
    </row>
    <row r="163" spans="2:31">
      <c r="E163" s="53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</row>
    <row r="164" spans="2:31">
      <c r="C164" s="44" t="s">
        <v>293</v>
      </c>
      <c r="E164" s="35" t="s">
        <v>180</v>
      </c>
      <c r="G164" s="38">
        <f>(G161/G9)*G12</f>
        <v>840.24949482653676</v>
      </c>
      <c r="H164" s="38">
        <f>(H161/H9)*H12</f>
        <v>1352.4353147500231</v>
      </c>
      <c r="I164" s="38">
        <f>(I161/I9)*I12</f>
        <v>2776.7095127375278</v>
      </c>
      <c r="J164" s="38">
        <f>(J161/J9)*J12</f>
        <v>3629.5266684468879</v>
      </c>
      <c r="K164" s="199">
        <f>K161*K165</f>
        <v>3.4130996329625267</v>
      </c>
      <c r="L164" s="199">
        <f t="shared" ref="L164:W164" si="138">L161*L165</f>
        <v>2691.9655046722387</v>
      </c>
      <c r="M164" s="199">
        <f t="shared" si="138"/>
        <v>3149.2766984894697</v>
      </c>
      <c r="N164" s="199">
        <f t="shared" si="138"/>
        <v>3457.2734933544671</v>
      </c>
      <c r="O164" s="199">
        <f t="shared" si="138"/>
        <v>3503.6621538845861</v>
      </c>
      <c r="P164" s="199">
        <f t="shared" si="138"/>
        <v>3890.9497136595865</v>
      </c>
      <c r="Q164" s="199">
        <f t="shared" si="138"/>
        <v>4131.0656988431565</v>
      </c>
      <c r="R164" s="199">
        <f t="shared" si="138"/>
        <v>4322.1572771615065</v>
      </c>
      <c r="S164" s="199">
        <f t="shared" si="138"/>
        <v>4514.6111242581073</v>
      </c>
      <c r="T164" s="199">
        <f t="shared" si="138"/>
        <v>4713.6439076933184</v>
      </c>
      <c r="U164" s="199">
        <f t="shared" si="138"/>
        <v>4360.3171348336346</v>
      </c>
      <c r="V164" s="199">
        <f t="shared" si="138"/>
        <v>2022.1419816440475</v>
      </c>
      <c r="W164" s="199">
        <f t="shared" si="138"/>
        <v>1648.4601398350353</v>
      </c>
    </row>
    <row r="165" spans="2:31">
      <c r="C165" s="50" t="s">
        <v>295</v>
      </c>
      <c r="E165" s="53" t="s">
        <v>15</v>
      </c>
      <c r="G165" s="187">
        <f>G164/G161</f>
        <v>6.0142918329163006E-2</v>
      </c>
      <c r="H165" s="187">
        <f t="shared" ref="H165:J165" si="139">H164/H161</f>
        <v>7.5052672028833783E-2</v>
      </c>
      <c r="I165" s="187">
        <f t="shared" si="139"/>
        <v>0.10446426508306952</v>
      </c>
      <c r="J165" s="187">
        <f t="shared" si="139"/>
        <v>0.13695803509272977</v>
      </c>
      <c r="K165" s="195">
        <f>AVERAGE(G165:J165)</f>
        <v>9.4154472633449018E-2</v>
      </c>
      <c r="L165" s="195">
        <f t="shared" ref="L165:W165" si="140">AVERAGE(H165:K165)</f>
        <v>0.10265736120952051</v>
      </c>
      <c r="M165" s="195">
        <f t="shared" si="140"/>
        <v>0.1095585335046922</v>
      </c>
      <c r="N165" s="195">
        <f t="shared" si="140"/>
        <v>0.11083210061009788</v>
      </c>
      <c r="O165" s="195">
        <f t="shared" si="140"/>
        <v>0.1043006169894399</v>
      </c>
      <c r="P165" s="195">
        <f t="shared" si="140"/>
        <v>0.10683715307843764</v>
      </c>
      <c r="Q165" s="195">
        <f t="shared" si="140"/>
        <v>0.10788210104566692</v>
      </c>
      <c r="R165" s="195">
        <f t="shared" si="140"/>
        <v>0.10746299293091059</v>
      </c>
      <c r="S165" s="195">
        <f t="shared" si="140"/>
        <v>0.10662071601111377</v>
      </c>
      <c r="T165" s="195">
        <f t="shared" si="140"/>
        <v>0.10720074076653223</v>
      </c>
      <c r="U165" s="195">
        <f t="shared" si="140"/>
        <v>0.10729163768855589</v>
      </c>
      <c r="V165" s="195">
        <f t="shared" si="140"/>
        <v>0.10714402184927811</v>
      </c>
      <c r="W165" s="195">
        <f t="shared" si="140"/>
        <v>0.10706427907887001</v>
      </c>
    </row>
    <row r="166" spans="2:31">
      <c r="E166" s="53"/>
      <c r="K166" s="59"/>
      <c r="L166" s="59"/>
      <c r="M166" s="59"/>
      <c r="N166" s="59"/>
      <c r="O166" s="59"/>
    </row>
    <row r="167" spans="2:31">
      <c r="B167" s="5" t="str">
        <f>Company_Name&amp;" - Revenue Drivers"</f>
        <v>Ultragenyx Pharmaceutical Inc. - Revenue Drivers</v>
      </c>
      <c r="C167" s="1"/>
      <c r="D167" s="1"/>
      <c r="E167" s="218"/>
      <c r="F167" s="1"/>
      <c r="G167" s="3"/>
      <c r="H167" s="2"/>
      <c r="I167" s="3" t="s">
        <v>0</v>
      </c>
      <c r="J167" s="2"/>
      <c r="K167" s="4"/>
      <c r="L167" s="2"/>
      <c r="M167" s="2"/>
      <c r="N167" s="2"/>
      <c r="O167" s="3" t="s">
        <v>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2:31">
      <c r="B168" s="5" t="s">
        <v>222</v>
      </c>
      <c r="C168" s="1"/>
      <c r="D168" s="1"/>
      <c r="E168" s="6" t="s">
        <v>2</v>
      </c>
      <c r="F168" s="7"/>
      <c r="G168" s="8">
        <f>Drivers!G3</f>
        <v>44561</v>
      </c>
      <c r="H168" s="8">
        <f>Drivers!H3</f>
        <v>44926</v>
      </c>
      <c r="I168" s="8">
        <f>Drivers!I3</f>
        <v>45291</v>
      </c>
      <c r="J168" s="8">
        <f>Drivers!J3</f>
        <v>45657</v>
      </c>
      <c r="K168" s="9">
        <f>Drivers!K3</f>
        <v>46022</v>
      </c>
      <c r="L168" s="8">
        <f>Drivers!L3</f>
        <v>46387</v>
      </c>
      <c r="M168" s="8">
        <f>Drivers!M3</f>
        <v>46752</v>
      </c>
      <c r="N168" s="8">
        <f>Drivers!N3</f>
        <v>47118</v>
      </c>
      <c r="O168" s="8">
        <f>Drivers!O3</f>
        <v>47483</v>
      </c>
      <c r="P168" s="8">
        <f>Drivers!P3</f>
        <v>47848</v>
      </c>
      <c r="Q168" s="8">
        <f>Drivers!Q3</f>
        <v>48213</v>
      </c>
      <c r="R168" s="8">
        <f>Drivers!R3</f>
        <v>48579</v>
      </c>
      <c r="S168" s="8">
        <f>Drivers!S3</f>
        <v>48944</v>
      </c>
      <c r="T168" s="8">
        <f>Drivers!T3</f>
        <v>49309</v>
      </c>
      <c r="U168" s="8">
        <f>Drivers!U3</f>
        <v>49674</v>
      </c>
      <c r="V168" s="8">
        <f>Drivers!V3</f>
        <v>50040</v>
      </c>
      <c r="W168" s="8">
        <f>Drivers!W3</f>
        <v>50405</v>
      </c>
      <c r="X168" s="8">
        <f>EOMONTH(W168,12)</f>
        <v>50770</v>
      </c>
      <c r="Y168" s="8">
        <f t="shared" ref="Y168:AB168" si="141">EOMONTH(X168,12)</f>
        <v>51135</v>
      </c>
      <c r="Z168" s="8">
        <f t="shared" si="141"/>
        <v>51501</v>
      </c>
      <c r="AA168" s="8">
        <f t="shared" si="141"/>
        <v>51866</v>
      </c>
      <c r="AB168" s="8">
        <f t="shared" si="141"/>
        <v>52231</v>
      </c>
      <c r="AC168" s="8">
        <f t="shared" ref="AC168:AE168" si="142">EOMONTH(AB168,12)</f>
        <v>52596</v>
      </c>
      <c r="AD168" s="8">
        <f t="shared" si="142"/>
        <v>52962</v>
      </c>
      <c r="AE168" s="8">
        <f t="shared" si="142"/>
        <v>53327</v>
      </c>
    </row>
    <row r="169" spans="2:31">
      <c r="B169" s="60" t="s">
        <v>250</v>
      </c>
      <c r="C169" s="26"/>
      <c r="D169" s="26"/>
      <c r="E169" s="216"/>
      <c r="F169" s="26"/>
      <c r="G169" s="180"/>
      <c r="H169" s="180"/>
      <c r="I169" s="180"/>
      <c r="J169" s="180"/>
      <c r="K169" s="181"/>
      <c r="L169" s="26"/>
      <c r="M169" s="26"/>
      <c r="N169" s="26"/>
      <c r="O169" s="26"/>
      <c r="P169" s="26"/>
      <c r="Q169" s="26"/>
      <c r="R169" s="209" t="s">
        <v>266</v>
      </c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spans="2:31">
      <c r="C170" s="34"/>
      <c r="E170" s="39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214" t="s">
        <v>299</v>
      </c>
      <c r="S170" s="52"/>
      <c r="T170" s="52"/>
      <c r="U170" s="52"/>
      <c r="V170" s="52"/>
      <c r="W170" s="52"/>
    </row>
    <row r="171" spans="2:31">
      <c r="C171" s="64" t="s">
        <v>134</v>
      </c>
      <c r="E171" s="53"/>
    </row>
    <row r="172" spans="2:31">
      <c r="C172" s="51" t="s">
        <v>240</v>
      </c>
      <c r="E172" s="53" t="s">
        <v>20</v>
      </c>
      <c r="J172" s="57"/>
      <c r="K172" s="184">
        <v>602.99999999999989</v>
      </c>
      <c r="L172" s="184">
        <f t="shared" ref="L172:U172" si="143">K172*(1+L173)</f>
        <v>606.01499999999987</v>
      </c>
      <c r="M172" s="184">
        <f t="shared" si="143"/>
        <v>609.04507499999977</v>
      </c>
      <c r="N172" s="184">
        <f t="shared" si="143"/>
        <v>612.09030037499974</v>
      </c>
      <c r="O172" s="184">
        <f t="shared" si="143"/>
        <v>615.15075187687466</v>
      </c>
      <c r="P172" s="184">
        <f t="shared" si="143"/>
        <v>618.22650563625893</v>
      </c>
      <c r="Q172" s="184">
        <f t="shared" si="143"/>
        <v>621.31763816444015</v>
      </c>
      <c r="R172" s="184">
        <f t="shared" si="143"/>
        <v>624.42422635526225</v>
      </c>
      <c r="S172" s="184">
        <f t="shared" si="143"/>
        <v>627.54634748703847</v>
      </c>
      <c r="T172" s="184">
        <f t="shared" si="143"/>
        <v>630.68407922447363</v>
      </c>
      <c r="U172" s="184">
        <f t="shared" si="143"/>
        <v>633.83749962059596</v>
      </c>
      <c r="X172" s="57"/>
    </row>
    <row r="173" spans="2:31">
      <c r="C173" s="50" t="s">
        <v>131</v>
      </c>
      <c r="E173" s="53" t="s">
        <v>15</v>
      </c>
      <c r="J173" s="167"/>
      <c r="K173" s="221">
        <v>5.0000000000000001E-3</v>
      </c>
      <c r="L173" s="221">
        <v>5.0000000000000001E-3</v>
      </c>
      <c r="M173" s="221">
        <v>5.0000000000000001E-3</v>
      </c>
      <c r="N173" s="221">
        <v>5.0000000000000001E-3</v>
      </c>
      <c r="O173" s="221">
        <v>5.0000000000000001E-3</v>
      </c>
      <c r="P173" s="221">
        <v>5.0000000000000001E-3</v>
      </c>
      <c r="Q173" s="221">
        <v>5.0000000000000001E-3</v>
      </c>
      <c r="R173" s="221">
        <v>5.0000000000000001E-3</v>
      </c>
      <c r="S173" s="221">
        <v>5.0000000000000001E-3</v>
      </c>
      <c r="T173" s="221">
        <v>5.0000000000000001E-3</v>
      </c>
      <c r="U173" s="221">
        <v>5.0000000000000001E-3</v>
      </c>
      <c r="X173" s="167"/>
    </row>
    <row r="174" spans="2:31">
      <c r="C174" s="51"/>
      <c r="E174" s="53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X174" s="167"/>
    </row>
    <row r="175" spans="2:31">
      <c r="C175" s="34" t="s">
        <v>224</v>
      </c>
      <c r="E175" s="53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X175" s="116"/>
    </row>
    <row r="176" spans="2:31">
      <c r="C176" s="51" t="s">
        <v>240</v>
      </c>
      <c r="E176" s="53" t="s">
        <v>20</v>
      </c>
      <c r="J176" s="57"/>
      <c r="K176" s="184">
        <v>1205.9999999999998</v>
      </c>
      <c r="L176" s="184">
        <f t="shared" ref="L176:U176" si="144">K176*(1+L177)</f>
        <v>1212.0299999999997</v>
      </c>
      <c r="M176" s="184">
        <f t="shared" si="144"/>
        <v>1218.0901499999995</v>
      </c>
      <c r="N176" s="184">
        <f t="shared" si="144"/>
        <v>1224.1806007499995</v>
      </c>
      <c r="O176" s="184">
        <f t="shared" si="144"/>
        <v>1230.3015037537493</v>
      </c>
      <c r="P176" s="184">
        <f t="shared" si="144"/>
        <v>1236.4530112725179</v>
      </c>
      <c r="Q176" s="184">
        <f t="shared" si="144"/>
        <v>1242.6352763288803</v>
      </c>
      <c r="R176" s="184">
        <f t="shared" si="144"/>
        <v>1248.8484527105245</v>
      </c>
      <c r="S176" s="184">
        <f t="shared" si="144"/>
        <v>1255.0926949740769</v>
      </c>
      <c r="T176" s="184">
        <f t="shared" si="144"/>
        <v>1261.3681584489473</v>
      </c>
      <c r="U176" s="184">
        <f t="shared" si="144"/>
        <v>1267.6749992411919</v>
      </c>
      <c r="X176" s="57"/>
    </row>
    <row r="177" spans="3:24">
      <c r="C177" s="50" t="s">
        <v>131</v>
      </c>
      <c r="E177" s="53" t="s">
        <v>15</v>
      </c>
      <c r="J177" s="200"/>
      <c r="K177" s="221">
        <v>5.0000000000000001E-3</v>
      </c>
      <c r="L177" s="221">
        <v>5.0000000000000001E-3</v>
      </c>
      <c r="M177" s="221">
        <v>5.0000000000000001E-3</v>
      </c>
      <c r="N177" s="221">
        <v>5.0000000000000001E-3</v>
      </c>
      <c r="O177" s="221">
        <v>5.0000000000000001E-3</v>
      </c>
      <c r="P177" s="221">
        <v>5.0000000000000001E-3</v>
      </c>
      <c r="Q177" s="221">
        <v>5.0000000000000001E-3</v>
      </c>
      <c r="R177" s="221">
        <v>5.0000000000000001E-3</v>
      </c>
      <c r="S177" s="221">
        <v>5.0000000000000001E-3</v>
      </c>
      <c r="T177" s="221">
        <v>5.0000000000000001E-3</v>
      </c>
      <c r="U177" s="221">
        <v>5.0000000000000001E-3</v>
      </c>
      <c r="X177" s="200"/>
    </row>
    <row r="178" spans="3:24">
      <c r="C178" s="51"/>
      <c r="E178" s="53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X178" s="200"/>
    </row>
    <row r="179" spans="3:24">
      <c r="C179" s="45" t="s">
        <v>225</v>
      </c>
      <c r="E179" s="53"/>
      <c r="G179" s="38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X179" s="116"/>
    </row>
    <row r="180" spans="3:24">
      <c r="C180" s="48" t="s">
        <v>139</v>
      </c>
      <c r="E180" s="53" t="s">
        <v>15</v>
      </c>
      <c r="J180" s="200"/>
      <c r="K180" s="221">
        <v>0</v>
      </c>
      <c r="L180" s="221">
        <v>3.5000000000000003E-2</v>
      </c>
      <c r="M180" s="221">
        <v>0.09</v>
      </c>
      <c r="N180" s="221">
        <v>0.13</v>
      </c>
      <c r="O180" s="221">
        <v>0.17</v>
      </c>
      <c r="P180" s="221">
        <v>0.2</v>
      </c>
      <c r="Q180" s="221">
        <v>0.22</v>
      </c>
      <c r="R180" s="221">
        <v>0.23</v>
      </c>
      <c r="S180" s="221">
        <v>0.23</v>
      </c>
      <c r="T180" s="221">
        <v>0.2</v>
      </c>
      <c r="U180" s="221">
        <v>0.15</v>
      </c>
      <c r="X180" s="200"/>
    </row>
    <row r="181" spans="3:24">
      <c r="C181" s="48" t="s">
        <v>140</v>
      </c>
      <c r="E181" s="53" t="s">
        <v>15</v>
      </c>
      <c r="J181" s="200"/>
      <c r="K181" s="221">
        <v>0</v>
      </c>
      <c r="L181" s="221">
        <v>0.02</v>
      </c>
      <c r="M181" s="221">
        <v>0.06</v>
      </c>
      <c r="N181" s="221">
        <v>0.1</v>
      </c>
      <c r="O181" s="221">
        <v>0.14000000000000001</v>
      </c>
      <c r="P181" s="221">
        <v>0.17</v>
      </c>
      <c r="Q181" s="221">
        <v>0.19</v>
      </c>
      <c r="R181" s="221">
        <v>0.2</v>
      </c>
      <c r="S181" s="221">
        <v>0.2</v>
      </c>
      <c r="T181" s="221">
        <v>0.17</v>
      </c>
      <c r="U181" s="221">
        <v>0.12</v>
      </c>
      <c r="X181" s="200"/>
    </row>
    <row r="182" spans="3:24">
      <c r="C182" s="50" t="s">
        <v>141</v>
      </c>
      <c r="E182" s="53" t="s">
        <v>15</v>
      </c>
      <c r="J182" s="200"/>
      <c r="K182" s="221">
        <v>0</v>
      </c>
      <c r="L182" s="221">
        <v>5.0000000000000001E-3</v>
      </c>
      <c r="M182" s="221">
        <v>0.03</v>
      </c>
      <c r="N182" s="221">
        <v>7.0000000000000007E-2</v>
      </c>
      <c r="O182" s="221">
        <v>0.11</v>
      </c>
      <c r="P182" s="221">
        <v>0.14000000000000001</v>
      </c>
      <c r="Q182" s="221">
        <v>0.16</v>
      </c>
      <c r="R182" s="221">
        <v>0.17</v>
      </c>
      <c r="S182" s="221">
        <v>0.17</v>
      </c>
      <c r="T182" s="221">
        <v>0.14000000000000001</v>
      </c>
      <c r="U182" s="221">
        <v>0.09</v>
      </c>
      <c r="X182" s="200"/>
    </row>
    <row r="183" spans="3:24">
      <c r="E183" s="53"/>
    </row>
    <row r="184" spans="3:24">
      <c r="C184" s="45" t="s">
        <v>226</v>
      </c>
      <c r="E184" s="53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X184" s="116"/>
    </row>
    <row r="185" spans="3:24">
      <c r="C185" s="48" t="s">
        <v>139</v>
      </c>
      <c r="E185" s="53" t="s">
        <v>15</v>
      </c>
      <c r="J185" s="200"/>
      <c r="K185" s="221">
        <v>0</v>
      </c>
      <c r="L185" s="221">
        <v>0</v>
      </c>
      <c r="M185" s="221">
        <v>0.01</v>
      </c>
      <c r="N185" s="221">
        <v>0.03</v>
      </c>
      <c r="O185" s="221">
        <v>0.05</v>
      </c>
      <c r="P185" s="221">
        <v>0.08</v>
      </c>
      <c r="Q185" s="221">
        <v>0.11</v>
      </c>
      <c r="R185" s="221">
        <v>0.14000000000000001</v>
      </c>
      <c r="S185" s="221">
        <v>0.16</v>
      </c>
      <c r="T185" s="221">
        <v>0.17</v>
      </c>
      <c r="U185" s="221">
        <v>0.15</v>
      </c>
      <c r="X185" s="200"/>
    </row>
    <row r="186" spans="3:24">
      <c r="C186" s="48" t="s">
        <v>140</v>
      </c>
      <c r="E186" s="53" t="s">
        <v>15</v>
      </c>
      <c r="J186" s="200"/>
      <c r="K186" s="221">
        <v>0</v>
      </c>
      <c r="L186" s="221">
        <v>0</v>
      </c>
      <c r="M186" s="221">
        <v>0</v>
      </c>
      <c r="N186" s="221">
        <v>1.4999999999999999E-2</v>
      </c>
      <c r="O186" s="221">
        <v>0.03</v>
      </c>
      <c r="P186" s="221">
        <v>0.06</v>
      </c>
      <c r="Q186" s="221">
        <v>0.09</v>
      </c>
      <c r="R186" s="221">
        <v>0.12</v>
      </c>
      <c r="S186" s="221">
        <v>0.14000000000000001</v>
      </c>
      <c r="T186" s="221">
        <v>0.15</v>
      </c>
      <c r="U186" s="221">
        <v>0.13</v>
      </c>
      <c r="X186" s="200"/>
    </row>
    <row r="187" spans="3:24">
      <c r="C187" s="50" t="s">
        <v>141</v>
      </c>
      <c r="E187" s="53" t="s">
        <v>15</v>
      </c>
      <c r="J187" s="200"/>
      <c r="K187" s="221">
        <v>0</v>
      </c>
      <c r="L187" s="221">
        <v>0</v>
      </c>
      <c r="M187" s="221">
        <v>0</v>
      </c>
      <c r="N187" s="221">
        <v>0</v>
      </c>
      <c r="O187" s="221">
        <v>0.01</v>
      </c>
      <c r="P187" s="221">
        <v>0.04</v>
      </c>
      <c r="Q187" s="221">
        <v>7.0000000000000007E-2</v>
      </c>
      <c r="R187" s="221">
        <v>0.1</v>
      </c>
      <c r="S187" s="221">
        <v>0.12</v>
      </c>
      <c r="T187" s="221">
        <v>0.13</v>
      </c>
      <c r="U187" s="221">
        <v>0.11</v>
      </c>
      <c r="X187" s="200"/>
    </row>
    <row r="188" spans="3:24">
      <c r="E188" s="53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X188" s="38"/>
    </row>
    <row r="189" spans="3:24">
      <c r="C189" s="45" t="s">
        <v>227</v>
      </c>
      <c r="E189" s="53" t="s">
        <v>129</v>
      </c>
      <c r="J189" s="49"/>
      <c r="K189" s="191">
        <f>INDEX($K$190:$U$192,MATCH(Scenario,$C$190:$C$192,0),1)</f>
        <v>2550</v>
      </c>
      <c r="L189" s="191">
        <f>INDEX($K$190:$U$192,MATCH(Scenario,$C$190:$C$192,0),2)</f>
        <v>2600</v>
      </c>
      <c r="M189" s="191">
        <f>INDEX($K$190:$U$192,MATCH(Scenario,$C$190:$C$192,0),3)</f>
        <v>2650</v>
      </c>
      <c r="N189" s="191">
        <f>INDEX($K$190:$U$192,MATCH(Scenario,$C$190:$C$192,0),4)</f>
        <v>2700</v>
      </c>
      <c r="O189" s="191">
        <f>INDEX($K$190:$U$192,MATCH(Scenario,$C$190:$C$192,0),5)</f>
        <v>2750</v>
      </c>
      <c r="P189" s="191">
        <f>INDEX($K$190:$U$192,MATCH(Scenario,$C$190:$C$192,0),6)</f>
        <v>2750</v>
      </c>
      <c r="Q189" s="191">
        <f>INDEX($K$190:$U$192,MATCH(Scenario,$C$190:$C$192,0),7)</f>
        <v>2750</v>
      </c>
      <c r="R189" s="191">
        <f>INDEX($K$190:$U$192,MATCH(Scenario,$C$190:$C$192,0),8)</f>
        <v>2600</v>
      </c>
      <c r="S189" s="191">
        <f>INDEX($K$190:$U$192,MATCH(Scenario,$C$190:$C$192,0),9)</f>
        <v>2400</v>
      </c>
      <c r="T189" s="191">
        <f>INDEX($K$190:$U$192,MATCH(Scenario,$C$190:$C$192,0),10)</f>
        <v>2200</v>
      </c>
      <c r="U189" s="191">
        <f>INDEX($K$190:$U$192,MATCH(Scenario,$C$190:$C$192,0),11)</f>
        <v>2200</v>
      </c>
      <c r="X189" s="49"/>
    </row>
    <row r="190" spans="3:24">
      <c r="C190" s="48" t="s">
        <v>139</v>
      </c>
      <c r="E190" s="53" t="s">
        <v>129</v>
      </c>
      <c r="J190" s="38"/>
      <c r="K190" s="186">
        <v>2805</v>
      </c>
      <c r="L190" s="186">
        <v>2860</v>
      </c>
      <c r="M190" s="186">
        <v>2915</v>
      </c>
      <c r="N190" s="186">
        <v>2970</v>
      </c>
      <c r="O190" s="186">
        <v>3025</v>
      </c>
      <c r="P190" s="186">
        <v>3025</v>
      </c>
      <c r="Q190" s="186">
        <v>3025</v>
      </c>
      <c r="R190" s="186">
        <v>2860</v>
      </c>
      <c r="S190" s="186">
        <v>2640</v>
      </c>
      <c r="T190" s="186">
        <v>2420</v>
      </c>
      <c r="U190" s="186">
        <v>2420</v>
      </c>
      <c r="X190" s="38"/>
    </row>
    <row r="191" spans="3:24">
      <c r="C191" s="48" t="s">
        <v>140</v>
      </c>
      <c r="E191" s="53" t="s">
        <v>129</v>
      </c>
      <c r="J191" s="38"/>
      <c r="K191" s="186">
        <v>2550</v>
      </c>
      <c r="L191" s="186">
        <v>2600</v>
      </c>
      <c r="M191" s="186">
        <v>2650</v>
      </c>
      <c r="N191" s="186">
        <v>2700</v>
      </c>
      <c r="O191" s="186">
        <v>2750</v>
      </c>
      <c r="P191" s="186">
        <v>2750</v>
      </c>
      <c r="Q191" s="186">
        <v>2750</v>
      </c>
      <c r="R191" s="186">
        <v>2600</v>
      </c>
      <c r="S191" s="186">
        <v>2400</v>
      </c>
      <c r="T191" s="186">
        <v>2200</v>
      </c>
      <c r="U191" s="186">
        <v>2200</v>
      </c>
      <c r="X191" s="38"/>
    </row>
    <row r="192" spans="3:24">
      <c r="C192" s="50" t="s">
        <v>141</v>
      </c>
      <c r="E192" s="53" t="s">
        <v>129</v>
      </c>
      <c r="J192" s="38"/>
      <c r="K192" s="186">
        <v>2295</v>
      </c>
      <c r="L192" s="186">
        <v>2340</v>
      </c>
      <c r="M192" s="186">
        <v>2385</v>
      </c>
      <c r="N192" s="186">
        <v>2430</v>
      </c>
      <c r="O192" s="186">
        <v>2475</v>
      </c>
      <c r="P192" s="186">
        <v>2475</v>
      </c>
      <c r="Q192" s="186">
        <v>2475</v>
      </c>
      <c r="R192" s="186">
        <v>2340</v>
      </c>
      <c r="S192" s="186">
        <v>2160</v>
      </c>
      <c r="T192" s="186">
        <v>1980</v>
      </c>
      <c r="U192" s="186">
        <v>1980</v>
      </c>
      <c r="X192" s="38"/>
    </row>
    <row r="193" spans="3:24">
      <c r="E193" s="53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X193" s="38"/>
    </row>
    <row r="194" spans="3:24">
      <c r="C194" s="45" t="s">
        <v>228</v>
      </c>
      <c r="E194" s="53" t="s">
        <v>129</v>
      </c>
      <c r="J194" s="49"/>
      <c r="K194" s="191">
        <f>INDEX($K$195:$U$197,MATCH(Scenario,$C$195:$C$197,0),1)</f>
        <v>1730</v>
      </c>
      <c r="L194" s="191">
        <f>INDEX($K$195:$U$197,MATCH(Scenario,$C$195:$C$197,0),2)</f>
        <v>1760</v>
      </c>
      <c r="M194" s="191">
        <f>INDEX($K$195:$U$197,MATCH(Scenario,$C$195:$C$197,0),3)</f>
        <v>1790</v>
      </c>
      <c r="N194" s="191">
        <f>INDEX($K$195:$U$197,MATCH(Scenario,$C$195:$C$197,0),4)</f>
        <v>1820</v>
      </c>
      <c r="O194" s="191">
        <f>INDEX($K$195:$U$197,MATCH(Scenario,$C$195:$C$197,0),5)</f>
        <v>1850</v>
      </c>
      <c r="P194" s="191">
        <f>INDEX($K$195:$U$197,MATCH(Scenario,$C$195:$C$197,0),6)</f>
        <v>1850</v>
      </c>
      <c r="Q194" s="191">
        <f>INDEX($K$195:$U$197,MATCH(Scenario,$C$195:$C$197,0),7)</f>
        <v>1850</v>
      </c>
      <c r="R194" s="191">
        <f>INDEX($K$195:$U$197,MATCH(Scenario,$C$195:$C$197,0),8)</f>
        <v>1750</v>
      </c>
      <c r="S194" s="191">
        <f>INDEX($K$195:$U$197,MATCH(Scenario,$C$195:$C$197,0),9)</f>
        <v>1600</v>
      </c>
      <c r="T194" s="191">
        <f>INDEX($K$195:$U$197,MATCH(Scenario,$C$195:$C$197,0),10)</f>
        <v>1450</v>
      </c>
      <c r="U194" s="191">
        <f>INDEX($K$195:$U$197,MATCH(Scenario,$C$195:$C$197,0),11)</f>
        <v>1450</v>
      </c>
      <c r="X194" s="49"/>
    </row>
    <row r="195" spans="3:24">
      <c r="C195" s="48" t="s">
        <v>139</v>
      </c>
      <c r="E195" s="53" t="s">
        <v>129</v>
      </c>
      <c r="J195" s="38"/>
      <c r="K195" s="186">
        <v>1903</v>
      </c>
      <c r="L195" s="186">
        <v>1936</v>
      </c>
      <c r="M195" s="186">
        <v>1969</v>
      </c>
      <c r="N195" s="186">
        <v>2002</v>
      </c>
      <c r="O195" s="186">
        <v>2035</v>
      </c>
      <c r="P195" s="186">
        <v>2035</v>
      </c>
      <c r="Q195" s="186">
        <v>2035</v>
      </c>
      <c r="R195" s="186">
        <v>1925</v>
      </c>
      <c r="S195" s="186">
        <v>1760</v>
      </c>
      <c r="T195" s="186">
        <v>1595</v>
      </c>
      <c r="U195" s="186">
        <v>1595</v>
      </c>
      <c r="X195" s="38"/>
    </row>
    <row r="196" spans="3:24">
      <c r="C196" s="48" t="s">
        <v>140</v>
      </c>
      <c r="E196" s="53" t="s">
        <v>129</v>
      </c>
      <c r="J196" s="38"/>
      <c r="K196" s="186">
        <v>1730</v>
      </c>
      <c r="L196" s="186">
        <v>1760</v>
      </c>
      <c r="M196" s="186">
        <v>1790</v>
      </c>
      <c r="N196" s="186">
        <v>1820</v>
      </c>
      <c r="O196" s="186">
        <v>1850</v>
      </c>
      <c r="P196" s="186">
        <v>1850</v>
      </c>
      <c r="Q196" s="186">
        <v>1850</v>
      </c>
      <c r="R196" s="186">
        <v>1750</v>
      </c>
      <c r="S196" s="186">
        <v>1600</v>
      </c>
      <c r="T196" s="186">
        <v>1450</v>
      </c>
      <c r="U196" s="186">
        <v>1450</v>
      </c>
      <c r="X196" s="38"/>
    </row>
    <row r="197" spans="3:24">
      <c r="C197" s="50" t="s">
        <v>141</v>
      </c>
      <c r="E197" s="53" t="s">
        <v>129</v>
      </c>
      <c r="J197" s="38"/>
      <c r="K197" s="186">
        <v>1557</v>
      </c>
      <c r="L197" s="186">
        <v>1584</v>
      </c>
      <c r="M197" s="186">
        <v>1611</v>
      </c>
      <c r="N197" s="186">
        <v>1638</v>
      </c>
      <c r="O197" s="186">
        <v>1665</v>
      </c>
      <c r="P197" s="186">
        <v>1665</v>
      </c>
      <c r="Q197" s="186">
        <v>1665</v>
      </c>
      <c r="R197" s="186">
        <v>1575</v>
      </c>
      <c r="S197" s="186">
        <v>1440</v>
      </c>
      <c r="T197" s="186">
        <v>1305</v>
      </c>
      <c r="U197" s="186">
        <v>1305</v>
      </c>
      <c r="X197" s="38"/>
    </row>
    <row r="198" spans="3:24">
      <c r="E198" s="53"/>
      <c r="P198" s="43"/>
      <c r="Q198" s="43"/>
      <c r="R198" s="43"/>
      <c r="S198" s="43"/>
      <c r="T198" s="43"/>
      <c r="U198" s="43"/>
      <c r="X198" s="43"/>
    </row>
    <row r="199" spans="3:24">
      <c r="C199" s="45" t="s">
        <v>242</v>
      </c>
      <c r="E199" s="53" t="s">
        <v>20</v>
      </c>
      <c r="J199" s="49"/>
      <c r="K199" s="191">
        <f>INDEX($K$200:$U$202,MATCH(Scenario,$C$200:$C$202,0),1)</f>
        <v>0</v>
      </c>
      <c r="L199" s="191">
        <f>INDEX($K$200:$U$202,MATCH(Scenario,$C$200:$C$202,0),2)</f>
        <v>12.120299999999999</v>
      </c>
      <c r="M199" s="191">
        <f>INDEX($K$200:$U$202,MATCH(Scenario,$C$200:$C$202,0),3)</f>
        <v>36.542704499999985</v>
      </c>
      <c r="N199" s="191">
        <f>INDEX($K$200:$U$202,MATCH(Scenario,$C$200:$C$202,0),4)</f>
        <v>61.209030037499979</v>
      </c>
      <c r="O199" s="191">
        <f>INDEX($K$200:$U$202,MATCH(Scenario,$C$200:$C$202,0),5)</f>
        <v>86.121105262762455</v>
      </c>
      <c r="P199" s="191">
        <f>INDEX($K$200:$U$202,MATCH(Scenario,$C$200:$C$202,0),6)</f>
        <v>105.09850595816403</v>
      </c>
      <c r="Q199" s="191">
        <f>INDEX($K$200:$U$202,MATCH(Scenario,$C$200:$C$202,0),7)</f>
        <v>118.05035125124363</v>
      </c>
      <c r="R199" s="191">
        <f>INDEX($K$200:$U$202,MATCH(Scenario,$C$200:$C$202,0),8)</f>
        <v>124.88484527105246</v>
      </c>
      <c r="S199" s="191">
        <f>INDEX($K$200:$U$202,MATCH(Scenario,$C$200:$C$202,0),9)</f>
        <v>125.5092694974077</v>
      </c>
      <c r="T199" s="191">
        <f>INDEX($K$200:$U$202,MATCH(Scenario,$C$200:$C$202,0),10)</f>
        <v>107.21629346816053</v>
      </c>
      <c r="U199" s="191">
        <f>INDEX($K$200:$U$202,MATCH(Scenario,$C$200:$C$202,0),11)</f>
        <v>76.06049995447151</v>
      </c>
      <c r="X199" s="49"/>
    </row>
    <row r="200" spans="3:24">
      <c r="C200" s="48" t="s">
        <v>139</v>
      </c>
      <c r="E200" s="53" t="s">
        <v>20</v>
      </c>
      <c r="J200" s="49"/>
      <c r="K200" s="186">
        <f>K$172*K180</f>
        <v>0</v>
      </c>
      <c r="L200" s="186">
        <f t="shared" ref="L200:U200" si="145">L$172*L180</f>
        <v>21.210524999999997</v>
      </c>
      <c r="M200" s="186">
        <f t="shared" si="145"/>
        <v>54.814056749999978</v>
      </c>
      <c r="N200" s="186">
        <f t="shared" si="145"/>
        <v>79.571739048749976</v>
      </c>
      <c r="O200" s="186">
        <f t="shared" si="145"/>
        <v>104.5756278190687</v>
      </c>
      <c r="P200" s="186">
        <f t="shared" si="145"/>
        <v>123.6453011272518</v>
      </c>
      <c r="Q200" s="186">
        <f t="shared" si="145"/>
        <v>136.68988039617685</v>
      </c>
      <c r="R200" s="186">
        <f t="shared" si="145"/>
        <v>143.61757206171032</v>
      </c>
      <c r="S200" s="186">
        <f t="shared" si="145"/>
        <v>144.33565992201886</v>
      </c>
      <c r="T200" s="186">
        <f t="shared" si="145"/>
        <v>126.13681584489473</v>
      </c>
      <c r="U200" s="186">
        <f t="shared" si="145"/>
        <v>95.075624943089394</v>
      </c>
      <c r="X200" s="38"/>
    </row>
    <row r="201" spans="3:24">
      <c r="C201" s="48" t="s">
        <v>140</v>
      </c>
      <c r="E201" s="53" t="s">
        <v>20</v>
      </c>
      <c r="J201" s="49"/>
      <c r="K201" s="186">
        <f t="shared" ref="K201:U201" si="146">K$172*K181</f>
        <v>0</v>
      </c>
      <c r="L201" s="186">
        <f t="shared" si="146"/>
        <v>12.120299999999999</v>
      </c>
      <c r="M201" s="186">
        <f t="shared" si="146"/>
        <v>36.542704499999985</v>
      </c>
      <c r="N201" s="186">
        <f t="shared" si="146"/>
        <v>61.209030037499979</v>
      </c>
      <c r="O201" s="186">
        <f t="shared" si="146"/>
        <v>86.121105262762455</v>
      </c>
      <c r="P201" s="186">
        <f t="shared" si="146"/>
        <v>105.09850595816403</v>
      </c>
      <c r="Q201" s="186">
        <f t="shared" si="146"/>
        <v>118.05035125124363</v>
      </c>
      <c r="R201" s="186">
        <f t="shared" si="146"/>
        <v>124.88484527105246</v>
      </c>
      <c r="S201" s="186">
        <f t="shared" si="146"/>
        <v>125.5092694974077</v>
      </c>
      <c r="T201" s="186">
        <f t="shared" si="146"/>
        <v>107.21629346816053</v>
      </c>
      <c r="U201" s="186">
        <f t="shared" si="146"/>
        <v>76.06049995447151</v>
      </c>
      <c r="X201" s="38"/>
    </row>
    <row r="202" spans="3:24">
      <c r="C202" s="50" t="s">
        <v>141</v>
      </c>
      <c r="E202" s="53" t="s">
        <v>20</v>
      </c>
      <c r="J202" s="49"/>
      <c r="K202" s="186">
        <f t="shared" ref="K202:U202" si="147">K$172*K182</f>
        <v>0</v>
      </c>
      <c r="L202" s="186">
        <f t="shared" si="147"/>
        <v>3.0300749999999996</v>
      </c>
      <c r="M202" s="186">
        <f t="shared" si="147"/>
        <v>18.271352249999993</v>
      </c>
      <c r="N202" s="186">
        <f t="shared" si="147"/>
        <v>42.846321026249989</v>
      </c>
      <c r="O202" s="186">
        <f t="shared" si="147"/>
        <v>67.666582706456211</v>
      </c>
      <c r="P202" s="186">
        <f t="shared" si="147"/>
        <v>86.551710789076253</v>
      </c>
      <c r="Q202" s="186">
        <f t="shared" si="147"/>
        <v>99.410822106310434</v>
      </c>
      <c r="R202" s="186">
        <f t="shared" si="147"/>
        <v>106.15211848039459</v>
      </c>
      <c r="S202" s="186">
        <f t="shared" si="147"/>
        <v>106.68287907279655</v>
      </c>
      <c r="T202" s="186">
        <f t="shared" si="147"/>
        <v>88.295771091426317</v>
      </c>
      <c r="U202" s="186">
        <f t="shared" si="147"/>
        <v>57.045374965853632</v>
      </c>
      <c r="X202" s="38"/>
    </row>
    <row r="203" spans="3:24">
      <c r="E203" s="53"/>
      <c r="O203" s="38"/>
      <c r="P203" s="43"/>
      <c r="Q203" s="43"/>
      <c r="R203" s="43"/>
      <c r="S203" s="43"/>
      <c r="T203" s="43"/>
      <c r="U203" s="43"/>
      <c r="X203" s="43"/>
    </row>
    <row r="204" spans="3:24">
      <c r="C204" s="45" t="s">
        <v>243</v>
      </c>
      <c r="E204" s="53" t="s">
        <v>20</v>
      </c>
      <c r="J204" s="49"/>
      <c r="K204" s="191">
        <f>INDEX($K$205:$U$207,MATCH(Scenario,$C$205:$C$207,0),1)</f>
        <v>0</v>
      </c>
      <c r="L204" s="191">
        <f>INDEX($K$205:$U$207,MATCH(Scenario,$C$205:$C$207,0),2)</f>
        <v>0</v>
      </c>
      <c r="M204" s="191">
        <f>INDEX($K$205:$U$207,MATCH(Scenario,$C$205:$C$207,0),3)</f>
        <v>0</v>
      </c>
      <c r="N204" s="191">
        <f>INDEX($K$205:$U$207,MATCH(Scenario,$C$205:$C$207,0),4)</f>
        <v>18.36270901124999</v>
      </c>
      <c r="O204" s="191">
        <f>INDEX($K$205:$U$207,MATCH(Scenario,$C$205:$C$207,0),5)</f>
        <v>36.909045112612482</v>
      </c>
      <c r="P204" s="191">
        <f>INDEX($K$205:$U$207,MATCH(Scenario,$C$205:$C$207,0),6)</f>
        <v>74.187180676351076</v>
      </c>
      <c r="Q204" s="191">
        <f>INDEX($K$205:$U$207,MATCH(Scenario,$C$205:$C$207,0),7)</f>
        <v>111.83717486959922</v>
      </c>
      <c r="R204" s="191">
        <f>INDEX($K$205:$U$207,MATCH(Scenario,$C$205:$C$207,0),8)</f>
        <v>149.86181432526294</v>
      </c>
      <c r="S204" s="191">
        <f>INDEX($K$205:$U$207,MATCH(Scenario,$C$205:$C$207,0),9)</f>
        <v>175.71297729637078</v>
      </c>
      <c r="T204" s="191">
        <f>INDEX($K$205:$U$207,MATCH(Scenario,$C$205:$C$207,0),10)</f>
        <v>189.20522376734209</v>
      </c>
      <c r="U204" s="191">
        <f>INDEX($K$205:$U$207,MATCH(Scenario,$C$205:$C$207,0),11)</f>
        <v>164.79774990135496</v>
      </c>
      <c r="X204" s="49"/>
    </row>
    <row r="205" spans="3:24">
      <c r="C205" s="48" t="s">
        <v>139</v>
      </c>
      <c r="E205" s="53" t="s">
        <v>20</v>
      </c>
      <c r="J205" s="49"/>
      <c r="K205" s="186">
        <f>K$176*K185</f>
        <v>0</v>
      </c>
      <c r="L205" s="186">
        <f t="shared" ref="L205:U205" si="148">L$176*L185</f>
        <v>0</v>
      </c>
      <c r="M205" s="186">
        <f t="shared" si="148"/>
        <v>12.180901499999996</v>
      </c>
      <c r="N205" s="186">
        <f t="shared" si="148"/>
        <v>36.72541802249998</v>
      </c>
      <c r="O205" s="186">
        <f t="shared" si="148"/>
        <v>61.515075187687472</v>
      </c>
      <c r="P205" s="186">
        <f t="shared" si="148"/>
        <v>98.91624090180143</v>
      </c>
      <c r="Q205" s="186">
        <f t="shared" si="148"/>
        <v>136.68988039617685</v>
      </c>
      <c r="R205" s="186">
        <f t="shared" si="148"/>
        <v>174.83878337947345</v>
      </c>
      <c r="S205" s="186">
        <f t="shared" si="148"/>
        <v>200.81483119585232</v>
      </c>
      <c r="T205" s="186">
        <f t="shared" si="148"/>
        <v>214.43258693632106</v>
      </c>
      <c r="U205" s="186">
        <f t="shared" si="148"/>
        <v>190.15124988617879</v>
      </c>
      <c r="X205" s="38"/>
    </row>
    <row r="206" spans="3:24">
      <c r="C206" s="48" t="s">
        <v>140</v>
      </c>
      <c r="E206" s="53" t="s">
        <v>20</v>
      </c>
      <c r="J206" s="49"/>
      <c r="K206" s="186">
        <f t="shared" ref="K206:U207" si="149">K$176*K186</f>
        <v>0</v>
      </c>
      <c r="L206" s="186">
        <f t="shared" si="149"/>
        <v>0</v>
      </c>
      <c r="M206" s="186">
        <f t="shared" si="149"/>
        <v>0</v>
      </c>
      <c r="N206" s="186">
        <f t="shared" si="149"/>
        <v>18.36270901124999</v>
      </c>
      <c r="O206" s="186">
        <f t="shared" si="149"/>
        <v>36.909045112612482</v>
      </c>
      <c r="P206" s="186">
        <f t="shared" si="149"/>
        <v>74.187180676351076</v>
      </c>
      <c r="Q206" s="186">
        <f t="shared" si="149"/>
        <v>111.83717486959922</v>
      </c>
      <c r="R206" s="186">
        <f t="shared" si="149"/>
        <v>149.86181432526294</v>
      </c>
      <c r="S206" s="186">
        <f t="shared" si="149"/>
        <v>175.71297729637078</v>
      </c>
      <c r="T206" s="186">
        <f t="shared" si="149"/>
        <v>189.20522376734209</v>
      </c>
      <c r="U206" s="186">
        <f t="shared" si="149"/>
        <v>164.79774990135496</v>
      </c>
      <c r="X206" s="38"/>
    </row>
    <row r="207" spans="3:24">
      <c r="C207" s="50" t="s">
        <v>141</v>
      </c>
      <c r="E207" s="53" t="s">
        <v>20</v>
      </c>
      <c r="J207" s="49"/>
      <c r="K207" s="186">
        <f t="shared" si="149"/>
        <v>0</v>
      </c>
      <c r="L207" s="186">
        <f t="shared" si="149"/>
        <v>0</v>
      </c>
      <c r="M207" s="186">
        <f t="shared" si="149"/>
        <v>0</v>
      </c>
      <c r="N207" s="186">
        <f t="shared" si="149"/>
        <v>0</v>
      </c>
      <c r="O207" s="186">
        <f t="shared" si="149"/>
        <v>12.303015037537493</v>
      </c>
      <c r="P207" s="186">
        <f t="shared" si="149"/>
        <v>49.458120450900715</v>
      </c>
      <c r="Q207" s="186">
        <f t="shared" si="149"/>
        <v>86.98446934302163</v>
      </c>
      <c r="R207" s="186">
        <f t="shared" si="149"/>
        <v>124.88484527105246</v>
      </c>
      <c r="S207" s="186">
        <f t="shared" si="149"/>
        <v>150.61112339688924</v>
      </c>
      <c r="T207" s="186">
        <f t="shared" si="149"/>
        <v>163.97786059836315</v>
      </c>
      <c r="U207" s="186">
        <f t="shared" si="149"/>
        <v>139.44424991653111</v>
      </c>
      <c r="X207" s="38"/>
    </row>
    <row r="208" spans="3:24">
      <c r="E208" s="53"/>
      <c r="N208" s="36"/>
      <c r="O208" s="37"/>
      <c r="Q208" s="38"/>
      <c r="R208" s="38"/>
      <c r="S208" s="38"/>
      <c r="T208" s="38"/>
      <c r="U208" s="38"/>
      <c r="X208" s="38"/>
    </row>
    <row r="209" spans="2:45">
      <c r="C209" s="51" t="s">
        <v>244</v>
      </c>
      <c r="E209" s="35" t="s">
        <v>129</v>
      </c>
      <c r="J209" s="49"/>
      <c r="K209" s="186">
        <f>K189*K199</f>
        <v>0</v>
      </c>
      <c r="L209" s="186">
        <f t="shared" ref="L209:U209" si="150">L189*L199</f>
        <v>31512.779999999995</v>
      </c>
      <c r="M209" s="186">
        <f t="shared" si="150"/>
        <v>96838.166924999954</v>
      </c>
      <c r="N209" s="186">
        <f t="shared" si="150"/>
        <v>165264.38110124995</v>
      </c>
      <c r="O209" s="186">
        <f t="shared" si="150"/>
        <v>236833.03947259675</v>
      </c>
      <c r="P209" s="186">
        <f t="shared" si="150"/>
        <v>289020.89138495107</v>
      </c>
      <c r="Q209" s="186">
        <f t="shared" si="150"/>
        <v>324638.46594092</v>
      </c>
      <c r="R209" s="186">
        <f t="shared" si="150"/>
        <v>324700.5977047364</v>
      </c>
      <c r="S209" s="186">
        <f t="shared" si="150"/>
        <v>301222.2467937785</v>
      </c>
      <c r="T209" s="186">
        <f t="shared" si="150"/>
        <v>235875.84562995317</v>
      </c>
      <c r="U209" s="186">
        <f t="shared" si="150"/>
        <v>167333.09989983731</v>
      </c>
      <c r="X209" s="38"/>
    </row>
    <row r="210" spans="2:45">
      <c r="C210" s="56" t="s">
        <v>245</v>
      </c>
      <c r="E210" s="35" t="s">
        <v>129</v>
      </c>
      <c r="J210" s="38"/>
      <c r="K210" s="83">
        <f>K194*K204</f>
        <v>0</v>
      </c>
      <c r="L210" s="83">
        <f t="shared" ref="L210:U210" si="151">L194*L204</f>
        <v>0</v>
      </c>
      <c r="M210" s="83">
        <f t="shared" si="151"/>
        <v>0</v>
      </c>
      <c r="N210" s="83">
        <f t="shared" si="151"/>
        <v>33420.130400474984</v>
      </c>
      <c r="O210" s="83">
        <f t="shared" si="151"/>
        <v>68281.733458333096</v>
      </c>
      <c r="P210" s="83">
        <f t="shared" si="151"/>
        <v>137246.28425124948</v>
      </c>
      <c r="Q210" s="83">
        <f t="shared" si="151"/>
        <v>206898.77350875858</v>
      </c>
      <c r="R210" s="83">
        <f t="shared" si="151"/>
        <v>262258.17506921012</v>
      </c>
      <c r="S210" s="83">
        <f t="shared" si="151"/>
        <v>281140.76367419324</v>
      </c>
      <c r="T210" s="83">
        <f t="shared" si="151"/>
        <v>274347.57446264604</v>
      </c>
      <c r="U210" s="83">
        <f t="shared" si="151"/>
        <v>238956.7373569647</v>
      </c>
      <c r="X210" s="38"/>
    </row>
    <row r="211" spans="2:45">
      <c r="C211" s="64" t="s">
        <v>246</v>
      </c>
      <c r="E211" s="39" t="s">
        <v>129</v>
      </c>
      <c r="J211" s="52"/>
      <c r="K211" s="174">
        <f>SUM(K209:K210)</f>
        <v>0</v>
      </c>
      <c r="L211" s="174">
        <f t="shared" ref="L211:U211" si="152">SUM(L209:L210)</f>
        <v>31512.779999999995</v>
      </c>
      <c r="M211" s="174">
        <f t="shared" si="152"/>
        <v>96838.166924999954</v>
      </c>
      <c r="N211" s="174">
        <f t="shared" si="152"/>
        <v>198684.51150172495</v>
      </c>
      <c r="O211" s="174">
        <f t="shared" si="152"/>
        <v>305114.77293092984</v>
      </c>
      <c r="P211" s="174">
        <f t="shared" si="152"/>
        <v>426267.17563620058</v>
      </c>
      <c r="Q211" s="174">
        <f t="shared" si="152"/>
        <v>531537.23944967857</v>
      </c>
      <c r="R211" s="174">
        <f t="shared" si="152"/>
        <v>586958.77277394652</v>
      </c>
      <c r="S211" s="174">
        <f t="shared" si="152"/>
        <v>582363.01046797168</v>
      </c>
      <c r="T211" s="174">
        <f t="shared" si="152"/>
        <v>510223.42009259923</v>
      </c>
      <c r="U211" s="174">
        <f t="shared" si="152"/>
        <v>406289.83725680201</v>
      </c>
      <c r="X211" s="52"/>
    </row>
    <row r="212" spans="2:45">
      <c r="C212" s="50" t="s">
        <v>131</v>
      </c>
      <c r="E212" s="35" t="s">
        <v>15</v>
      </c>
      <c r="J212" s="49"/>
      <c r="K212" s="49"/>
      <c r="L212" s="169"/>
      <c r="M212" s="219">
        <f t="shared" ref="M212:U212" si="153">M211/L211-1</f>
        <v>2.0729807692307682</v>
      </c>
      <c r="N212" s="219">
        <f t="shared" si="153"/>
        <v>1.0517169811320759</v>
      </c>
      <c r="O212" s="219">
        <f t="shared" si="153"/>
        <v>0.53567467652495337</v>
      </c>
      <c r="P212" s="219">
        <f t="shared" si="153"/>
        <v>0.39707157258064507</v>
      </c>
      <c r="Q212" s="219">
        <f t="shared" si="153"/>
        <v>0.24695794053662046</v>
      </c>
      <c r="R212" s="219">
        <f t="shared" si="153"/>
        <v>0.10426651081239013</v>
      </c>
      <c r="S212" s="219">
        <f t="shared" si="153"/>
        <v>-7.8297872340427066E-3</v>
      </c>
      <c r="T212" s="219">
        <f t="shared" si="153"/>
        <v>-0.12387392241379303</v>
      </c>
      <c r="U212" s="219">
        <f t="shared" si="153"/>
        <v>-0.20370210135970346</v>
      </c>
      <c r="X212" s="169"/>
    </row>
    <row r="213" spans="2:45">
      <c r="E213" s="35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X213" s="38"/>
    </row>
    <row r="214" spans="2:45">
      <c r="C214" s="51" t="s">
        <v>247</v>
      </c>
      <c r="E214" s="35" t="s">
        <v>129</v>
      </c>
      <c r="F214" s="201">
        <v>0.08</v>
      </c>
      <c r="J214" s="38"/>
      <c r="K214" s="186">
        <f>-K209*$F$214</f>
        <v>0</v>
      </c>
      <c r="L214" s="186">
        <f t="shared" ref="L214:U214" si="154">-L209*$F$214</f>
        <v>-2521.0223999999998</v>
      </c>
      <c r="M214" s="186">
        <f t="shared" si="154"/>
        <v>-7747.053353999996</v>
      </c>
      <c r="N214" s="186">
        <f t="shared" si="154"/>
        <v>-13221.150488099996</v>
      </c>
      <c r="O214" s="186">
        <f t="shared" si="154"/>
        <v>-18946.643157807739</v>
      </c>
      <c r="P214" s="186">
        <f t="shared" si="154"/>
        <v>-23121.671310796086</v>
      </c>
      <c r="Q214" s="186">
        <f t="shared" si="154"/>
        <v>-25971.077275273601</v>
      </c>
      <c r="R214" s="186">
        <f t="shared" si="154"/>
        <v>-25976.047816378912</v>
      </c>
      <c r="S214" s="186">
        <f t="shared" si="154"/>
        <v>-24097.77974350228</v>
      </c>
      <c r="T214" s="186">
        <f t="shared" si="154"/>
        <v>-18870.067650396253</v>
      </c>
      <c r="U214" s="186">
        <f t="shared" si="154"/>
        <v>-13386.647991986985</v>
      </c>
      <c r="X214" s="38"/>
    </row>
    <row r="215" spans="2:45">
      <c r="C215" s="56" t="s">
        <v>248</v>
      </c>
      <c r="E215" s="35" t="s">
        <v>129</v>
      </c>
      <c r="F215" s="201">
        <v>0.03</v>
      </c>
      <c r="J215" s="38"/>
      <c r="K215" s="83">
        <f>-K210*$F$215</f>
        <v>0</v>
      </c>
      <c r="L215" s="83">
        <f t="shared" ref="L215:U215" si="155">-L210*$F$215</f>
        <v>0</v>
      </c>
      <c r="M215" s="83">
        <f t="shared" si="155"/>
        <v>0</v>
      </c>
      <c r="N215" s="83">
        <f t="shared" si="155"/>
        <v>-1002.6039120142494</v>
      </c>
      <c r="O215" s="83">
        <f t="shared" si="155"/>
        <v>-2048.4520037499929</v>
      </c>
      <c r="P215" s="83">
        <f t="shared" si="155"/>
        <v>-4117.3885275374842</v>
      </c>
      <c r="Q215" s="83">
        <f t="shared" si="155"/>
        <v>-6206.9632052627567</v>
      </c>
      <c r="R215" s="83">
        <f t="shared" si="155"/>
        <v>-7867.7452520763036</v>
      </c>
      <c r="S215" s="83">
        <f t="shared" si="155"/>
        <v>-8434.222910225797</v>
      </c>
      <c r="T215" s="83">
        <f t="shared" si="155"/>
        <v>-8230.4272338793817</v>
      </c>
      <c r="U215" s="83">
        <f t="shared" si="155"/>
        <v>-7168.702120708941</v>
      </c>
      <c r="X215" s="38"/>
    </row>
    <row r="216" spans="2:45">
      <c r="C216" s="64" t="s">
        <v>249</v>
      </c>
      <c r="E216" s="39" t="s">
        <v>129</v>
      </c>
      <c r="J216" s="38"/>
      <c r="K216" s="174">
        <f>SUM(K211,K214:K215)</f>
        <v>0</v>
      </c>
      <c r="L216" s="174">
        <f t="shared" ref="L216:U216" si="156">SUM(L211,L214:L215)</f>
        <v>28991.757599999997</v>
      </c>
      <c r="M216" s="174">
        <f t="shared" si="156"/>
        <v>89091.113570999965</v>
      </c>
      <c r="N216" s="174">
        <f t="shared" si="156"/>
        <v>184460.75710161071</v>
      </c>
      <c r="O216" s="174">
        <f t="shared" si="156"/>
        <v>284119.67776937207</v>
      </c>
      <c r="P216" s="174">
        <f t="shared" si="156"/>
        <v>399028.11579786701</v>
      </c>
      <c r="Q216" s="174">
        <f t="shared" si="156"/>
        <v>499359.19896914216</v>
      </c>
      <c r="R216" s="174">
        <f t="shared" si="156"/>
        <v>553114.97970549134</v>
      </c>
      <c r="S216" s="174">
        <f t="shared" si="156"/>
        <v>549831.00781424367</v>
      </c>
      <c r="T216" s="174">
        <f t="shared" si="156"/>
        <v>483122.92520832358</v>
      </c>
      <c r="U216" s="174">
        <f t="shared" si="156"/>
        <v>385734.48714410607</v>
      </c>
      <c r="X216" s="38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</row>
    <row r="217" spans="2:45">
      <c r="E217" s="53"/>
      <c r="AA217" s="167"/>
      <c r="AB217" s="167"/>
    </row>
    <row r="218" spans="2:45">
      <c r="B218" s="60" t="s">
        <v>267</v>
      </c>
      <c r="C218" s="26"/>
      <c r="D218" s="26"/>
      <c r="E218" s="216"/>
      <c r="F218" s="26"/>
      <c r="G218" s="180"/>
      <c r="H218" s="180"/>
      <c r="I218" s="180"/>
      <c r="J218" s="180"/>
      <c r="K218" s="181"/>
      <c r="L218" s="26"/>
      <c r="M218" s="26"/>
      <c r="N218" s="26"/>
      <c r="O218" s="214" t="s">
        <v>299</v>
      </c>
      <c r="P218" s="26"/>
      <c r="Q218" s="26"/>
      <c r="R218" s="26"/>
      <c r="S218" s="26"/>
      <c r="T218" s="209" t="s">
        <v>266</v>
      </c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spans="2:45">
      <c r="E219" s="53"/>
      <c r="AA219" s="167"/>
      <c r="AB219" s="167"/>
    </row>
    <row r="220" spans="2:45">
      <c r="C220" s="64" t="s">
        <v>134</v>
      </c>
      <c r="E220" s="53"/>
      <c r="AA220" s="167"/>
      <c r="AB220" s="167"/>
    </row>
    <row r="221" spans="2:45">
      <c r="C221" s="51" t="s">
        <v>251</v>
      </c>
      <c r="E221" s="53" t="s">
        <v>20</v>
      </c>
      <c r="J221" s="38"/>
      <c r="K221" s="186">
        <v>2000</v>
      </c>
      <c r="L221" s="186">
        <f>K221*(1+L222)</f>
        <v>2009.9999999999998</v>
      </c>
      <c r="M221" s="186">
        <f t="shared" ref="M221:V221" si="157">L221*(1+M222)</f>
        <v>2020.0499999999995</v>
      </c>
      <c r="N221" s="186">
        <f t="shared" si="157"/>
        <v>2030.1502499999992</v>
      </c>
      <c r="O221" s="186">
        <f t="shared" si="157"/>
        <v>2040.301001249999</v>
      </c>
      <c r="P221" s="186">
        <f t="shared" si="157"/>
        <v>2050.5025062562486</v>
      </c>
      <c r="Q221" s="186">
        <f t="shared" si="157"/>
        <v>2060.7550187875295</v>
      </c>
      <c r="R221" s="186">
        <f t="shared" si="157"/>
        <v>2071.058793881467</v>
      </c>
      <c r="S221" s="186">
        <f t="shared" si="157"/>
        <v>2081.4140878508742</v>
      </c>
      <c r="T221" s="186">
        <f t="shared" si="157"/>
        <v>2091.8211582901286</v>
      </c>
      <c r="U221" s="186">
        <f t="shared" si="157"/>
        <v>2102.2802640815789</v>
      </c>
      <c r="V221" s="186">
        <f t="shared" si="157"/>
        <v>2112.7916654019864</v>
      </c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</row>
    <row r="222" spans="2:45">
      <c r="C222" s="50" t="s">
        <v>131</v>
      </c>
      <c r="E222" s="53" t="s">
        <v>15</v>
      </c>
      <c r="J222" s="167"/>
      <c r="K222" s="221">
        <v>5.0000000000000001E-3</v>
      </c>
      <c r="L222" s="221">
        <v>5.0000000000000001E-3</v>
      </c>
      <c r="M222" s="221">
        <v>5.0000000000000001E-3</v>
      </c>
      <c r="N222" s="221">
        <v>5.0000000000000001E-3</v>
      </c>
      <c r="O222" s="221">
        <v>5.0000000000000001E-3</v>
      </c>
      <c r="P222" s="221">
        <v>5.0000000000000001E-3</v>
      </c>
      <c r="Q222" s="221">
        <v>5.0000000000000001E-3</v>
      </c>
      <c r="R222" s="221">
        <v>5.0000000000000001E-3</v>
      </c>
      <c r="S222" s="221">
        <v>5.0000000000000001E-3</v>
      </c>
      <c r="T222" s="221">
        <v>5.0000000000000001E-3</v>
      </c>
      <c r="U222" s="221">
        <v>5.0000000000000001E-3</v>
      </c>
      <c r="V222" s="221">
        <v>5.0000000000000001E-3</v>
      </c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</row>
    <row r="223" spans="2:45">
      <c r="E223" s="53"/>
      <c r="J223" s="167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</row>
    <row r="224" spans="2:45">
      <c r="C224" s="64" t="s">
        <v>224</v>
      </c>
      <c r="E224" s="53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</row>
    <row r="225" spans="3:45">
      <c r="C225" s="51" t="s">
        <v>252</v>
      </c>
      <c r="E225" s="53" t="s">
        <v>20</v>
      </c>
      <c r="J225" s="38"/>
      <c r="K225" s="186">
        <v>4000</v>
      </c>
      <c r="L225" s="186">
        <f>K225*(1+L226)</f>
        <v>4019.9999999999995</v>
      </c>
      <c r="M225" s="186">
        <f t="shared" ref="M225:S225" si="158">L225*(1+M226)</f>
        <v>4040.099999999999</v>
      </c>
      <c r="N225" s="186">
        <f t="shared" si="158"/>
        <v>4060.3004999999985</v>
      </c>
      <c r="O225" s="186">
        <f t="shared" si="158"/>
        <v>4080.602002499998</v>
      </c>
      <c r="P225" s="186">
        <f t="shared" si="158"/>
        <v>4101.0050125124972</v>
      </c>
      <c r="Q225" s="186">
        <f t="shared" si="158"/>
        <v>4121.510037575059</v>
      </c>
      <c r="R225" s="186">
        <f t="shared" si="158"/>
        <v>4142.1175877629339</v>
      </c>
      <c r="S225" s="186">
        <f t="shared" si="158"/>
        <v>4162.8281757017485</v>
      </c>
      <c r="T225" s="186">
        <f t="shared" ref="T225" si="159">S225*(1+T226)</f>
        <v>4183.6423165802571</v>
      </c>
      <c r="U225" s="186">
        <f t="shared" ref="U225" si="160">T225*(1+U226)</f>
        <v>4204.5605281631579</v>
      </c>
      <c r="V225" s="186">
        <f t="shared" ref="V225" si="161">U225*(1+V226)</f>
        <v>4225.5833308039728</v>
      </c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</row>
    <row r="226" spans="3:45">
      <c r="C226" s="50" t="s">
        <v>131</v>
      </c>
      <c r="E226" s="53" t="s">
        <v>15</v>
      </c>
      <c r="J226" s="167"/>
      <c r="K226" s="221">
        <v>5.0000000000000001E-3</v>
      </c>
      <c r="L226" s="221">
        <v>5.0000000000000001E-3</v>
      </c>
      <c r="M226" s="221">
        <v>5.0000000000000001E-3</v>
      </c>
      <c r="N226" s="221">
        <v>5.0000000000000001E-3</v>
      </c>
      <c r="O226" s="221">
        <v>5.0000000000000001E-3</v>
      </c>
      <c r="P226" s="221">
        <v>5.0000000000000001E-3</v>
      </c>
      <c r="Q226" s="221">
        <v>5.0000000000000001E-3</v>
      </c>
      <c r="R226" s="221">
        <v>5.0000000000000001E-3</v>
      </c>
      <c r="S226" s="221">
        <v>5.0000000000000001E-3</v>
      </c>
      <c r="T226" s="221">
        <v>5.0000000000000001E-3</v>
      </c>
      <c r="U226" s="221">
        <v>5.0000000000000001E-3</v>
      </c>
      <c r="V226" s="221">
        <v>5.0000000000000001E-3</v>
      </c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</row>
    <row r="227" spans="3:45">
      <c r="E227" s="53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</row>
    <row r="228" spans="3:45">
      <c r="C228" s="45" t="s">
        <v>264</v>
      </c>
      <c r="E228" s="53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</row>
    <row r="229" spans="3:45">
      <c r="C229" s="48" t="s">
        <v>139</v>
      </c>
      <c r="E229" s="53" t="s">
        <v>15</v>
      </c>
      <c r="G229" s="167"/>
      <c r="H229" s="167"/>
      <c r="I229" s="167"/>
      <c r="J229" s="200"/>
      <c r="K229" s="221">
        <v>0.04</v>
      </c>
      <c r="L229" s="221">
        <v>5.5E-2</v>
      </c>
      <c r="M229" s="221">
        <v>6.5000000000000002E-2</v>
      </c>
      <c r="N229" s="221">
        <v>7.0000000000000007E-2</v>
      </c>
      <c r="O229" s="221">
        <v>7.4999999999999997E-2</v>
      </c>
      <c r="P229" s="221">
        <v>0.08</v>
      </c>
      <c r="Q229" s="221">
        <v>8.5999999999999993E-2</v>
      </c>
      <c r="R229" s="221">
        <v>9.1999999999999998E-2</v>
      </c>
      <c r="S229" s="221">
        <v>9.8000000000000004E-2</v>
      </c>
      <c r="T229" s="221">
        <v>0.10199999999999999</v>
      </c>
      <c r="U229" s="221">
        <v>0.105</v>
      </c>
      <c r="V229" s="221">
        <v>0.11</v>
      </c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</row>
    <row r="230" spans="3:45">
      <c r="C230" s="48" t="s">
        <v>140</v>
      </c>
      <c r="E230" s="53" t="s">
        <v>15</v>
      </c>
      <c r="G230" s="167"/>
      <c r="H230" s="167"/>
      <c r="I230" s="167"/>
      <c r="J230" s="200"/>
      <c r="K230" s="221">
        <v>0.03</v>
      </c>
      <c r="L230" s="221">
        <v>4.4999999999999998E-2</v>
      </c>
      <c r="M230" s="221">
        <v>5.5E-2</v>
      </c>
      <c r="N230" s="221">
        <v>0.06</v>
      </c>
      <c r="O230" s="221">
        <v>6.5000000000000002E-2</v>
      </c>
      <c r="P230" s="221">
        <v>7.0000000000000007E-2</v>
      </c>
      <c r="Q230" s="221">
        <v>7.4999999999999997E-2</v>
      </c>
      <c r="R230" s="221">
        <v>7.8E-2</v>
      </c>
      <c r="S230" s="221">
        <v>0.08</v>
      </c>
      <c r="T230" s="221">
        <v>8.2000000000000003E-2</v>
      </c>
      <c r="U230" s="221">
        <v>8.4000000000000005E-2</v>
      </c>
      <c r="V230" s="221">
        <v>8.5000000000000006E-2</v>
      </c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</row>
    <row r="231" spans="3:45">
      <c r="C231" s="50" t="s">
        <v>141</v>
      </c>
      <c r="E231" s="53" t="s">
        <v>15</v>
      </c>
      <c r="G231" s="167"/>
      <c r="H231" s="167"/>
      <c r="I231" s="167"/>
      <c r="J231" s="200"/>
      <c r="K231" s="221">
        <v>0.01</v>
      </c>
      <c r="L231" s="221">
        <v>0.02</v>
      </c>
      <c r="M231" s="221">
        <v>0.03</v>
      </c>
      <c r="N231" s="221">
        <v>3.7999999999999999E-2</v>
      </c>
      <c r="O231" s="221">
        <v>4.4999999999999998E-2</v>
      </c>
      <c r="P231" s="221">
        <v>0.05</v>
      </c>
      <c r="Q231" s="221">
        <v>5.2999999999999999E-2</v>
      </c>
      <c r="R231" s="221">
        <v>5.6000000000000001E-2</v>
      </c>
      <c r="S231" s="221">
        <v>5.8000000000000003E-2</v>
      </c>
      <c r="T231" s="221">
        <v>0.06</v>
      </c>
      <c r="U231" s="221">
        <v>6.0999999999999999E-2</v>
      </c>
      <c r="V231" s="221">
        <v>6.2E-2</v>
      </c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</row>
    <row r="232" spans="3:45">
      <c r="E232" s="53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</row>
    <row r="233" spans="3:45">
      <c r="C233" s="45" t="s">
        <v>265</v>
      </c>
      <c r="E233" s="53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</row>
    <row r="234" spans="3:45">
      <c r="C234" s="48" t="s">
        <v>139</v>
      </c>
      <c r="E234" s="53" t="s">
        <v>15</v>
      </c>
      <c r="G234" s="167"/>
      <c r="H234" s="167"/>
      <c r="I234" s="167"/>
      <c r="J234" s="200"/>
      <c r="K234" s="221">
        <v>0.02</v>
      </c>
      <c r="L234" s="221">
        <v>3.5000000000000003E-2</v>
      </c>
      <c r="M234" s="221">
        <v>0.05</v>
      </c>
      <c r="N234" s="221">
        <v>5.8000000000000003E-2</v>
      </c>
      <c r="O234" s="221">
        <v>5.8000000000000003E-2</v>
      </c>
      <c r="P234" s="221">
        <v>0.05</v>
      </c>
      <c r="Q234" s="221">
        <v>4.2000000000000003E-2</v>
      </c>
      <c r="R234" s="221">
        <v>3.4000000000000002E-2</v>
      </c>
      <c r="S234" s="221">
        <v>2.7E-2</v>
      </c>
      <c r="T234" s="221">
        <v>0.02</v>
      </c>
      <c r="U234" s="221">
        <v>1.4999999999999999E-2</v>
      </c>
      <c r="V234" s="221">
        <v>1.0999999999999999E-2</v>
      </c>
      <c r="AB234" s="57"/>
      <c r="AC234" s="57"/>
      <c r="AD234" s="57"/>
      <c r="AE234" s="57"/>
      <c r="AF234" s="57"/>
      <c r="AG234" s="57"/>
      <c r="AH234" s="57"/>
      <c r="AI234" s="57"/>
      <c r="AJ234" s="57"/>
    </row>
    <row r="235" spans="3:45">
      <c r="C235" s="48" t="s">
        <v>140</v>
      </c>
      <c r="E235" s="53" t="s">
        <v>15</v>
      </c>
      <c r="G235" s="167"/>
      <c r="H235" s="167"/>
      <c r="I235" s="167"/>
      <c r="J235" s="200"/>
      <c r="K235" s="221">
        <v>1.0999999999999999E-2</v>
      </c>
      <c r="L235" s="221">
        <v>2.5999999999999999E-2</v>
      </c>
      <c r="M235" s="221">
        <v>4.1000000000000002E-2</v>
      </c>
      <c r="N235" s="221">
        <v>4.9000000000000002E-2</v>
      </c>
      <c r="O235" s="221">
        <v>4.9000000000000002E-2</v>
      </c>
      <c r="P235" s="221">
        <v>4.1000000000000002E-2</v>
      </c>
      <c r="Q235" s="221">
        <v>3.4000000000000002E-2</v>
      </c>
      <c r="R235" s="221">
        <v>2.5999999999999999E-2</v>
      </c>
      <c r="S235" s="221">
        <v>2.1000000000000001E-2</v>
      </c>
      <c r="T235" s="221">
        <v>1.4999999999999999E-2</v>
      </c>
      <c r="U235" s="221">
        <v>1.0999999999999999E-2</v>
      </c>
      <c r="V235" s="221">
        <v>7.4999999999999997E-3</v>
      </c>
    </row>
    <row r="236" spans="3:45">
      <c r="C236" s="50" t="s">
        <v>141</v>
      </c>
      <c r="E236" s="53" t="s">
        <v>15</v>
      </c>
      <c r="G236" s="167"/>
      <c r="H236" s="167"/>
      <c r="I236" s="167"/>
      <c r="J236" s="200"/>
      <c r="K236" s="221">
        <v>5.0000000000000001E-3</v>
      </c>
      <c r="L236" s="221">
        <v>1.4999999999999999E-2</v>
      </c>
      <c r="M236" s="221">
        <v>2.8000000000000001E-2</v>
      </c>
      <c r="N236" s="221">
        <v>3.5999999999999997E-2</v>
      </c>
      <c r="O236" s="221">
        <v>3.5999999999999997E-2</v>
      </c>
      <c r="P236" s="221">
        <v>0.03</v>
      </c>
      <c r="Q236" s="221">
        <v>2.4E-2</v>
      </c>
      <c r="R236" s="221">
        <v>1.7999999999999999E-2</v>
      </c>
      <c r="S236" s="221">
        <v>1.2999999999999999E-2</v>
      </c>
      <c r="T236" s="221">
        <v>8.9999999999999993E-3</v>
      </c>
      <c r="U236" s="221">
        <v>6.0000000000000001E-3</v>
      </c>
      <c r="V236" s="221">
        <v>4.0000000000000001E-3</v>
      </c>
    </row>
    <row r="237" spans="3:45">
      <c r="E237" s="53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</row>
    <row r="238" spans="3:45">
      <c r="C238" s="45" t="s">
        <v>253</v>
      </c>
      <c r="E238" s="53" t="s">
        <v>129</v>
      </c>
      <c r="J238" s="38"/>
      <c r="K238" s="191">
        <f>INDEX($K$239:$V$241,MATCH(Scenario,$C$239:$C$241,0),1)</f>
        <v>1600</v>
      </c>
      <c r="L238" s="191">
        <f>INDEX($K$239:$V$241,MATCH(Scenario,$C$239:$C$241,0),2)</f>
        <v>1620</v>
      </c>
      <c r="M238" s="191">
        <f>INDEX($K$239:$V$241,MATCH(Scenario,$C$239:$C$241,0),3)</f>
        <v>1645</v>
      </c>
      <c r="N238" s="191">
        <f>INDEX($K$239:$V$241,MATCH(Scenario,$C$239:$C$241,0),4)</f>
        <v>1670</v>
      </c>
      <c r="O238" s="191">
        <f>INDEX($K$239:$V$241,MATCH(Scenario,$C$239:$C$241,0),5)</f>
        <v>1700</v>
      </c>
      <c r="P238" s="191">
        <f>INDEX($K$239:$V$241,MATCH(Scenario,$C$239:$C$241,0),6)</f>
        <v>1730</v>
      </c>
      <c r="Q238" s="191">
        <f>INDEX($K$239:$V$241,MATCH(Scenario,$C$239:$C$241,0),7)</f>
        <v>1760</v>
      </c>
      <c r="R238" s="191">
        <f>INDEX($K$239:$V$241,MATCH(Scenario,$C$239:$C$241,0),8)</f>
        <v>1790</v>
      </c>
      <c r="S238" s="191">
        <f>INDEX($K$239:$V$241,MATCH(Scenario,$C$239:$C$241,0),9)</f>
        <v>1820</v>
      </c>
      <c r="T238" s="191">
        <f>INDEX($K$239:$V$241,MATCH(Scenario,$C$239:$C$241,0),10)</f>
        <v>1850</v>
      </c>
      <c r="U238" s="191">
        <f>INDEX($K$239:$V$241,MATCH(Scenario,$C$239:$C$241,0),11)</f>
        <v>1880</v>
      </c>
      <c r="V238" s="191">
        <f>INDEX($K$239:$V$241,MATCH(Scenario,$C$239:$C$241,0),12)</f>
        <v>1900</v>
      </c>
    </row>
    <row r="239" spans="3:45">
      <c r="C239" s="48" t="s">
        <v>139</v>
      </c>
      <c r="E239" s="53" t="s">
        <v>129</v>
      </c>
      <c r="J239" s="38"/>
      <c r="K239" s="186">
        <v>1760</v>
      </c>
      <c r="L239" s="186">
        <v>1782</v>
      </c>
      <c r="M239" s="186">
        <v>1810</v>
      </c>
      <c r="N239" s="186">
        <v>1840</v>
      </c>
      <c r="O239" s="186">
        <v>1872</v>
      </c>
      <c r="P239" s="186">
        <v>1905</v>
      </c>
      <c r="Q239" s="186">
        <v>1940</v>
      </c>
      <c r="R239" s="186">
        <v>1976</v>
      </c>
      <c r="S239" s="186">
        <v>2012</v>
      </c>
      <c r="T239" s="186">
        <v>2048</v>
      </c>
      <c r="U239" s="186">
        <v>2085</v>
      </c>
      <c r="V239" s="186">
        <v>2120</v>
      </c>
    </row>
    <row r="240" spans="3:45">
      <c r="C240" s="48" t="s">
        <v>140</v>
      </c>
      <c r="E240" s="53" t="s">
        <v>129</v>
      </c>
      <c r="J240" s="38"/>
      <c r="K240" s="186">
        <v>1600</v>
      </c>
      <c r="L240" s="186">
        <v>1620</v>
      </c>
      <c r="M240" s="186">
        <v>1645</v>
      </c>
      <c r="N240" s="186">
        <v>1670</v>
      </c>
      <c r="O240" s="186">
        <v>1700</v>
      </c>
      <c r="P240" s="186">
        <v>1730</v>
      </c>
      <c r="Q240" s="186">
        <v>1760</v>
      </c>
      <c r="R240" s="186">
        <v>1790</v>
      </c>
      <c r="S240" s="186">
        <v>1820</v>
      </c>
      <c r="T240" s="186">
        <v>1850</v>
      </c>
      <c r="U240" s="186">
        <v>1880</v>
      </c>
      <c r="V240" s="186">
        <v>1900</v>
      </c>
    </row>
    <row r="241" spans="3:22">
      <c r="C241" s="50" t="s">
        <v>141</v>
      </c>
      <c r="E241" s="53" t="s">
        <v>129</v>
      </c>
      <c r="J241" s="38"/>
      <c r="K241" s="186">
        <v>1440</v>
      </c>
      <c r="L241" s="186">
        <v>1458</v>
      </c>
      <c r="M241" s="186">
        <v>1480</v>
      </c>
      <c r="N241" s="186">
        <v>1503</v>
      </c>
      <c r="O241" s="186">
        <v>1530</v>
      </c>
      <c r="P241" s="186">
        <v>1557</v>
      </c>
      <c r="Q241" s="186">
        <v>1584</v>
      </c>
      <c r="R241" s="186">
        <v>1611</v>
      </c>
      <c r="S241" s="186">
        <v>1638</v>
      </c>
      <c r="T241" s="186">
        <v>1665</v>
      </c>
      <c r="U241" s="186">
        <v>1692</v>
      </c>
      <c r="V241" s="186">
        <v>1710</v>
      </c>
    </row>
    <row r="242" spans="3:22">
      <c r="E242" s="53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</row>
    <row r="243" spans="3:22">
      <c r="C243" s="45" t="s">
        <v>254</v>
      </c>
      <c r="E243" s="53" t="s">
        <v>129</v>
      </c>
      <c r="J243" s="38"/>
      <c r="K243" s="191">
        <f>INDEX($K$244:$V$246,MATCH(Scenario,$C$244:$C$246,0),1)</f>
        <v>1050</v>
      </c>
      <c r="L243" s="191">
        <f>INDEX($K$244:$V$246,MATCH(Scenario,$C$244:$C$246,0),2)</f>
        <v>1068</v>
      </c>
      <c r="M243" s="191">
        <f>INDEX($K$244:$V$246,MATCH(Scenario,$C$244:$C$246,0),3)</f>
        <v>1090</v>
      </c>
      <c r="N243" s="191">
        <f>INDEX($K$244:$V$246,MATCH(Scenario,$C$244:$C$246,0),4)</f>
        <v>1112</v>
      </c>
      <c r="O243" s="191">
        <f>INDEX($K$244:$V$246,MATCH(Scenario,$C$244:$C$246,0),5)</f>
        <v>1135</v>
      </c>
      <c r="P243" s="191">
        <f>INDEX($K$244:$V$246,MATCH(Scenario,$C$244:$C$246,0),6)</f>
        <v>1158</v>
      </c>
      <c r="Q243" s="191">
        <f>INDEX($K$244:$V$246,MATCH(Scenario,$C$244:$C$246,0),7)</f>
        <v>1182</v>
      </c>
      <c r="R243" s="191">
        <f>INDEX($K$244:$V$246,MATCH(Scenario,$C$244:$C$246,0),8)</f>
        <v>1206</v>
      </c>
      <c r="S243" s="191">
        <f>INDEX($K$244:$V$246,MATCH(Scenario,$C$244:$C$246,0),9)</f>
        <v>1230</v>
      </c>
      <c r="T243" s="191">
        <f>INDEX($K$244:$V$246,MATCH(Scenario,$C$244:$C$246,0),10)</f>
        <v>1235</v>
      </c>
      <c r="U243" s="191">
        <f>INDEX($K$244:$V$246,MATCH(Scenario,$C$244:$C$246,0),11)</f>
        <v>1240</v>
      </c>
      <c r="V243" s="191">
        <f>INDEX($K$244:$V$246,MATCH(Scenario,$C$244:$C$246,0),12)</f>
        <v>1250</v>
      </c>
    </row>
    <row r="244" spans="3:22">
      <c r="C244" s="48" t="s">
        <v>139</v>
      </c>
      <c r="E244" s="53" t="s">
        <v>129</v>
      </c>
      <c r="J244" s="38"/>
      <c r="K244" s="186">
        <v>1150</v>
      </c>
      <c r="L244" s="186">
        <v>1170</v>
      </c>
      <c r="M244" s="186">
        <v>1195</v>
      </c>
      <c r="N244" s="186">
        <v>1220</v>
      </c>
      <c r="O244" s="186">
        <v>1245</v>
      </c>
      <c r="P244" s="186">
        <v>1270</v>
      </c>
      <c r="Q244" s="186">
        <v>1295</v>
      </c>
      <c r="R244" s="186">
        <v>1320</v>
      </c>
      <c r="S244" s="186">
        <v>1345</v>
      </c>
      <c r="T244" s="186">
        <v>1370</v>
      </c>
      <c r="U244" s="186">
        <v>1395</v>
      </c>
      <c r="V244" s="186">
        <v>1420</v>
      </c>
    </row>
    <row r="245" spans="3:22">
      <c r="C245" s="48" t="s">
        <v>140</v>
      </c>
      <c r="E245" s="53" t="s">
        <v>129</v>
      </c>
      <c r="J245" s="38"/>
      <c r="K245" s="186">
        <v>1050</v>
      </c>
      <c r="L245" s="186">
        <v>1068</v>
      </c>
      <c r="M245" s="186">
        <v>1090</v>
      </c>
      <c r="N245" s="186">
        <v>1112</v>
      </c>
      <c r="O245" s="186">
        <v>1135</v>
      </c>
      <c r="P245" s="186">
        <v>1158</v>
      </c>
      <c r="Q245" s="186">
        <v>1182</v>
      </c>
      <c r="R245" s="186">
        <v>1206</v>
      </c>
      <c r="S245" s="186">
        <v>1230</v>
      </c>
      <c r="T245" s="186">
        <v>1235</v>
      </c>
      <c r="U245" s="186">
        <v>1240</v>
      </c>
      <c r="V245" s="186">
        <v>1250</v>
      </c>
    </row>
    <row r="246" spans="3:22">
      <c r="C246" s="50" t="s">
        <v>141</v>
      </c>
      <c r="E246" s="53" t="s">
        <v>129</v>
      </c>
      <c r="J246" s="38"/>
      <c r="K246" s="186">
        <v>950</v>
      </c>
      <c r="L246" s="186">
        <v>965</v>
      </c>
      <c r="M246" s="186">
        <v>985</v>
      </c>
      <c r="N246" s="186">
        <v>1005</v>
      </c>
      <c r="O246" s="186">
        <v>1025</v>
      </c>
      <c r="P246" s="186">
        <v>1045</v>
      </c>
      <c r="Q246" s="186">
        <v>1065</v>
      </c>
      <c r="R246" s="186">
        <v>1085</v>
      </c>
      <c r="S246" s="186">
        <v>1105</v>
      </c>
      <c r="T246" s="186">
        <v>1110</v>
      </c>
      <c r="U246" s="186">
        <v>1115</v>
      </c>
      <c r="V246" s="186">
        <v>1125</v>
      </c>
    </row>
    <row r="247" spans="3:22">
      <c r="E247" s="53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</row>
    <row r="248" spans="3:22">
      <c r="C248" s="45" t="s">
        <v>242</v>
      </c>
      <c r="E248" s="53" t="s">
        <v>20</v>
      </c>
      <c r="J248" s="38"/>
      <c r="K248" s="191">
        <v>0</v>
      </c>
      <c r="L248" s="191">
        <f>INDEX($L$249:$V$251,MATCH(Scenario,$C$249:$C$251,0),1)</f>
        <v>90.449999999999989</v>
      </c>
      <c r="M248" s="191">
        <f>INDEX($L$249:$V$251,MATCH(Scenario,$C$249:$C$251,0),2)</f>
        <v>111.10274999999997</v>
      </c>
      <c r="N248" s="191">
        <f>INDEX($L$249:$V$251,MATCH(Scenario,$C$249:$C$251,0),3)</f>
        <v>121.80901499999995</v>
      </c>
      <c r="O248" s="191">
        <f>INDEX($L$249:$V$251,MATCH(Scenario,$C$249:$C$251,0),4)</f>
        <v>132.61956508124993</v>
      </c>
      <c r="P248" s="191">
        <f>INDEX($L$249:$V$251,MATCH(Scenario,$C$249:$C$251,0),5)</f>
        <v>143.53517543793743</v>
      </c>
      <c r="Q248" s="191">
        <f>INDEX($L$249:$V$251,MATCH(Scenario,$C$249:$C$251,0),6)</f>
        <v>154.55662640906471</v>
      </c>
      <c r="R248" s="191">
        <f>INDEX($L$249:$V$251,MATCH(Scenario,$C$249:$C$251,0),7)</f>
        <v>161.54258592275443</v>
      </c>
      <c r="S248" s="191">
        <f>INDEX($L$249:$V$251,MATCH(Scenario,$C$249:$C$251,0),8)</f>
        <v>166.51312702806993</v>
      </c>
      <c r="T248" s="191">
        <f>INDEX($L$249:$V$251,MATCH(Scenario,$C$249:$C$251,0),9)</f>
        <v>171.52933497979055</v>
      </c>
      <c r="U248" s="191">
        <f>INDEX($L$249:$V$251,MATCH(Scenario,$C$249:$C$251,0),10)</f>
        <v>176.59154218285263</v>
      </c>
      <c r="V248" s="191">
        <f>INDEX($L$249:$V$251,MATCH(Scenario,$C$249:$C$251,0),11)</f>
        <v>179.58729155916885</v>
      </c>
    </row>
    <row r="249" spans="3:22">
      <c r="C249" s="48" t="s">
        <v>139</v>
      </c>
      <c r="E249" s="53" t="s">
        <v>20</v>
      </c>
      <c r="J249" s="38"/>
      <c r="K249" s="186">
        <v>0</v>
      </c>
      <c r="L249" s="186">
        <f>L$221*L229</f>
        <v>110.54999999999998</v>
      </c>
      <c r="M249" s="186">
        <f t="shared" ref="M249:V249" si="162">M$221*M229</f>
        <v>131.30324999999996</v>
      </c>
      <c r="N249" s="186">
        <f t="shared" si="162"/>
        <v>142.11051749999996</v>
      </c>
      <c r="O249" s="186">
        <f t="shared" si="162"/>
        <v>153.02257509374991</v>
      </c>
      <c r="P249" s="186">
        <f t="shared" si="162"/>
        <v>164.04020050049988</v>
      </c>
      <c r="Q249" s="186">
        <f t="shared" si="162"/>
        <v>177.22493161572751</v>
      </c>
      <c r="R249" s="186">
        <f t="shared" si="162"/>
        <v>190.53740903709496</v>
      </c>
      <c r="S249" s="186">
        <f t="shared" si="162"/>
        <v>203.97858060938569</v>
      </c>
      <c r="T249" s="186">
        <f t="shared" si="162"/>
        <v>213.36575814559311</v>
      </c>
      <c r="U249" s="186">
        <f t="shared" si="162"/>
        <v>220.73942772856577</v>
      </c>
      <c r="V249" s="186">
        <f t="shared" si="162"/>
        <v>232.4070831942185</v>
      </c>
    </row>
    <row r="250" spans="3:22">
      <c r="C250" s="48" t="s">
        <v>140</v>
      </c>
      <c r="E250" s="53" t="s">
        <v>20</v>
      </c>
      <c r="J250" s="38"/>
      <c r="K250" s="186">
        <v>0</v>
      </c>
      <c r="L250" s="186">
        <f t="shared" ref="L250:V251" si="163">L$221*L230</f>
        <v>90.449999999999989</v>
      </c>
      <c r="M250" s="186">
        <f t="shared" si="163"/>
        <v>111.10274999999997</v>
      </c>
      <c r="N250" s="186">
        <f t="shared" si="163"/>
        <v>121.80901499999995</v>
      </c>
      <c r="O250" s="186">
        <f t="shared" si="163"/>
        <v>132.61956508124993</v>
      </c>
      <c r="P250" s="186">
        <f t="shared" si="163"/>
        <v>143.53517543793743</v>
      </c>
      <c r="Q250" s="186">
        <f t="shared" si="163"/>
        <v>154.55662640906471</v>
      </c>
      <c r="R250" s="186">
        <f t="shared" si="163"/>
        <v>161.54258592275443</v>
      </c>
      <c r="S250" s="186">
        <f t="shared" si="163"/>
        <v>166.51312702806993</v>
      </c>
      <c r="T250" s="186">
        <f t="shared" si="163"/>
        <v>171.52933497979055</v>
      </c>
      <c r="U250" s="186">
        <f t="shared" si="163"/>
        <v>176.59154218285263</v>
      </c>
      <c r="V250" s="186">
        <f t="shared" si="163"/>
        <v>179.58729155916885</v>
      </c>
    </row>
    <row r="251" spans="3:22">
      <c r="C251" s="50" t="s">
        <v>141</v>
      </c>
      <c r="E251" s="53" t="s">
        <v>20</v>
      </c>
      <c r="J251" s="38"/>
      <c r="K251" s="186">
        <v>0</v>
      </c>
      <c r="L251" s="186">
        <f t="shared" si="163"/>
        <v>40.199999999999996</v>
      </c>
      <c r="M251" s="186">
        <f t="shared" si="163"/>
        <v>60.60149999999998</v>
      </c>
      <c r="N251" s="186">
        <f t="shared" si="163"/>
        <v>77.145709499999967</v>
      </c>
      <c r="O251" s="186">
        <f t="shared" si="163"/>
        <v>91.81354505624995</v>
      </c>
      <c r="P251" s="186">
        <f t="shared" si="163"/>
        <v>102.52512531281243</v>
      </c>
      <c r="Q251" s="186">
        <f t="shared" si="163"/>
        <v>109.22001599573906</v>
      </c>
      <c r="R251" s="186">
        <f t="shared" si="163"/>
        <v>115.97929245736215</v>
      </c>
      <c r="S251" s="186">
        <f t="shared" si="163"/>
        <v>120.72201709535071</v>
      </c>
      <c r="T251" s="186">
        <f t="shared" si="163"/>
        <v>125.50926949740771</v>
      </c>
      <c r="U251" s="186">
        <f t="shared" si="163"/>
        <v>128.2390961089763</v>
      </c>
      <c r="V251" s="186">
        <f t="shared" si="163"/>
        <v>130.99308325492316</v>
      </c>
    </row>
    <row r="252" spans="3:22">
      <c r="E252" s="53"/>
    </row>
    <row r="253" spans="3:22">
      <c r="C253" s="45" t="s">
        <v>243</v>
      </c>
      <c r="E253" s="53" t="s">
        <v>20</v>
      </c>
      <c r="J253" s="38"/>
      <c r="K253" s="191">
        <v>0</v>
      </c>
      <c r="L253" s="191">
        <f>INDEX($L$254:$V$256,MATCH(Scenario,$C$254:$C$256,0),1)</f>
        <v>104.51999999999998</v>
      </c>
      <c r="M253" s="191">
        <f>INDEX($L$254:$V$256,MATCH(Scenario,$C$254:$C$256,0),2)</f>
        <v>165.64409999999995</v>
      </c>
      <c r="N253" s="191">
        <f>INDEX($L$254:$V$256,MATCH(Scenario,$C$254:$C$256,0),3)</f>
        <v>198.95472449999994</v>
      </c>
      <c r="O253" s="191">
        <f>INDEX($L$254:$V$256,MATCH(Scenario,$C$254:$C$256,0),4)</f>
        <v>199.9494981224999</v>
      </c>
      <c r="P253" s="191">
        <f>INDEX($L$254:$V$256,MATCH(Scenario,$C$254:$C$256,0),5)</f>
        <v>168.14120551301238</v>
      </c>
      <c r="Q253" s="191">
        <f>INDEX($L$254:$V$256,MATCH(Scenario,$C$254:$C$256,0),6)</f>
        <v>140.13134127755202</v>
      </c>
      <c r="R253" s="191">
        <f>INDEX($L$254:$V$256,MATCH(Scenario,$C$254:$C$256,0),7)</f>
        <v>107.69505728183627</v>
      </c>
      <c r="S253" s="191">
        <f>INDEX($L$254:$V$256,MATCH(Scenario,$C$254:$C$256,0),8)</f>
        <v>87.419391689736727</v>
      </c>
      <c r="T253" s="191">
        <f>INDEX($L$254:$V$256,MATCH(Scenario,$C$254:$C$256,0),9)</f>
        <v>62.754634748703857</v>
      </c>
      <c r="U253" s="191">
        <f>INDEX($L$254:$V$256,MATCH(Scenario,$C$254:$C$256,0),10)</f>
        <v>46.250165809794737</v>
      </c>
      <c r="V253" s="191">
        <f>INDEX($L$254:$V$256,MATCH(Scenario,$C$254:$C$256,0),11)</f>
        <v>31.691874981029795</v>
      </c>
    </row>
    <row r="254" spans="3:22">
      <c r="C254" s="48" t="s">
        <v>139</v>
      </c>
      <c r="E254" s="53" t="s">
        <v>20</v>
      </c>
      <c r="J254" s="38"/>
      <c r="K254" s="186">
        <v>0</v>
      </c>
      <c r="L254" s="186">
        <f>L$225*L234</f>
        <v>140.69999999999999</v>
      </c>
      <c r="M254" s="186">
        <f t="shared" ref="M254:V254" si="164">M$225*M234</f>
        <v>202.00499999999997</v>
      </c>
      <c r="N254" s="186">
        <f t="shared" si="164"/>
        <v>235.49742899999993</v>
      </c>
      <c r="O254" s="186">
        <f t="shared" si="164"/>
        <v>236.67491614499988</v>
      </c>
      <c r="P254" s="186">
        <f t="shared" si="164"/>
        <v>205.05025062562487</v>
      </c>
      <c r="Q254" s="186">
        <f t="shared" si="164"/>
        <v>173.10342157815248</v>
      </c>
      <c r="R254" s="186">
        <f t="shared" si="164"/>
        <v>140.83199798393977</v>
      </c>
      <c r="S254" s="186">
        <f t="shared" si="164"/>
        <v>112.39636074394721</v>
      </c>
      <c r="T254" s="186">
        <f t="shared" si="164"/>
        <v>83.672846331605143</v>
      </c>
      <c r="U254" s="186">
        <f t="shared" si="164"/>
        <v>63.068407922447363</v>
      </c>
      <c r="V254" s="186">
        <f t="shared" si="164"/>
        <v>46.481416638843697</v>
      </c>
    </row>
    <row r="255" spans="3:22">
      <c r="C255" s="48" t="s">
        <v>140</v>
      </c>
      <c r="E255" s="53" t="s">
        <v>20</v>
      </c>
      <c r="J255" s="38"/>
      <c r="K255" s="186">
        <v>0</v>
      </c>
      <c r="L255" s="186">
        <f t="shared" ref="L255:L256" si="165">L$225*L235</f>
        <v>104.51999999999998</v>
      </c>
      <c r="M255" s="186">
        <f t="shared" ref="M255:V255" si="166">M$225*M235</f>
        <v>165.64409999999995</v>
      </c>
      <c r="N255" s="186">
        <f t="shared" si="166"/>
        <v>198.95472449999994</v>
      </c>
      <c r="O255" s="186">
        <f t="shared" si="166"/>
        <v>199.9494981224999</v>
      </c>
      <c r="P255" s="186">
        <f t="shared" si="166"/>
        <v>168.14120551301238</v>
      </c>
      <c r="Q255" s="186">
        <f t="shared" si="166"/>
        <v>140.13134127755202</v>
      </c>
      <c r="R255" s="186">
        <f t="shared" si="166"/>
        <v>107.69505728183627</v>
      </c>
      <c r="S255" s="186">
        <f t="shared" si="166"/>
        <v>87.419391689736727</v>
      </c>
      <c r="T255" s="186">
        <f t="shared" si="166"/>
        <v>62.754634748703857</v>
      </c>
      <c r="U255" s="186">
        <f t="shared" si="166"/>
        <v>46.250165809794737</v>
      </c>
      <c r="V255" s="186">
        <f t="shared" si="166"/>
        <v>31.691874981029795</v>
      </c>
    </row>
    <row r="256" spans="3:22">
      <c r="C256" s="50" t="s">
        <v>141</v>
      </c>
      <c r="E256" s="53" t="s">
        <v>20</v>
      </c>
      <c r="J256" s="38"/>
      <c r="K256" s="186">
        <v>0</v>
      </c>
      <c r="L256" s="186">
        <f t="shared" si="165"/>
        <v>60.29999999999999</v>
      </c>
      <c r="M256" s="186">
        <f t="shared" ref="M256:V256" si="167">M$225*M236</f>
        <v>113.12279999999997</v>
      </c>
      <c r="N256" s="186">
        <f t="shared" si="167"/>
        <v>146.17081799999994</v>
      </c>
      <c r="O256" s="186">
        <f t="shared" si="167"/>
        <v>146.90167208999992</v>
      </c>
      <c r="P256" s="186">
        <f t="shared" si="167"/>
        <v>123.03015037537492</v>
      </c>
      <c r="Q256" s="186">
        <f t="shared" si="167"/>
        <v>98.916240901801416</v>
      </c>
      <c r="R256" s="186">
        <f t="shared" si="167"/>
        <v>74.558116579732811</v>
      </c>
      <c r="S256" s="186">
        <f t="shared" si="167"/>
        <v>54.116766284122725</v>
      </c>
      <c r="T256" s="186">
        <f t="shared" si="167"/>
        <v>37.65278084922231</v>
      </c>
      <c r="U256" s="186">
        <f t="shared" si="167"/>
        <v>25.227363168978947</v>
      </c>
      <c r="V256" s="186">
        <f t="shared" si="167"/>
        <v>16.902333323215892</v>
      </c>
    </row>
    <row r="257" spans="2:31">
      <c r="E257" s="53"/>
    </row>
    <row r="258" spans="2:31">
      <c r="C258" s="51" t="s">
        <v>255</v>
      </c>
      <c r="E258" s="53" t="s">
        <v>129</v>
      </c>
      <c r="J258" s="38"/>
      <c r="K258" s="186">
        <f>K238*K248</f>
        <v>0</v>
      </c>
      <c r="L258" s="186">
        <f t="shared" ref="L258:V258" si="168">L238*L248</f>
        <v>146528.99999999997</v>
      </c>
      <c r="M258" s="186">
        <f t="shared" si="168"/>
        <v>182764.02374999996</v>
      </c>
      <c r="N258" s="186">
        <f t="shared" si="168"/>
        <v>203421.05504999991</v>
      </c>
      <c r="O258" s="186">
        <f t="shared" si="168"/>
        <v>225453.26063812489</v>
      </c>
      <c r="P258" s="186">
        <f t="shared" si="168"/>
        <v>248315.85350763175</v>
      </c>
      <c r="Q258" s="186">
        <f t="shared" si="168"/>
        <v>272019.6624799539</v>
      </c>
      <c r="R258" s="186">
        <f t="shared" si="168"/>
        <v>289161.22880173044</v>
      </c>
      <c r="S258" s="186">
        <f t="shared" si="168"/>
        <v>303053.89119108726</v>
      </c>
      <c r="T258" s="186">
        <f t="shared" si="168"/>
        <v>317329.2697126125</v>
      </c>
      <c r="U258" s="186">
        <f t="shared" si="168"/>
        <v>331992.09930376295</v>
      </c>
      <c r="V258" s="186">
        <f t="shared" si="168"/>
        <v>341215.85396242084</v>
      </c>
    </row>
    <row r="259" spans="2:31">
      <c r="C259" s="56" t="s">
        <v>256</v>
      </c>
      <c r="E259" s="53" t="s">
        <v>129</v>
      </c>
      <c r="J259" s="38"/>
      <c r="K259" s="83">
        <f>K253*K243</f>
        <v>0</v>
      </c>
      <c r="L259" s="83">
        <f t="shared" ref="L259:V259" si="169">L253*L243</f>
        <v>111627.35999999999</v>
      </c>
      <c r="M259" s="83">
        <f t="shared" si="169"/>
        <v>180552.06899999996</v>
      </c>
      <c r="N259" s="83">
        <f t="shared" si="169"/>
        <v>221237.65364399995</v>
      </c>
      <c r="O259" s="83">
        <f t="shared" si="169"/>
        <v>226942.68036903738</v>
      </c>
      <c r="P259" s="83">
        <f t="shared" si="169"/>
        <v>194707.51598406833</v>
      </c>
      <c r="Q259" s="83">
        <f t="shared" si="169"/>
        <v>165635.2453900665</v>
      </c>
      <c r="R259" s="83">
        <f t="shared" si="169"/>
        <v>129880.23908189454</v>
      </c>
      <c r="S259" s="83">
        <f t="shared" si="169"/>
        <v>107525.85177837618</v>
      </c>
      <c r="T259" s="83">
        <f t="shared" si="169"/>
        <v>77501.973914649265</v>
      </c>
      <c r="U259" s="83">
        <f t="shared" si="169"/>
        <v>57350.205604145471</v>
      </c>
      <c r="V259" s="83">
        <f t="shared" si="169"/>
        <v>39614.843726287247</v>
      </c>
    </row>
    <row r="260" spans="2:31">
      <c r="C260" s="64" t="s">
        <v>257</v>
      </c>
      <c r="E260" s="53" t="s">
        <v>129</v>
      </c>
      <c r="J260" s="38"/>
      <c r="K260" s="174">
        <v>0</v>
      </c>
      <c r="L260" s="174">
        <f>SUM(L258:L259)</f>
        <v>258156.35999999996</v>
      </c>
      <c r="M260" s="174">
        <f t="shared" ref="M260:V260" si="170">SUM(M258:M259)</f>
        <v>363316.09274999995</v>
      </c>
      <c r="N260" s="174">
        <f t="shared" si="170"/>
        <v>424658.70869399986</v>
      </c>
      <c r="O260" s="174">
        <f t="shared" si="170"/>
        <v>452395.94100716227</v>
      </c>
      <c r="P260" s="174">
        <f t="shared" si="170"/>
        <v>443023.36949170008</v>
      </c>
      <c r="Q260" s="174">
        <f t="shared" si="170"/>
        <v>437654.90787002037</v>
      </c>
      <c r="R260" s="174">
        <f t="shared" si="170"/>
        <v>419041.46788362495</v>
      </c>
      <c r="S260" s="174">
        <f t="shared" si="170"/>
        <v>410579.74296946346</v>
      </c>
      <c r="T260" s="174">
        <f t="shared" si="170"/>
        <v>394831.24362726178</v>
      </c>
      <c r="U260" s="174">
        <f t="shared" si="170"/>
        <v>389342.30490790843</v>
      </c>
      <c r="V260" s="174">
        <f t="shared" si="170"/>
        <v>380830.69768870808</v>
      </c>
    </row>
    <row r="261" spans="2:31">
      <c r="C261" s="50" t="s">
        <v>131</v>
      </c>
      <c r="E261" s="53" t="s">
        <v>15</v>
      </c>
      <c r="M261" s="219">
        <f>M260/L260-1</f>
        <v>0.4073489909371204</v>
      </c>
      <c r="N261" s="219">
        <f t="shared" ref="N261:V261" si="171">N260/M260-1</f>
        <v>0.16884089961357729</v>
      </c>
      <c r="O261" s="219">
        <f t="shared" si="171"/>
        <v>6.5316527708723537E-2</v>
      </c>
      <c r="P261" s="219">
        <f t="shared" si="171"/>
        <v>-2.071762954945211E-2</v>
      </c>
      <c r="Q261" s="219">
        <f t="shared" si="171"/>
        <v>-1.2117784278150356E-2</v>
      </c>
      <c r="R261" s="219">
        <f t="shared" si="171"/>
        <v>-4.2529946886654013E-2</v>
      </c>
      <c r="S261" s="219">
        <f t="shared" si="171"/>
        <v>-2.0193049048099154E-2</v>
      </c>
      <c r="T261" s="219">
        <f t="shared" si="171"/>
        <v>-3.8356737301024069E-2</v>
      </c>
      <c r="U261" s="219">
        <f t="shared" si="171"/>
        <v>-1.3901986754967011E-2</v>
      </c>
      <c r="V261" s="219">
        <f t="shared" si="171"/>
        <v>-2.1861501079913803E-2</v>
      </c>
    </row>
    <row r="262" spans="2:31">
      <c r="E262" s="53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</row>
    <row r="263" spans="2:31">
      <c r="C263" s="56" t="s">
        <v>258</v>
      </c>
      <c r="E263" s="53" t="s">
        <v>129</v>
      </c>
      <c r="F263" s="201">
        <v>0.04</v>
      </c>
      <c r="J263" s="38"/>
      <c r="K263" s="83">
        <v>0</v>
      </c>
      <c r="L263" s="83">
        <v>2760</v>
      </c>
      <c r="M263" s="83">
        <v>11349</v>
      </c>
      <c r="N263" s="83">
        <v>23268</v>
      </c>
      <c r="O263" s="83">
        <v>35594</v>
      </c>
      <c r="P263" s="83">
        <v>42702</v>
      </c>
      <c r="Q263" s="83">
        <v>43535</v>
      </c>
      <c r="R263" s="83">
        <v>38180</v>
      </c>
      <c r="S263" s="83">
        <v>32490</v>
      </c>
      <c r="T263" s="83">
        <v>26510</v>
      </c>
      <c r="U263" s="83">
        <v>20394</v>
      </c>
      <c r="V263" s="83">
        <v>13710</v>
      </c>
    </row>
    <row r="264" spans="2:31">
      <c r="C264" s="64" t="s">
        <v>205</v>
      </c>
      <c r="E264" s="190" t="s">
        <v>129</v>
      </c>
      <c r="J264" s="38"/>
      <c r="K264" s="174">
        <v>0</v>
      </c>
      <c r="L264" s="174">
        <v>24840</v>
      </c>
      <c r="M264" s="174">
        <v>102141</v>
      </c>
      <c r="N264" s="174">
        <v>209413</v>
      </c>
      <c r="O264" s="174">
        <v>320351</v>
      </c>
      <c r="P264" s="174">
        <v>384322</v>
      </c>
      <c r="Q264" s="174">
        <v>391813</v>
      </c>
      <c r="R264" s="174">
        <v>343620</v>
      </c>
      <c r="S264" s="174">
        <v>292412</v>
      </c>
      <c r="T264" s="174">
        <v>238594</v>
      </c>
      <c r="U264" s="174">
        <v>183541</v>
      </c>
      <c r="V264" s="174">
        <v>123386</v>
      </c>
    </row>
    <row r="265" spans="2:31">
      <c r="E265" s="53"/>
    </row>
    <row r="266" spans="2:31">
      <c r="B266" s="60" t="s">
        <v>268</v>
      </c>
      <c r="C266" s="26"/>
      <c r="D266" s="26"/>
      <c r="E266" s="216"/>
      <c r="F266" s="26"/>
      <c r="G266" s="180"/>
      <c r="H266" s="180"/>
      <c r="I266" s="180"/>
      <c r="J266" s="180"/>
      <c r="K266" s="181"/>
      <c r="L266" s="26"/>
      <c r="M266" s="26"/>
      <c r="N266" s="26"/>
      <c r="O266" s="26"/>
      <c r="P266" s="26"/>
      <c r="Q266" s="214" t="s">
        <v>299</v>
      </c>
      <c r="R266" s="26"/>
      <c r="S266" s="26"/>
      <c r="T266" s="26"/>
      <c r="U266" s="209" t="s">
        <v>266</v>
      </c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spans="2:31">
      <c r="E267" s="53"/>
    </row>
    <row r="268" spans="2:31">
      <c r="C268" s="64" t="s">
        <v>134</v>
      </c>
      <c r="E268" s="53"/>
    </row>
    <row r="269" spans="2:31">
      <c r="C269" s="51" t="s">
        <v>259</v>
      </c>
      <c r="E269" s="35" t="s">
        <v>20</v>
      </c>
      <c r="L269" s="186">
        <v>1000</v>
      </c>
      <c r="M269" s="186">
        <v>1005</v>
      </c>
      <c r="N269" s="186">
        <v>1010</v>
      </c>
      <c r="O269" s="186">
        <v>1015</v>
      </c>
      <c r="P269" s="186">
        <v>1020</v>
      </c>
      <c r="Q269" s="186">
        <v>1025</v>
      </c>
      <c r="R269" s="186">
        <v>1031</v>
      </c>
      <c r="S269" s="186">
        <v>1036</v>
      </c>
      <c r="T269" s="186">
        <v>1041</v>
      </c>
      <c r="U269" s="186">
        <v>1046</v>
      </c>
      <c r="V269" s="186">
        <v>1051</v>
      </c>
      <c r="W269" s="186">
        <v>1057</v>
      </c>
      <c r="X269" s="186">
        <v>1062</v>
      </c>
    </row>
    <row r="270" spans="2:31">
      <c r="C270" s="50" t="s">
        <v>131</v>
      </c>
      <c r="E270" s="35" t="s">
        <v>15</v>
      </c>
      <c r="L270" s="221">
        <v>5.0000000000000001E-3</v>
      </c>
      <c r="M270" s="221">
        <v>5.0000000000000001E-3</v>
      </c>
      <c r="N270" s="221">
        <v>5.0000000000000001E-3</v>
      </c>
      <c r="O270" s="221">
        <v>5.0000000000000001E-3</v>
      </c>
      <c r="P270" s="221">
        <v>5.0000000000000001E-3</v>
      </c>
      <c r="Q270" s="221">
        <v>5.0000000000000001E-3</v>
      </c>
      <c r="R270" s="221">
        <v>5.0000000000000001E-3</v>
      </c>
      <c r="S270" s="221">
        <v>5.0000000000000001E-3</v>
      </c>
      <c r="T270" s="221">
        <v>5.0000000000000001E-3</v>
      </c>
      <c r="U270" s="221">
        <v>5.0000000000000001E-3</v>
      </c>
      <c r="V270" s="221">
        <v>5.0000000000000001E-3</v>
      </c>
      <c r="W270" s="221">
        <v>5.0000000000000001E-3</v>
      </c>
      <c r="X270" s="221">
        <v>5.0000000000000001E-3</v>
      </c>
    </row>
    <row r="271" spans="2:31">
      <c r="E271" s="35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</row>
    <row r="272" spans="2:31">
      <c r="C272" s="64" t="s">
        <v>224</v>
      </c>
      <c r="E272" s="35"/>
    </row>
    <row r="273" spans="3:45">
      <c r="C273" s="51" t="s">
        <v>260</v>
      </c>
      <c r="E273" s="35" t="s">
        <v>20</v>
      </c>
      <c r="L273" s="186">
        <v>2200</v>
      </c>
      <c r="M273" s="186">
        <v>2211</v>
      </c>
      <c r="N273" s="186">
        <v>2222</v>
      </c>
      <c r="O273" s="186">
        <v>2233</v>
      </c>
      <c r="P273" s="186">
        <v>2244</v>
      </c>
      <c r="Q273" s="186">
        <v>2256</v>
      </c>
      <c r="R273" s="186">
        <v>2267</v>
      </c>
      <c r="S273" s="186">
        <v>2279</v>
      </c>
      <c r="T273" s="186">
        <v>2290</v>
      </c>
      <c r="U273" s="186">
        <v>2302</v>
      </c>
      <c r="V273" s="186">
        <v>2314</v>
      </c>
      <c r="W273" s="186">
        <v>2326</v>
      </c>
      <c r="X273" s="186">
        <v>2338</v>
      </c>
    </row>
    <row r="274" spans="3:45">
      <c r="C274" s="50" t="s">
        <v>131</v>
      </c>
      <c r="E274" s="35" t="s">
        <v>15</v>
      </c>
      <c r="L274" s="221">
        <v>5.0000000000000001E-3</v>
      </c>
      <c r="M274" s="221">
        <v>5.0000000000000001E-3</v>
      </c>
      <c r="N274" s="221">
        <v>5.0000000000000001E-3</v>
      </c>
      <c r="O274" s="221">
        <v>5.0000000000000001E-3</v>
      </c>
      <c r="P274" s="221">
        <v>5.0000000000000001E-3</v>
      </c>
      <c r="Q274" s="221">
        <v>5.0000000000000001E-3</v>
      </c>
      <c r="R274" s="221">
        <v>5.0000000000000001E-3</v>
      </c>
      <c r="S274" s="221">
        <v>5.0000000000000001E-3</v>
      </c>
      <c r="T274" s="221">
        <v>5.0000000000000001E-3</v>
      </c>
      <c r="U274" s="221">
        <v>5.0000000000000001E-3</v>
      </c>
      <c r="V274" s="221">
        <v>5.0000000000000001E-3</v>
      </c>
      <c r="W274" s="221">
        <v>5.0000000000000001E-3</v>
      </c>
      <c r="X274" s="221">
        <v>5.0000000000000001E-3</v>
      </c>
    </row>
    <row r="275" spans="3:45">
      <c r="E275" s="35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</row>
    <row r="276" spans="3:45">
      <c r="C276" s="45" t="s">
        <v>264</v>
      </c>
      <c r="E276" s="35" t="s">
        <v>15</v>
      </c>
      <c r="G276" s="167"/>
      <c r="H276" s="167"/>
      <c r="I276" s="167"/>
      <c r="J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</row>
    <row r="277" spans="3:45">
      <c r="C277" s="48" t="s">
        <v>139</v>
      </c>
      <c r="E277" s="35" t="s">
        <v>15</v>
      </c>
      <c r="G277" s="167"/>
      <c r="H277" s="167"/>
      <c r="I277" s="167"/>
      <c r="J277" s="167"/>
      <c r="L277" s="221">
        <v>2.3E-2</v>
      </c>
      <c r="M277" s="221">
        <v>3.5000000000000003E-2</v>
      </c>
      <c r="N277" s="221">
        <v>5.2999999999999999E-2</v>
      </c>
      <c r="O277" s="221">
        <v>7.0000000000000007E-2</v>
      </c>
      <c r="P277" s="221">
        <v>0.08</v>
      </c>
      <c r="Q277" s="221">
        <v>0.08</v>
      </c>
      <c r="R277" s="221">
        <v>7.4999999999999997E-2</v>
      </c>
      <c r="S277" s="221">
        <v>6.5000000000000002E-2</v>
      </c>
      <c r="T277" s="221">
        <v>5.5E-2</v>
      </c>
      <c r="U277" s="221">
        <v>4.2999999999999997E-2</v>
      </c>
      <c r="V277" s="221">
        <v>3.5000000000000003E-2</v>
      </c>
      <c r="W277" s="221">
        <v>0.03</v>
      </c>
      <c r="X277" s="221">
        <v>2.5000000000000001E-2</v>
      </c>
    </row>
    <row r="278" spans="3:45">
      <c r="C278" s="48" t="s">
        <v>140</v>
      </c>
      <c r="E278" s="35" t="s">
        <v>15</v>
      </c>
      <c r="G278" s="167"/>
      <c r="H278" s="167"/>
      <c r="I278" s="167"/>
      <c r="J278" s="167"/>
      <c r="L278" s="221">
        <v>8.0000000000000002E-3</v>
      </c>
      <c r="M278" s="221">
        <v>0.02</v>
      </c>
      <c r="N278" s="221">
        <v>3.7999999999999999E-2</v>
      </c>
      <c r="O278" s="221">
        <v>5.5E-2</v>
      </c>
      <c r="P278" s="221">
        <v>6.5000000000000002E-2</v>
      </c>
      <c r="Q278" s="221">
        <v>6.5000000000000002E-2</v>
      </c>
      <c r="R278" s="221">
        <v>0.06</v>
      </c>
      <c r="S278" s="221">
        <v>0.05</v>
      </c>
      <c r="T278" s="221">
        <v>0.04</v>
      </c>
      <c r="U278" s="221">
        <v>2.8000000000000001E-2</v>
      </c>
      <c r="V278" s="221">
        <v>0.02</v>
      </c>
      <c r="W278" s="221">
        <v>1.4999999999999999E-2</v>
      </c>
      <c r="X278" s="221">
        <v>0.01</v>
      </c>
      <c r="AA278" s="167"/>
      <c r="AB278" s="167"/>
    </row>
    <row r="279" spans="3:45">
      <c r="C279" s="50" t="s">
        <v>141</v>
      </c>
      <c r="E279" s="35" t="s">
        <v>15</v>
      </c>
      <c r="G279" s="167"/>
      <c r="H279" s="167"/>
      <c r="I279" s="167"/>
      <c r="J279" s="167"/>
      <c r="L279" s="221">
        <v>0</v>
      </c>
      <c r="M279" s="221">
        <v>0.01</v>
      </c>
      <c r="N279" s="221">
        <v>2.8000000000000001E-2</v>
      </c>
      <c r="O279" s="221">
        <v>4.4999999999999998E-2</v>
      </c>
      <c r="P279" s="221">
        <v>5.5E-2</v>
      </c>
      <c r="Q279" s="221">
        <v>5.5E-2</v>
      </c>
      <c r="R279" s="221">
        <v>0.05</v>
      </c>
      <c r="S279" s="221">
        <v>0.04</v>
      </c>
      <c r="T279" s="221">
        <v>0.03</v>
      </c>
      <c r="U279" s="221">
        <v>1.7999999999999999E-2</v>
      </c>
      <c r="V279" s="221">
        <v>0.01</v>
      </c>
      <c r="W279" s="221">
        <v>5.0000000000000001E-3</v>
      </c>
      <c r="X279" s="221">
        <v>0</v>
      </c>
      <c r="AA279" s="167"/>
      <c r="AB279" s="167"/>
    </row>
    <row r="280" spans="3:45">
      <c r="E280" s="35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AA280" s="167"/>
      <c r="AB280" s="167"/>
    </row>
    <row r="281" spans="3:45">
      <c r="C281" s="45" t="s">
        <v>265</v>
      </c>
      <c r="E281" s="35"/>
      <c r="G281" s="167"/>
      <c r="H281" s="167"/>
      <c r="I281" s="167"/>
      <c r="J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AA281" s="167"/>
      <c r="AB281" s="167"/>
    </row>
    <row r="282" spans="3:45">
      <c r="C282" s="48" t="s">
        <v>139</v>
      </c>
      <c r="E282" s="35"/>
      <c r="G282" s="167"/>
      <c r="H282" s="167"/>
      <c r="I282" s="167"/>
      <c r="J282" s="167"/>
      <c r="L282" s="221">
        <v>1.2999999999999999E-2</v>
      </c>
      <c r="M282" s="221">
        <v>2.1999999999999999E-2</v>
      </c>
      <c r="N282" s="221">
        <v>3.5000000000000003E-2</v>
      </c>
      <c r="O282" s="221">
        <v>4.8000000000000001E-2</v>
      </c>
      <c r="P282" s="221">
        <v>5.8000000000000003E-2</v>
      </c>
      <c r="Q282" s="221">
        <v>5.8000000000000003E-2</v>
      </c>
      <c r="R282" s="221">
        <v>5.2999999999999999E-2</v>
      </c>
      <c r="S282" s="221">
        <v>4.2999999999999997E-2</v>
      </c>
      <c r="T282" s="221">
        <v>3.5000000000000003E-2</v>
      </c>
      <c r="U282" s="221">
        <v>2.7E-2</v>
      </c>
      <c r="V282" s="221">
        <v>2.1999999999999999E-2</v>
      </c>
      <c r="W282" s="221">
        <v>1.7999999999999999E-2</v>
      </c>
      <c r="X282" s="221">
        <v>1.6E-2</v>
      </c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</row>
    <row r="283" spans="3:45">
      <c r="C283" s="48" t="s">
        <v>140</v>
      </c>
      <c r="E283" s="35"/>
      <c r="G283" s="167"/>
      <c r="H283" s="167"/>
      <c r="I283" s="167"/>
      <c r="J283" s="167"/>
      <c r="L283" s="221">
        <v>3.0000000000000001E-3</v>
      </c>
      <c r="M283" s="221">
        <v>1.2E-2</v>
      </c>
      <c r="N283" s="221">
        <v>2.5000000000000001E-2</v>
      </c>
      <c r="O283" s="221">
        <v>3.7999999999999999E-2</v>
      </c>
      <c r="P283" s="221">
        <v>4.8000000000000001E-2</v>
      </c>
      <c r="Q283" s="221">
        <v>4.8000000000000001E-2</v>
      </c>
      <c r="R283" s="221">
        <v>4.2999999999999997E-2</v>
      </c>
      <c r="S283" s="221">
        <v>3.3000000000000002E-2</v>
      </c>
      <c r="T283" s="221">
        <v>2.5000000000000001E-2</v>
      </c>
      <c r="U283" s="221">
        <v>1.7000000000000001E-2</v>
      </c>
      <c r="V283" s="221">
        <v>1.2E-2</v>
      </c>
      <c r="W283" s="221">
        <v>8.0000000000000002E-3</v>
      </c>
      <c r="X283" s="221">
        <v>6.0000000000000001E-3</v>
      </c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</row>
    <row r="284" spans="3:45">
      <c r="C284" s="50" t="s">
        <v>141</v>
      </c>
      <c r="E284" s="35"/>
      <c r="G284" s="167"/>
      <c r="H284" s="167"/>
      <c r="I284" s="167"/>
      <c r="J284" s="167"/>
      <c r="L284" s="221">
        <v>0</v>
      </c>
      <c r="M284" s="221">
        <v>4.0000000000000001E-3</v>
      </c>
      <c r="N284" s="221">
        <v>1.7000000000000001E-2</v>
      </c>
      <c r="O284" s="221">
        <v>0.03</v>
      </c>
      <c r="P284" s="221">
        <v>0.04</v>
      </c>
      <c r="Q284" s="221">
        <v>0.04</v>
      </c>
      <c r="R284" s="221">
        <v>3.5000000000000003E-2</v>
      </c>
      <c r="S284" s="221">
        <v>2.5000000000000001E-2</v>
      </c>
      <c r="T284" s="221">
        <v>1.7000000000000001E-2</v>
      </c>
      <c r="U284" s="221">
        <v>8.9999999999999993E-3</v>
      </c>
      <c r="V284" s="221">
        <v>4.0000000000000001E-3</v>
      </c>
      <c r="W284" s="221">
        <v>0</v>
      </c>
      <c r="X284" s="221">
        <v>0</v>
      </c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</row>
    <row r="285" spans="3:45">
      <c r="E285" s="35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</row>
    <row r="286" spans="3:45">
      <c r="C286" s="45" t="s">
        <v>253</v>
      </c>
      <c r="E286" s="35" t="s">
        <v>129</v>
      </c>
      <c r="L286" s="191">
        <f>INDEX($L$287:$X$289,MATCH(Scenario,$C$287:$C$289,0),1)</f>
        <v>1650</v>
      </c>
      <c r="M286" s="191">
        <f>INDEX($L$287:$X$289,MATCH(Scenario,$C$287:$C$289,0),2)</f>
        <v>1675</v>
      </c>
      <c r="N286" s="191">
        <f>INDEX($L$287:$X$289,MATCH(Scenario,$C$287:$C$289,0),3)</f>
        <v>1700</v>
      </c>
      <c r="O286" s="191">
        <f>INDEX($L$287:$X$289,MATCH(Scenario,$C$287:$C$289,0),4)</f>
        <v>1734</v>
      </c>
      <c r="P286" s="191">
        <f>INDEX($L$287:$X$289,MATCH(Scenario,$C$287:$C$289,0),5)</f>
        <v>1769</v>
      </c>
      <c r="Q286" s="191">
        <f>INDEX($L$287:$X$289,MATCH(Scenario,$C$287:$C$289,0),6)</f>
        <v>1804</v>
      </c>
      <c r="R286" s="191">
        <f>INDEX($L$287:$X$289,MATCH(Scenario,$C$287:$C$289,0),7)</f>
        <v>1840</v>
      </c>
      <c r="S286" s="191">
        <f>INDEX($L$287:$X$289,MATCH(Scenario,$C$287:$C$289,0),8)</f>
        <v>1877</v>
      </c>
      <c r="T286" s="191">
        <f>INDEX($L$287:$X$289,MATCH(Scenario,$C$287:$C$289,0),9)</f>
        <v>1914</v>
      </c>
      <c r="U286" s="191">
        <f>INDEX($L$287:$X$289,MATCH(Scenario,$C$287:$C$289,0),10)</f>
        <v>1952</v>
      </c>
      <c r="V286" s="191">
        <f>INDEX($L$287:$X$289,MATCH(Scenario,$C$287:$C$289,0),11)</f>
        <v>1991</v>
      </c>
      <c r="W286" s="191">
        <f>INDEX($L$287:$X$289,MATCH(Scenario,$C$287:$C$289,0),12)</f>
        <v>2031</v>
      </c>
      <c r="X286" s="191">
        <f>INDEX($L$287:$X$289,MATCH(Scenario,$C$287:$C$289,0),13)</f>
        <v>2072</v>
      </c>
    </row>
    <row r="287" spans="3:45">
      <c r="C287" s="48" t="s">
        <v>139</v>
      </c>
      <c r="E287" s="35" t="s">
        <v>129</v>
      </c>
      <c r="L287" s="186">
        <v>1815</v>
      </c>
      <c r="M287" s="186">
        <v>1843</v>
      </c>
      <c r="N287" s="186">
        <v>1870</v>
      </c>
      <c r="O287" s="186">
        <v>1907</v>
      </c>
      <c r="P287" s="186">
        <v>1946</v>
      </c>
      <c r="Q287" s="186">
        <v>1985</v>
      </c>
      <c r="R287" s="186">
        <v>2024</v>
      </c>
      <c r="S287" s="186">
        <v>2065</v>
      </c>
      <c r="T287" s="186">
        <v>2107</v>
      </c>
      <c r="U287" s="186">
        <v>2150</v>
      </c>
      <c r="V287" s="186">
        <v>2194</v>
      </c>
      <c r="W287" s="186">
        <v>2239</v>
      </c>
      <c r="X287" s="186">
        <v>2285</v>
      </c>
      <c r="AA287" s="167"/>
      <c r="AB287" s="167"/>
    </row>
    <row r="288" spans="3:45">
      <c r="C288" s="48" t="s">
        <v>140</v>
      </c>
      <c r="E288" s="35" t="s">
        <v>129</v>
      </c>
      <c r="L288" s="186">
        <v>1650</v>
      </c>
      <c r="M288" s="186">
        <v>1675</v>
      </c>
      <c r="N288" s="186">
        <v>1700</v>
      </c>
      <c r="O288" s="186">
        <v>1734</v>
      </c>
      <c r="P288" s="186">
        <v>1769</v>
      </c>
      <c r="Q288" s="186">
        <v>1804</v>
      </c>
      <c r="R288" s="186">
        <v>1840</v>
      </c>
      <c r="S288" s="186">
        <v>1877</v>
      </c>
      <c r="T288" s="186">
        <v>1914</v>
      </c>
      <c r="U288" s="186">
        <v>1952</v>
      </c>
      <c r="V288" s="186">
        <v>1991</v>
      </c>
      <c r="W288" s="186">
        <v>2031</v>
      </c>
      <c r="X288" s="186">
        <v>2072</v>
      </c>
      <c r="AA288" s="167"/>
      <c r="AB288" s="167"/>
    </row>
    <row r="289" spans="3:45">
      <c r="C289" s="50" t="s">
        <v>141</v>
      </c>
      <c r="E289" s="35" t="s">
        <v>129</v>
      </c>
      <c r="L289" s="186">
        <v>1485</v>
      </c>
      <c r="M289" s="186">
        <v>1508</v>
      </c>
      <c r="N289" s="186">
        <v>1530</v>
      </c>
      <c r="O289" s="186">
        <v>1561</v>
      </c>
      <c r="P289" s="186">
        <v>1592</v>
      </c>
      <c r="Q289" s="186">
        <v>1624</v>
      </c>
      <c r="R289" s="186">
        <v>1656</v>
      </c>
      <c r="S289" s="186">
        <v>1689</v>
      </c>
      <c r="T289" s="186">
        <v>1723</v>
      </c>
      <c r="U289" s="186">
        <v>1757</v>
      </c>
      <c r="V289" s="186">
        <v>1792</v>
      </c>
      <c r="W289" s="186">
        <v>1828</v>
      </c>
      <c r="X289" s="186">
        <v>1865</v>
      </c>
      <c r="AA289" s="167"/>
      <c r="AB289" s="167"/>
    </row>
    <row r="290" spans="3:45">
      <c r="E290" s="35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AA290" s="167"/>
      <c r="AB290" s="167"/>
    </row>
    <row r="291" spans="3:45">
      <c r="C291" s="45" t="s">
        <v>254</v>
      </c>
      <c r="E291" s="35" t="s">
        <v>129</v>
      </c>
      <c r="L291" s="191">
        <f>INDEX($L$292:$X$294,MATCH(Scenario,$C$292:$C$294,0),1)</f>
        <v>1050</v>
      </c>
      <c r="M291" s="191">
        <f>INDEX($L$292:$X$294,MATCH(Scenario,$C$292:$C$294,0),2)</f>
        <v>1070</v>
      </c>
      <c r="N291" s="191">
        <f>INDEX($L$292:$X$294,MATCH(Scenario,$C$292:$C$294,0),3)</f>
        <v>1090</v>
      </c>
      <c r="O291" s="191">
        <f>INDEX($L$292:$X$294,MATCH(Scenario,$C$292:$C$294,0),4)</f>
        <v>1106</v>
      </c>
      <c r="P291" s="191">
        <f>INDEX($L$292:$X$294,MATCH(Scenario,$C$292:$C$294,0),5)</f>
        <v>1122</v>
      </c>
      <c r="Q291" s="191">
        <f>INDEX($L$292:$X$294,MATCH(Scenario,$C$292:$C$294,0),6)</f>
        <v>1139</v>
      </c>
      <c r="R291" s="191">
        <f>INDEX($L$292:$X$294,MATCH(Scenario,$C$292:$C$294,0),7)</f>
        <v>1156</v>
      </c>
      <c r="S291" s="191">
        <f>INDEX($L$292:$X$294,MATCH(Scenario,$C$292:$C$294,0),8)</f>
        <v>1173</v>
      </c>
      <c r="T291" s="191">
        <f>INDEX($L$292:$X$294,MATCH(Scenario,$C$292:$C$294,0),9)</f>
        <v>1191</v>
      </c>
      <c r="U291" s="191">
        <f>INDEX($L$292:$X$294,MATCH(Scenario,$C$292:$C$294,0),10)</f>
        <v>1209</v>
      </c>
      <c r="V291" s="191">
        <f>INDEX($L$292:$X$294,MATCH(Scenario,$C$292:$C$294,0),11)</f>
        <v>1227</v>
      </c>
      <c r="W291" s="191">
        <f>INDEX($L$292:$X$294,MATCH(Scenario,$C$292:$C$294,0),12)</f>
        <v>1246</v>
      </c>
      <c r="X291" s="191">
        <f>INDEX($L$292:$X$294,MATCH(Scenario,$C$292:$C$294,0),13)</f>
        <v>1265</v>
      </c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</row>
    <row r="292" spans="3:45">
      <c r="C292" s="48" t="s">
        <v>139</v>
      </c>
      <c r="E292" s="35" t="s">
        <v>129</v>
      </c>
      <c r="L292" s="186">
        <v>1155</v>
      </c>
      <c r="M292" s="186">
        <v>1177</v>
      </c>
      <c r="N292" s="186">
        <v>1199</v>
      </c>
      <c r="O292" s="186">
        <v>1217</v>
      </c>
      <c r="P292" s="186">
        <v>1234</v>
      </c>
      <c r="Q292" s="186">
        <v>1252</v>
      </c>
      <c r="R292" s="186">
        <v>1271</v>
      </c>
      <c r="S292" s="186">
        <v>1289</v>
      </c>
      <c r="T292" s="186">
        <v>1310</v>
      </c>
      <c r="U292" s="186">
        <v>1330</v>
      </c>
      <c r="V292" s="186">
        <v>1350</v>
      </c>
      <c r="W292" s="186">
        <v>1371</v>
      </c>
      <c r="X292" s="186">
        <v>1392</v>
      </c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</row>
    <row r="293" spans="3:45">
      <c r="C293" s="48" t="s">
        <v>140</v>
      </c>
      <c r="E293" s="35" t="s">
        <v>129</v>
      </c>
      <c r="L293" s="186">
        <v>1050</v>
      </c>
      <c r="M293" s="186">
        <v>1070</v>
      </c>
      <c r="N293" s="186">
        <v>1090</v>
      </c>
      <c r="O293" s="186">
        <v>1106</v>
      </c>
      <c r="P293" s="186">
        <v>1122</v>
      </c>
      <c r="Q293" s="186">
        <v>1139</v>
      </c>
      <c r="R293" s="186">
        <v>1156</v>
      </c>
      <c r="S293" s="186">
        <v>1173</v>
      </c>
      <c r="T293" s="186">
        <v>1191</v>
      </c>
      <c r="U293" s="186">
        <v>1209</v>
      </c>
      <c r="V293" s="186">
        <v>1227</v>
      </c>
      <c r="W293" s="186">
        <v>1246</v>
      </c>
      <c r="X293" s="186">
        <v>1265</v>
      </c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</row>
    <row r="294" spans="3:45">
      <c r="C294" s="50" t="s">
        <v>141</v>
      </c>
      <c r="E294" s="35" t="s">
        <v>129</v>
      </c>
      <c r="L294" s="186">
        <v>945</v>
      </c>
      <c r="M294" s="186">
        <v>963</v>
      </c>
      <c r="N294" s="186">
        <v>981</v>
      </c>
      <c r="O294" s="186">
        <v>995</v>
      </c>
      <c r="P294" s="186">
        <v>1010</v>
      </c>
      <c r="Q294" s="186">
        <v>1025</v>
      </c>
      <c r="R294" s="186">
        <v>1040</v>
      </c>
      <c r="S294" s="186">
        <v>1056</v>
      </c>
      <c r="T294" s="186">
        <v>1072</v>
      </c>
      <c r="U294" s="186">
        <v>1088</v>
      </c>
      <c r="V294" s="186">
        <v>1104</v>
      </c>
      <c r="W294" s="186">
        <v>1121</v>
      </c>
      <c r="X294" s="186">
        <v>1139</v>
      </c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</row>
    <row r="295" spans="3:45">
      <c r="E295" s="35"/>
      <c r="P295" s="57"/>
      <c r="Q295" s="57"/>
      <c r="R295" s="57"/>
      <c r="S295" s="57"/>
      <c r="T295" s="57"/>
      <c r="U295" s="57"/>
      <c r="V295" s="57"/>
      <c r="W295" s="57"/>
      <c r="X295" s="57"/>
    </row>
    <row r="296" spans="3:45">
      <c r="C296" s="45" t="s">
        <v>242</v>
      </c>
      <c r="E296" s="35" t="s">
        <v>20</v>
      </c>
      <c r="L296" s="186">
        <v>0</v>
      </c>
      <c r="M296" s="186">
        <v>0</v>
      </c>
      <c r="N296" s="191">
        <f>INDEX($N$297:$X$299,MATCH(Scenario,$C$297:$C$299,0),1)</f>
        <v>38.380000000000003</v>
      </c>
      <c r="O296" s="191">
        <f>INDEX($N$297:$X$299,MATCH(Scenario,$C$297:$C$299,0),2)</f>
        <v>55.825000000000003</v>
      </c>
      <c r="P296" s="191">
        <f>INDEX($N$297:$X$299,MATCH(Scenario,$C$297:$C$299,0),3)</f>
        <v>66.3</v>
      </c>
      <c r="Q296" s="191">
        <f>INDEX($N$297:$X$299,MATCH(Scenario,$C$297:$C$299,0),4)</f>
        <v>66.625</v>
      </c>
      <c r="R296" s="191">
        <f>INDEX($N$297:$X$299,MATCH(Scenario,$C$297:$C$299,0),5)</f>
        <v>61.86</v>
      </c>
      <c r="S296" s="191">
        <f>INDEX($N$297:$X$299,MATCH(Scenario,$C$297:$C$299,0),6)</f>
        <v>51.800000000000004</v>
      </c>
      <c r="T296" s="191">
        <f>INDEX($N$297:$X$299,MATCH(Scenario,$C$297:$C$299,0),7)</f>
        <v>41.64</v>
      </c>
      <c r="U296" s="191">
        <f>INDEX($N$297:$X$299,MATCH(Scenario,$C$297:$C$299,0),8)</f>
        <v>29.288</v>
      </c>
      <c r="V296" s="191">
        <f>INDEX($N$297:$X$299,MATCH(Scenario,$C$297:$C$299,0),9)</f>
        <v>21.02</v>
      </c>
      <c r="W296" s="191">
        <f>INDEX($N$297:$X$299,MATCH(Scenario,$C$297:$C$299,0),10)</f>
        <v>15.854999999999999</v>
      </c>
      <c r="X296" s="191">
        <f>INDEX($N$297:$X$299,MATCH(Scenario,$C$297:$C$299,0),11)</f>
        <v>10.620000000000001</v>
      </c>
    </row>
    <row r="297" spans="3:45">
      <c r="C297" s="48" t="s">
        <v>139</v>
      </c>
      <c r="E297" s="35" t="s">
        <v>20</v>
      </c>
      <c r="L297" s="186">
        <v>0</v>
      </c>
      <c r="M297" s="186">
        <v>0</v>
      </c>
      <c r="N297" s="186">
        <f>N$269*N277</f>
        <v>53.53</v>
      </c>
      <c r="O297" s="186">
        <f t="shared" ref="O297:X297" si="172">O$269*O277</f>
        <v>71.050000000000011</v>
      </c>
      <c r="P297" s="186">
        <f t="shared" si="172"/>
        <v>81.600000000000009</v>
      </c>
      <c r="Q297" s="186">
        <f t="shared" si="172"/>
        <v>82</v>
      </c>
      <c r="R297" s="186">
        <f t="shared" si="172"/>
        <v>77.325000000000003</v>
      </c>
      <c r="S297" s="186">
        <f t="shared" si="172"/>
        <v>67.34</v>
      </c>
      <c r="T297" s="186">
        <f t="shared" si="172"/>
        <v>57.255000000000003</v>
      </c>
      <c r="U297" s="186">
        <f t="shared" si="172"/>
        <v>44.977999999999994</v>
      </c>
      <c r="V297" s="186">
        <f t="shared" si="172"/>
        <v>36.785000000000004</v>
      </c>
      <c r="W297" s="186">
        <f t="shared" si="172"/>
        <v>31.709999999999997</v>
      </c>
      <c r="X297" s="186">
        <f t="shared" si="172"/>
        <v>26.55</v>
      </c>
    </row>
    <row r="298" spans="3:45">
      <c r="C298" s="48" t="s">
        <v>140</v>
      </c>
      <c r="E298" s="35" t="s">
        <v>20</v>
      </c>
      <c r="L298" s="186">
        <v>0</v>
      </c>
      <c r="M298" s="186">
        <v>0</v>
      </c>
      <c r="N298" s="186">
        <f t="shared" ref="N298:X299" si="173">N$269*N278</f>
        <v>38.380000000000003</v>
      </c>
      <c r="O298" s="186">
        <f t="shared" si="173"/>
        <v>55.825000000000003</v>
      </c>
      <c r="P298" s="186">
        <f t="shared" si="173"/>
        <v>66.3</v>
      </c>
      <c r="Q298" s="186">
        <f t="shared" si="173"/>
        <v>66.625</v>
      </c>
      <c r="R298" s="186">
        <f t="shared" si="173"/>
        <v>61.86</v>
      </c>
      <c r="S298" s="186">
        <f t="shared" si="173"/>
        <v>51.800000000000004</v>
      </c>
      <c r="T298" s="186">
        <f t="shared" si="173"/>
        <v>41.64</v>
      </c>
      <c r="U298" s="186">
        <f t="shared" si="173"/>
        <v>29.288</v>
      </c>
      <c r="V298" s="186">
        <f t="shared" si="173"/>
        <v>21.02</v>
      </c>
      <c r="W298" s="186">
        <f t="shared" si="173"/>
        <v>15.854999999999999</v>
      </c>
      <c r="X298" s="186">
        <f t="shared" si="173"/>
        <v>10.620000000000001</v>
      </c>
    </row>
    <row r="299" spans="3:45">
      <c r="C299" s="50" t="s">
        <v>141</v>
      </c>
      <c r="E299" s="35" t="s">
        <v>20</v>
      </c>
      <c r="L299" s="186">
        <v>0</v>
      </c>
      <c r="M299" s="186">
        <v>0</v>
      </c>
      <c r="N299" s="186">
        <f t="shared" si="173"/>
        <v>28.28</v>
      </c>
      <c r="O299" s="186">
        <f t="shared" si="173"/>
        <v>45.674999999999997</v>
      </c>
      <c r="P299" s="186">
        <f t="shared" si="173"/>
        <v>56.1</v>
      </c>
      <c r="Q299" s="186">
        <f t="shared" si="173"/>
        <v>56.375</v>
      </c>
      <c r="R299" s="186">
        <f t="shared" si="173"/>
        <v>51.550000000000004</v>
      </c>
      <c r="S299" s="186">
        <f t="shared" si="173"/>
        <v>41.44</v>
      </c>
      <c r="T299" s="186">
        <f t="shared" si="173"/>
        <v>31.23</v>
      </c>
      <c r="U299" s="186">
        <f t="shared" si="173"/>
        <v>18.827999999999999</v>
      </c>
      <c r="V299" s="186">
        <f t="shared" si="173"/>
        <v>10.51</v>
      </c>
      <c r="W299" s="186">
        <f t="shared" si="173"/>
        <v>5.2850000000000001</v>
      </c>
      <c r="X299" s="186">
        <f t="shared" si="173"/>
        <v>0</v>
      </c>
    </row>
    <row r="300" spans="3:45">
      <c r="E300" s="35"/>
    </row>
    <row r="301" spans="3:45">
      <c r="C301" s="45" t="s">
        <v>243</v>
      </c>
      <c r="E301" s="35" t="s">
        <v>20</v>
      </c>
      <c r="L301" s="186">
        <v>0</v>
      </c>
      <c r="M301" s="186">
        <v>0</v>
      </c>
      <c r="N301" s="191">
        <f>INDEX($N$302:$X$304,MATCH(Scenario,$C$302:$C$304,0),1)</f>
        <v>55.550000000000004</v>
      </c>
      <c r="O301" s="191">
        <f>INDEX($N$302:$X$304,MATCH(Scenario,$C$302:$C$304,0),2)</f>
        <v>84.853999999999999</v>
      </c>
      <c r="P301" s="191">
        <f>INDEX($N$302:$X$304,MATCH(Scenario,$C$302:$C$304,0),3)</f>
        <v>107.712</v>
      </c>
      <c r="Q301" s="191">
        <f>INDEX($N$302:$X$304,MATCH(Scenario,$C$302:$C$304,0),4)</f>
        <v>108.288</v>
      </c>
      <c r="R301" s="191">
        <f>INDEX($N$302:$X$304,MATCH(Scenario,$C$302:$C$304,0),5)</f>
        <v>97.480999999999995</v>
      </c>
      <c r="S301" s="191">
        <f>INDEX($N$302:$X$304,MATCH(Scenario,$C$302:$C$304,0),6)</f>
        <v>75.207000000000008</v>
      </c>
      <c r="T301" s="191">
        <f>INDEX($N$302:$X$304,MATCH(Scenario,$C$302:$C$304,0),7)</f>
        <v>57.25</v>
      </c>
      <c r="U301" s="191">
        <f>INDEX($N$302:$X$304,MATCH(Scenario,$C$302:$C$304,0),8)</f>
        <v>39.134</v>
      </c>
      <c r="V301" s="191">
        <f>INDEX($N$302:$X$304,MATCH(Scenario,$C$302:$C$304,0),9)</f>
        <v>27.768000000000001</v>
      </c>
      <c r="W301" s="191">
        <f>INDEX($N$302:$X$304,MATCH(Scenario,$C$302:$C$304,0),10)</f>
        <v>18.608000000000001</v>
      </c>
      <c r="X301" s="191">
        <f>INDEX($N$302:$X$304,MATCH(Scenario,$C$302:$C$304,0),11)</f>
        <v>14.028</v>
      </c>
    </row>
    <row r="302" spans="3:45">
      <c r="C302" s="48" t="s">
        <v>139</v>
      </c>
      <c r="E302" s="35" t="s">
        <v>20</v>
      </c>
      <c r="L302" s="186">
        <v>0</v>
      </c>
      <c r="M302" s="186">
        <v>0</v>
      </c>
      <c r="N302" s="186">
        <f>N$273*N282</f>
        <v>77.77000000000001</v>
      </c>
      <c r="O302" s="186">
        <f t="shared" ref="O302:X302" si="174">O$273*O282</f>
        <v>107.184</v>
      </c>
      <c r="P302" s="186">
        <f t="shared" si="174"/>
        <v>130.15200000000002</v>
      </c>
      <c r="Q302" s="186">
        <f t="shared" si="174"/>
        <v>130.84800000000001</v>
      </c>
      <c r="R302" s="186">
        <f t="shared" si="174"/>
        <v>120.151</v>
      </c>
      <c r="S302" s="186">
        <f t="shared" si="174"/>
        <v>97.996999999999986</v>
      </c>
      <c r="T302" s="186">
        <f t="shared" si="174"/>
        <v>80.150000000000006</v>
      </c>
      <c r="U302" s="186">
        <f t="shared" si="174"/>
        <v>62.153999999999996</v>
      </c>
      <c r="V302" s="186">
        <f t="shared" si="174"/>
        <v>50.907999999999994</v>
      </c>
      <c r="W302" s="186">
        <f t="shared" si="174"/>
        <v>41.867999999999995</v>
      </c>
      <c r="X302" s="186">
        <f t="shared" si="174"/>
        <v>37.408000000000001</v>
      </c>
    </row>
    <row r="303" spans="3:45">
      <c r="C303" s="48" t="s">
        <v>140</v>
      </c>
      <c r="E303" s="35" t="s">
        <v>20</v>
      </c>
      <c r="L303" s="186">
        <v>0</v>
      </c>
      <c r="M303" s="186">
        <v>0</v>
      </c>
      <c r="N303" s="186">
        <f t="shared" ref="N303:X304" si="175">N$273*N283</f>
        <v>55.550000000000004</v>
      </c>
      <c r="O303" s="186">
        <f t="shared" si="175"/>
        <v>84.853999999999999</v>
      </c>
      <c r="P303" s="186">
        <f t="shared" si="175"/>
        <v>107.712</v>
      </c>
      <c r="Q303" s="186">
        <f t="shared" si="175"/>
        <v>108.288</v>
      </c>
      <c r="R303" s="186">
        <f t="shared" si="175"/>
        <v>97.480999999999995</v>
      </c>
      <c r="S303" s="186">
        <f t="shared" si="175"/>
        <v>75.207000000000008</v>
      </c>
      <c r="T303" s="186">
        <f t="shared" si="175"/>
        <v>57.25</v>
      </c>
      <c r="U303" s="186">
        <f t="shared" si="175"/>
        <v>39.134</v>
      </c>
      <c r="V303" s="186">
        <f t="shared" si="175"/>
        <v>27.768000000000001</v>
      </c>
      <c r="W303" s="186">
        <f t="shared" si="175"/>
        <v>18.608000000000001</v>
      </c>
      <c r="X303" s="186">
        <f t="shared" si="175"/>
        <v>14.028</v>
      </c>
    </row>
    <row r="304" spans="3:45">
      <c r="C304" s="50" t="s">
        <v>141</v>
      </c>
      <c r="E304" s="35" t="s">
        <v>20</v>
      </c>
      <c r="L304" s="186">
        <v>0</v>
      </c>
      <c r="M304" s="186">
        <v>0</v>
      </c>
      <c r="N304" s="186">
        <f t="shared" si="175"/>
        <v>37.774000000000001</v>
      </c>
      <c r="O304" s="186">
        <f t="shared" si="175"/>
        <v>66.989999999999995</v>
      </c>
      <c r="P304" s="186">
        <f t="shared" si="175"/>
        <v>89.76</v>
      </c>
      <c r="Q304" s="186">
        <f t="shared" si="175"/>
        <v>90.24</v>
      </c>
      <c r="R304" s="186">
        <f t="shared" si="175"/>
        <v>79.345000000000013</v>
      </c>
      <c r="S304" s="186">
        <f t="shared" si="175"/>
        <v>56.975000000000001</v>
      </c>
      <c r="T304" s="186">
        <f t="shared" si="175"/>
        <v>38.93</v>
      </c>
      <c r="U304" s="186">
        <f t="shared" si="175"/>
        <v>20.718</v>
      </c>
      <c r="V304" s="186">
        <f t="shared" si="175"/>
        <v>9.2560000000000002</v>
      </c>
      <c r="W304" s="186">
        <f t="shared" si="175"/>
        <v>0</v>
      </c>
      <c r="X304" s="186">
        <f t="shared" si="175"/>
        <v>0</v>
      </c>
    </row>
    <row r="305" spans="2:52">
      <c r="E305" s="35"/>
    </row>
    <row r="306" spans="2:52">
      <c r="C306" s="51" t="s">
        <v>261</v>
      </c>
      <c r="E306" s="35" t="s">
        <v>129</v>
      </c>
      <c r="L306" s="186">
        <v>0</v>
      </c>
      <c r="M306" s="186">
        <v>0</v>
      </c>
      <c r="N306" s="186">
        <f>N296*N286</f>
        <v>65246.000000000007</v>
      </c>
      <c r="O306" s="186">
        <f t="shared" ref="O306:X306" si="176">O296*O286</f>
        <v>96800.55</v>
      </c>
      <c r="P306" s="186">
        <f t="shared" si="176"/>
        <v>117284.7</v>
      </c>
      <c r="Q306" s="186">
        <f t="shared" si="176"/>
        <v>120191.5</v>
      </c>
      <c r="R306" s="186">
        <f t="shared" si="176"/>
        <v>113822.39999999999</v>
      </c>
      <c r="S306" s="186">
        <f t="shared" si="176"/>
        <v>97228.6</v>
      </c>
      <c r="T306" s="186">
        <f t="shared" si="176"/>
        <v>79698.960000000006</v>
      </c>
      <c r="U306" s="186">
        <f t="shared" si="176"/>
        <v>57170.175999999999</v>
      </c>
      <c r="V306" s="186">
        <f t="shared" si="176"/>
        <v>41850.82</v>
      </c>
      <c r="W306" s="186">
        <f t="shared" si="176"/>
        <v>32201.504999999997</v>
      </c>
      <c r="X306" s="186">
        <f t="shared" si="176"/>
        <v>22004.640000000003</v>
      </c>
    </row>
    <row r="307" spans="2:52">
      <c r="C307" s="56" t="s">
        <v>262</v>
      </c>
      <c r="E307" s="35" t="s">
        <v>129</v>
      </c>
      <c r="L307" s="83">
        <v>0</v>
      </c>
      <c r="M307" s="83">
        <v>0</v>
      </c>
      <c r="N307" s="83">
        <f>N301*N291</f>
        <v>60549.500000000007</v>
      </c>
      <c r="O307" s="83">
        <f t="shared" ref="O307:X307" si="177">O301*O291</f>
        <v>93848.524000000005</v>
      </c>
      <c r="P307" s="83">
        <f t="shared" si="177"/>
        <v>120852.864</v>
      </c>
      <c r="Q307" s="83">
        <f t="shared" si="177"/>
        <v>123340.03199999999</v>
      </c>
      <c r="R307" s="83">
        <f t="shared" si="177"/>
        <v>112688.03599999999</v>
      </c>
      <c r="S307" s="83">
        <f t="shared" si="177"/>
        <v>88217.811000000016</v>
      </c>
      <c r="T307" s="83">
        <f t="shared" si="177"/>
        <v>68184.75</v>
      </c>
      <c r="U307" s="83">
        <f t="shared" si="177"/>
        <v>47313.006000000001</v>
      </c>
      <c r="V307" s="83">
        <f t="shared" si="177"/>
        <v>34071.336000000003</v>
      </c>
      <c r="W307" s="83">
        <f t="shared" si="177"/>
        <v>23185.567999999999</v>
      </c>
      <c r="X307" s="83">
        <f t="shared" si="177"/>
        <v>17745.420000000002</v>
      </c>
    </row>
    <row r="308" spans="2:52">
      <c r="C308" s="64" t="s">
        <v>263</v>
      </c>
      <c r="E308" s="39" t="s">
        <v>129</v>
      </c>
      <c r="L308" s="174">
        <v>0</v>
      </c>
      <c r="M308" s="174">
        <v>0</v>
      </c>
      <c r="N308" s="174">
        <f>SUM(N306:N307)</f>
        <v>125795.50000000001</v>
      </c>
      <c r="O308" s="174">
        <f t="shared" ref="O308:X308" si="178">SUM(O306:O307)</f>
        <v>190649.07400000002</v>
      </c>
      <c r="P308" s="174">
        <f t="shared" si="178"/>
        <v>238137.56400000001</v>
      </c>
      <c r="Q308" s="174">
        <f t="shared" si="178"/>
        <v>243531.53200000001</v>
      </c>
      <c r="R308" s="174">
        <f t="shared" si="178"/>
        <v>226510.43599999999</v>
      </c>
      <c r="S308" s="174">
        <f t="shared" si="178"/>
        <v>185446.41100000002</v>
      </c>
      <c r="T308" s="174">
        <f t="shared" si="178"/>
        <v>147883.71000000002</v>
      </c>
      <c r="U308" s="174">
        <f t="shared" si="178"/>
        <v>104483.182</v>
      </c>
      <c r="V308" s="174">
        <f t="shared" si="178"/>
        <v>75922.156000000003</v>
      </c>
      <c r="W308" s="174">
        <f t="shared" si="178"/>
        <v>55387.072999999997</v>
      </c>
      <c r="X308" s="174">
        <f t="shared" si="178"/>
        <v>39750.060000000005</v>
      </c>
    </row>
    <row r="309" spans="2:52">
      <c r="C309" s="10" t="s">
        <v>131</v>
      </c>
      <c r="E309" s="35" t="s">
        <v>15</v>
      </c>
      <c r="L309" s="215"/>
      <c r="M309" s="215"/>
      <c r="N309" s="215"/>
      <c r="O309" s="219">
        <f>O308/N308-1</f>
        <v>0.51554764677591813</v>
      </c>
      <c r="P309" s="219">
        <f t="shared" ref="P309:X309" si="179">P308/O308-1</f>
        <v>0.24908849019639079</v>
      </c>
      <c r="Q309" s="219">
        <f t="shared" si="179"/>
        <v>2.265063902308162E-2</v>
      </c>
      <c r="R309" s="219">
        <f t="shared" si="179"/>
        <v>-6.9892780865847048E-2</v>
      </c>
      <c r="S309" s="219">
        <f t="shared" si="179"/>
        <v>-0.18128977068411967</v>
      </c>
      <c r="T309" s="219">
        <f t="shared" si="179"/>
        <v>-0.2025528604055864</v>
      </c>
      <c r="U309" s="219">
        <f t="shared" si="179"/>
        <v>-0.29347740870174288</v>
      </c>
      <c r="V309" s="219">
        <f t="shared" si="179"/>
        <v>-0.27335524678029044</v>
      </c>
      <c r="W309" s="219">
        <f t="shared" si="179"/>
        <v>-0.27047549861466003</v>
      </c>
      <c r="X309" s="219">
        <f t="shared" si="179"/>
        <v>-0.2823224292787595</v>
      </c>
    </row>
    <row r="310" spans="2:52">
      <c r="E310" s="35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</row>
    <row r="311" spans="2:52">
      <c r="C311" s="56" t="s">
        <v>258</v>
      </c>
      <c r="E311" s="35" t="s">
        <v>129</v>
      </c>
      <c r="F311" s="201">
        <v>0.04</v>
      </c>
      <c r="L311" s="83">
        <v>0</v>
      </c>
      <c r="M311" s="83">
        <v>0</v>
      </c>
      <c r="N311" s="83">
        <v>2049</v>
      </c>
      <c r="O311" s="83">
        <v>6251</v>
      </c>
      <c r="P311" s="83">
        <v>13001</v>
      </c>
      <c r="Q311" s="83">
        <v>19196</v>
      </c>
      <c r="R311" s="83">
        <v>24418</v>
      </c>
      <c r="S311" s="83">
        <v>25244</v>
      </c>
      <c r="T311" s="83">
        <v>23649</v>
      </c>
      <c r="U311" s="83">
        <v>19232</v>
      </c>
      <c r="V311" s="83">
        <v>14838</v>
      </c>
      <c r="W311" s="83">
        <v>9998</v>
      </c>
      <c r="X311" s="83">
        <v>7743</v>
      </c>
    </row>
    <row r="312" spans="2:52">
      <c r="C312" s="64" t="s">
        <v>205</v>
      </c>
      <c r="E312" s="39" t="s">
        <v>129</v>
      </c>
      <c r="L312" s="174">
        <v>0</v>
      </c>
      <c r="M312" s="174">
        <v>0</v>
      </c>
      <c r="N312" s="174">
        <v>18441</v>
      </c>
      <c r="O312" s="174">
        <v>56257</v>
      </c>
      <c r="P312" s="174">
        <v>117012</v>
      </c>
      <c r="Q312" s="174">
        <v>172761</v>
      </c>
      <c r="R312" s="174">
        <v>219766</v>
      </c>
      <c r="S312" s="174">
        <v>227197</v>
      </c>
      <c r="T312" s="174">
        <v>212844</v>
      </c>
      <c r="U312" s="174">
        <v>173087</v>
      </c>
      <c r="V312" s="174">
        <v>133538</v>
      </c>
      <c r="W312" s="174">
        <v>89980</v>
      </c>
      <c r="X312" s="174">
        <v>69684</v>
      </c>
    </row>
    <row r="313" spans="2:52">
      <c r="E313" s="53"/>
    </row>
    <row r="314" spans="2:52">
      <c r="B314" s="60" t="s">
        <v>239</v>
      </c>
      <c r="C314" s="26"/>
      <c r="D314" s="26"/>
      <c r="E314" s="216"/>
      <c r="F314" s="26"/>
      <c r="G314" s="180"/>
      <c r="H314" s="180"/>
      <c r="I314" s="180"/>
      <c r="J314" s="180"/>
      <c r="K314" s="181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09" t="s">
        <v>266</v>
      </c>
    </row>
    <row r="315" spans="2:52">
      <c r="E315" s="53"/>
      <c r="AE315" s="214" t="s">
        <v>299</v>
      </c>
    </row>
    <row r="316" spans="2:52">
      <c r="C316" s="34" t="s">
        <v>134</v>
      </c>
      <c r="E316" s="53"/>
      <c r="G316" s="57"/>
      <c r="H316" s="57"/>
      <c r="I316" s="57"/>
      <c r="K316" s="52"/>
      <c r="L316" s="52"/>
      <c r="M316" s="52"/>
      <c r="N316" s="52"/>
      <c r="O316" s="36"/>
      <c r="P316" s="37"/>
      <c r="Q316" s="37"/>
      <c r="R316" s="38"/>
      <c r="S316" s="38"/>
      <c r="T316" s="38"/>
    </row>
    <row r="317" spans="2:52">
      <c r="C317" s="51" t="s">
        <v>223</v>
      </c>
      <c r="E317" s="35" t="s">
        <v>20</v>
      </c>
      <c r="G317" s="57"/>
      <c r="H317" s="57"/>
      <c r="I317" s="57"/>
      <c r="J317" s="57"/>
      <c r="K317" s="184">
        <v>18000</v>
      </c>
      <c r="L317" s="184">
        <f>K317*(1+L318)</f>
        <v>18089.999999999996</v>
      </c>
      <c r="M317" s="184">
        <f t="shared" ref="M317:AE317" si="180">L317*(1+M318)</f>
        <v>18180.449999999993</v>
      </c>
      <c r="N317" s="184">
        <f t="shared" si="180"/>
        <v>18271.352249999993</v>
      </c>
      <c r="O317" s="184">
        <f t="shared" si="180"/>
        <v>18362.70901124999</v>
      </c>
      <c r="P317" s="184">
        <f t="shared" si="180"/>
        <v>18454.522556306238</v>
      </c>
      <c r="Q317" s="184">
        <f t="shared" si="180"/>
        <v>18546.795169087767</v>
      </c>
      <c r="R317" s="184">
        <f t="shared" si="180"/>
        <v>18639.529144933203</v>
      </c>
      <c r="S317" s="184">
        <f t="shared" si="180"/>
        <v>18732.726790657867</v>
      </c>
      <c r="T317" s="184">
        <f t="shared" si="180"/>
        <v>18826.390424611156</v>
      </c>
      <c r="U317" s="184">
        <f t="shared" si="180"/>
        <v>18920.52237673421</v>
      </c>
      <c r="V317" s="184">
        <f t="shared" si="180"/>
        <v>19015.124988617881</v>
      </c>
      <c r="W317" s="184">
        <f t="shared" si="180"/>
        <v>19110.20061356097</v>
      </c>
      <c r="X317" s="184">
        <f t="shared" si="180"/>
        <v>19205.751616628771</v>
      </c>
      <c r="Y317" s="184">
        <f t="shared" si="180"/>
        <v>19301.780374711914</v>
      </c>
      <c r="Z317" s="184">
        <f t="shared" si="180"/>
        <v>19398.28927658547</v>
      </c>
      <c r="AA317" s="184">
        <f t="shared" si="180"/>
        <v>19495.280722968397</v>
      </c>
      <c r="AB317" s="184">
        <f t="shared" si="180"/>
        <v>19592.757126583238</v>
      </c>
      <c r="AC317" s="184">
        <f t="shared" si="180"/>
        <v>19690.720912216151</v>
      </c>
      <c r="AD317" s="184">
        <f t="shared" si="180"/>
        <v>19789.174516777231</v>
      </c>
      <c r="AE317" s="184">
        <f t="shared" si="180"/>
        <v>19888.120389361116</v>
      </c>
    </row>
    <row r="318" spans="2:52">
      <c r="C318" s="50" t="s">
        <v>131</v>
      </c>
      <c r="E318" s="35" t="s">
        <v>15</v>
      </c>
      <c r="G318" s="38"/>
      <c r="H318" s="54"/>
      <c r="I318" s="38"/>
      <c r="J318" s="38"/>
      <c r="K318" s="189"/>
      <c r="L318" s="221">
        <v>5.0000000000000001E-3</v>
      </c>
      <c r="M318" s="221">
        <v>5.0000000000000001E-3</v>
      </c>
      <c r="N318" s="221">
        <v>5.0000000000000001E-3</v>
      </c>
      <c r="O318" s="221">
        <v>5.0000000000000001E-3</v>
      </c>
      <c r="P318" s="221">
        <v>5.0000000000000001E-3</v>
      </c>
      <c r="Q318" s="221">
        <v>5.0000000000000001E-3</v>
      </c>
      <c r="R318" s="221">
        <v>5.0000000000000001E-3</v>
      </c>
      <c r="S318" s="221">
        <v>5.0000000000000001E-3</v>
      </c>
      <c r="T318" s="221">
        <v>5.0000000000000001E-3</v>
      </c>
      <c r="U318" s="221">
        <v>5.0000000000000001E-3</v>
      </c>
      <c r="V318" s="221">
        <v>5.0000000000000001E-3</v>
      </c>
      <c r="W318" s="221">
        <v>5.0000000000000001E-3</v>
      </c>
      <c r="X318" s="221">
        <v>5.0000000000000001E-3</v>
      </c>
      <c r="Y318" s="221">
        <v>5.0000000000000001E-3</v>
      </c>
      <c r="Z318" s="221">
        <v>5.0000000000000001E-3</v>
      </c>
      <c r="AA318" s="221">
        <v>5.0000000000000001E-3</v>
      </c>
      <c r="AB318" s="221">
        <v>5.0000000000000001E-3</v>
      </c>
      <c r="AC318" s="221">
        <v>5.0000000000000001E-3</v>
      </c>
      <c r="AD318" s="221">
        <v>5.0000000000000001E-3</v>
      </c>
      <c r="AE318" s="221">
        <v>5.0000000000000001E-3</v>
      </c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</row>
    <row r="319" spans="2:52">
      <c r="C319" s="41"/>
      <c r="E319" s="35"/>
      <c r="G319" s="38"/>
      <c r="H319" s="54"/>
      <c r="I319" s="38"/>
      <c r="J319" s="38"/>
      <c r="N319" s="57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</row>
    <row r="320" spans="2:52">
      <c r="C320" s="45" t="s">
        <v>224</v>
      </c>
      <c r="E320" s="35"/>
      <c r="G320" s="38"/>
      <c r="H320" s="54"/>
      <c r="I320" s="38"/>
      <c r="J320" s="38"/>
      <c r="M320" s="57"/>
      <c r="N320" s="57"/>
      <c r="O320" s="57"/>
      <c r="P320" s="57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</row>
    <row r="321" spans="3:52">
      <c r="C321" s="51" t="s">
        <v>223</v>
      </c>
      <c r="E321" s="35" t="s">
        <v>20</v>
      </c>
      <c r="G321" s="38"/>
      <c r="H321" s="54"/>
      <c r="I321" s="38"/>
      <c r="J321" s="38"/>
      <c r="K321" s="184">
        <v>35000</v>
      </c>
      <c r="L321" s="184">
        <f>K321*(1+L322)</f>
        <v>35174.999999999993</v>
      </c>
      <c r="M321" s="184">
        <f>L321*(1+M322)</f>
        <v>35350.874999999985</v>
      </c>
      <c r="N321" s="184">
        <f t="shared" ref="N321:AD321" si="181">M321*(1+N322)</f>
        <v>35527.629374999982</v>
      </c>
      <c r="O321" s="184">
        <f t="shared" si="181"/>
        <v>35705.267521874979</v>
      </c>
      <c r="P321" s="184">
        <f t="shared" si="181"/>
        <v>35883.793859484351</v>
      </c>
      <c r="Q321" s="184">
        <f t="shared" si="181"/>
        <v>36063.212828781769</v>
      </c>
      <c r="R321" s="184">
        <f t="shared" si="181"/>
        <v>36243.528892925671</v>
      </c>
      <c r="S321" s="184">
        <f t="shared" si="181"/>
        <v>36424.746537390296</v>
      </c>
      <c r="T321" s="184">
        <f t="shared" si="181"/>
        <v>36606.870270077241</v>
      </c>
      <c r="U321" s="184">
        <f t="shared" si="181"/>
        <v>36789.904621427624</v>
      </c>
      <c r="V321" s="184">
        <f t="shared" si="181"/>
        <v>36973.854144534758</v>
      </c>
      <c r="W321" s="184">
        <f t="shared" si="181"/>
        <v>37158.723415257431</v>
      </c>
      <c r="X321" s="184">
        <f t="shared" si="181"/>
        <v>37344.517032333715</v>
      </c>
      <c r="Y321" s="184">
        <f t="shared" si="181"/>
        <v>37531.239617495383</v>
      </c>
      <c r="Z321" s="184">
        <f t="shared" si="181"/>
        <v>37718.895815582859</v>
      </c>
      <c r="AA321" s="184">
        <f t="shared" si="181"/>
        <v>37907.490294660769</v>
      </c>
      <c r="AB321" s="184">
        <f t="shared" si="181"/>
        <v>38097.027746134067</v>
      </c>
      <c r="AC321" s="184">
        <f t="shared" si="181"/>
        <v>38287.512884864736</v>
      </c>
      <c r="AD321" s="184">
        <f t="shared" si="181"/>
        <v>38478.950449289056</v>
      </c>
      <c r="AE321" s="184">
        <v>41000</v>
      </c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</row>
    <row r="322" spans="3:52">
      <c r="C322" s="50" t="s">
        <v>131</v>
      </c>
      <c r="E322" s="35" t="s">
        <v>15</v>
      </c>
      <c r="G322" s="38"/>
      <c r="H322" s="54"/>
      <c r="I322" s="38"/>
      <c r="J322" s="38"/>
      <c r="K322" s="189"/>
      <c r="L322" s="221">
        <v>5.0000000000000001E-3</v>
      </c>
      <c r="M322" s="221">
        <v>5.0000000000000001E-3</v>
      </c>
      <c r="N322" s="221">
        <v>5.0000000000000001E-3</v>
      </c>
      <c r="O322" s="221">
        <v>5.0000000000000001E-3</v>
      </c>
      <c r="P322" s="221">
        <v>5.0000000000000001E-3</v>
      </c>
      <c r="Q322" s="221">
        <v>5.0000000000000001E-3</v>
      </c>
      <c r="R322" s="221">
        <v>5.0000000000000001E-3</v>
      </c>
      <c r="S322" s="221">
        <v>5.0000000000000001E-3</v>
      </c>
      <c r="T322" s="221">
        <v>5.0000000000000001E-3</v>
      </c>
      <c r="U322" s="221">
        <v>5.0000000000000001E-3</v>
      </c>
      <c r="V322" s="221">
        <v>5.0000000000000001E-3</v>
      </c>
      <c r="W322" s="221">
        <v>5.0000000000000001E-3</v>
      </c>
      <c r="X322" s="221">
        <v>5.0000000000000001E-3</v>
      </c>
      <c r="Y322" s="221">
        <v>5.0000000000000001E-3</v>
      </c>
      <c r="Z322" s="221">
        <v>5.0000000000000001E-3</v>
      </c>
      <c r="AA322" s="221">
        <v>5.0000000000000001E-3</v>
      </c>
      <c r="AB322" s="221">
        <v>5.0000000000000001E-3</v>
      </c>
      <c r="AC322" s="221">
        <v>5.0000000000000001E-3</v>
      </c>
      <c r="AD322" s="221">
        <v>5.0000000000000001E-3</v>
      </c>
      <c r="AE322" s="221">
        <v>5.0000000000000001E-3</v>
      </c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</row>
    <row r="323" spans="3:52">
      <c r="C323" s="34"/>
      <c r="E323" s="35"/>
      <c r="G323" s="38"/>
      <c r="H323" s="54"/>
      <c r="I323" s="38"/>
      <c r="J323" s="38"/>
      <c r="M323" s="57"/>
      <c r="N323" s="57"/>
      <c r="O323" s="36"/>
      <c r="P323" s="37"/>
      <c r="Q323" s="37"/>
      <c r="R323" s="38"/>
      <c r="S323" s="38"/>
      <c r="T323" s="38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</row>
    <row r="324" spans="3:52">
      <c r="C324" s="45" t="s">
        <v>225</v>
      </c>
      <c r="E324" s="35" t="s">
        <v>15</v>
      </c>
      <c r="G324" s="38"/>
      <c r="H324" s="54"/>
      <c r="I324" s="38"/>
      <c r="J324" s="38"/>
      <c r="M324" s="167"/>
      <c r="N324" s="167"/>
      <c r="O324" s="167"/>
      <c r="P324" s="167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</row>
    <row r="325" spans="3:52">
      <c r="C325" s="48" t="s">
        <v>139</v>
      </c>
      <c r="E325" s="35" t="s">
        <v>15</v>
      </c>
      <c r="G325" s="38"/>
      <c r="H325" s="54"/>
      <c r="I325" s="38"/>
      <c r="J325" s="38"/>
      <c r="M325" s="221">
        <v>1.4999999999999999E-2</v>
      </c>
      <c r="N325" s="221">
        <v>0.03</v>
      </c>
      <c r="O325" s="221">
        <v>4.4999999999999998E-2</v>
      </c>
      <c r="P325" s="221">
        <v>0.06</v>
      </c>
      <c r="Q325" s="221">
        <v>7.4999999999999997E-2</v>
      </c>
      <c r="R325" s="221">
        <v>8.5000000000000006E-2</v>
      </c>
      <c r="S325" s="221">
        <v>9.5000000000000001E-2</v>
      </c>
      <c r="T325" s="221">
        <v>0.1</v>
      </c>
      <c r="U325" s="221">
        <v>0.105</v>
      </c>
      <c r="V325" s="221">
        <v>0.11</v>
      </c>
      <c r="W325" s="221">
        <v>0.112</v>
      </c>
      <c r="X325" s="221">
        <v>0.114</v>
      </c>
      <c r="Y325" s="221">
        <v>0.115</v>
      </c>
      <c r="Z325" s="221">
        <v>0.115</v>
      </c>
      <c r="AA325" s="221">
        <v>0.115</v>
      </c>
      <c r="AB325" s="221">
        <v>0.115</v>
      </c>
      <c r="AC325" s="221">
        <v>0.115</v>
      </c>
      <c r="AD325" s="221">
        <v>0.115</v>
      </c>
      <c r="AE325" s="221">
        <v>0.115</v>
      </c>
    </row>
    <row r="326" spans="3:52">
      <c r="C326" s="48" t="s">
        <v>140</v>
      </c>
      <c r="E326" s="35" t="s">
        <v>15</v>
      </c>
      <c r="G326" s="38"/>
      <c r="H326" s="54"/>
      <c r="I326" s="38"/>
      <c r="J326" s="38"/>
      <c r="M326" s="221">
        <v>5.0000000000000001E-3</v>
      </c>
      <c r="N326" s="221">
        <v>1.4999999999999999E-2</v>
      </c>
      <c r="O326" s="221">
        <v>2.5000000000000001E-2</v>
      </c>
      <c r="P326" s="221">
        <v>0.04</v>
      </c>
      <c r="Q326" s="221">
        <v>5.5E-2</v>
      </c>
      <c r="R326" s="221">
        <v>6.5000000000000002E-2</v>
      </c>
      <c r="S326" s="221">
        <v>7.4999999999999997E-2</v>
      </c>
      <c r="T326" s="221">
        <v>0.08</v>
      </c>
      <c r="U326" s="221">
        <v>8.5000000000000006E-2</v>
      </c>
      <c r="V326" s="221">
        <v>0.09</v>
      </c>
      <c r="W326" s="221">
        <v>9.1999999999999998E-2</v>
      </c>
      <c r="X326" s="221">
        <v>9.4E-2</v>
      </c>
      <c r="Y326" s="221">
        <v>9.5000000000000001E-2</v>
      </c>
      <c r="Z326" s="221">
        <v>9.5000000000000001E-2</v>
      </c>
      <c r="AA326" s="221">
        <v>9.5000000000000001E-2</v>
      </c>
      <c r="AB326" s="221">
        <v>9.5000000000000001E-2</v>
      </c>
      <c r="AC326" s="221">
        <v>9.5000000000000001E-2</v>
      </c>
      <c r="AD326" s="221">
        <v>9.5000000000000001E-2</v>
      </c>
      <c r="AE326" s="221">
        <v>9.5000000000000001E-2</v>
      </c>
    </row>
    <row r="327" spans="3:52">
      <c r="C327" s="50" t="s">
        <v>141</v>
      </c>
      <c r="E327" s="35" t="s">
        <v>15</v>
      </c>
      <c r="G327" s="38"/>
      <c r="H327" s="38"/>
      <c r="I327" s="38"/>
      <c r="J327" s="38"/>
      <c r="M327" s="221">
        <v>0</v>
      </c>
      <c r="N327" s="221">
        <v>5.0000000000000001E-3</v>
      </c>
      <c r="O327" s="221">
        <v>1.4999999999999999E-2</v>
      </c>
      <c r="P327" s="221">
        <v>2.5000000000000001E-2</v>
      </c>
      <c r="Q327" s="221">
        <v>3.5000000000000003E-2</v>
      </c>
      <c r="R327" s="221">
        <v>4.4999999999999998E-2</v>
      </c>
      <c r="S327" s="221">
        <v>5.5E-2</v>
      </c>
      <c r="T327" s="221">
        <v>0.06</v>
      </c>
      <c r="U327" s="221">
        <v>6.3E-2</v>
      </c>
      <c r="V327" s="221">
        <v>6.6000000000000003E-2</v>
      </c>
      <c r="W327" s="221">
        <v>6.8000000000000005E-2</v>
      </c>
      <c r="X327" s="221">
        <v>7.0000000000000007E-2</v>
      </c>
      <c r="Y327" s="221">
        <v>7.0000000000000007E-2</v>
      </c>
      <c r="Z327" s="221">
        <v>7.0000000000000007E-2</v>
      </c>
      <c r="AA327" s="221">
        <v>7.0000000000000007E-2</v>
      </c>
      <c r="AB327" s="221">
        <v>7.0000000000000007E-2</v>
      </c>
      <c r="AC327" s="221">
        <v>7.0000000000000007E-2</v>
      </c>
      <c r="AD327" s="221">
        <v>7.0000000000000007E-2</v>
      </c>
      <c r="AE327" s="221">
        <v>7.0000000000000007E-2</v>
      </c>
    </row>
    <row r="328" spans="3:52">
      <c r="C328" s="45"/>
      <c r="E328" s="35"/>
      <c r="G328" s="38"/>
      <c r="H328" s="54"/>
      <c r="I328" s="38"/>
      <c r="J328" s="38"/>
      <c r="M328" s="57"/>
      <c r="N328" s="57"/>
      <c r="O328" s="57"/>
      <c r="P328" s="57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 spans="3:52">
      <c r="C329" s="45" t="s">
        <v>226</v>
      </c>
      <c r="E329" s="35" t="s">
        <v>15</v>
      </c>
      <c r="G329" s="38"/>
      <c r="H329" s="54"/>
      <c r="I329" s="38"/>
      <c r="J329" s="38"/>
      <c r="N329" s="167"/>
      <c r="O329" s="167"/>
      <c r="P329" s="167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</row>
    <row r="330" spans="3:52">
      <c r="C330" s="48" t="s">
        <v>139</v>
      </c>
      <c r="E330" s="35" t="s">
        <v>15</v>
      </c>
      <c r="G330" s="38"/>
      <c r="H330" s="54"/>
      <c r="I330" s="38"/>
      <c r="J330" s="38"/>
      <c r="M330" s="221">
        <v>0</v>
      </c>
      <c r="N330" s="221">
        <v>8.0000000000000002E-3</v>
      </c>
      <c r="O330" s="221">
        <v>1.7999999999999999E-2</v>
      </c>
      <c r="P330" s="221">
        <v>0.03</v>
      </c>
      <c r="Q330" s="221">
        <v>4.2000000000000003E-2</v>
      </c>
      <c r="R330" s="221">
        <v>5.1999999999999998E-2</v>
      </c>
      <c r="S330" s="221">
        <v>0.06</v>
      </c>
      <c r="T330" s="221">
        <v>6.4000000000000001E-2</v>
      </c>
      <c r="U330" s="221">
        <v>6.7000000000000004E-2</v>
      </c>
      <c r="V330" s="221">
        <v>6.9000000000000006E-2</v>
      </c>
      <c r="W330" s="221">
        <v>7.0000000000000007E-2</v>
      </c>
      <c r="X330" s="221">
        <v>7.0000000000000007E-2</v>
      </c>
      <c r="Y330" s="221">
        <v>7.0000000000000007E-2</v>
      </c>
      <c r="Z330" s="221">
        <v>7.0000000000000007E-2</v>
      </c>
      <c r="AA330" s="221">
        <v>7.0000000000000007E-2</v>
      </c>
      <c r="AB330" s="221">
        <v>7.0000000000000007E-2</v>
      </c>
      <c r="AC330" s="221">
        <v>7.0000000000000007E-2</v>
      </c>
      <c r="AD330" s="221">
        <v>7.0000000000000007E-2</v>
      </c>
      <c r="AE330" s="221">
        <v>7.0000000000000007E-2</v>
      </c>
    </row>
    <row r="331" spans="3:52">
      <c r="C331" s="48" t="s">
        <v>140</v>
      </c>
      <c r="E331" s="35" t="s">
        <v>15</v>
      </c>
      <c r="G331" s="38"/>
      <c r="H331" s="54"/>
      <c r="I331" s="38"/>
      <c r="J331" s="38"/>
      <c r="M331" s="221">
        <v>0</v>
      </c>
      <c r="N331" s="221">
        <v>3.0000000000000001E-3</v>
      </c>
      <c r="O331" s="221">
        <v>8.0000000000000002E-3</v>
      </c>
      <c r="P331" s="221">
        <v>1.4999999999999999E-2</v>
      </c>
      <c r="Q331" s="221">
        <v>2.5000000000000001E-2</v>
      </c>
      <c r="R331" s="221">
        <v>3.5000000000000003E-2</v>
      </c>
      <c r="S331" s="221">
        <v>4.4999999999999998E-2</v>
      </c>
      <c r="T331" s="221">
        <v>0.05</v>
      </c>
      <c r="U331" s="221">
        <v>5.1999999999999998E-2</v>
      </c>
      <c r="V331" s="221">
        <v>5.3999999999999999E-2</v>
      </c>
      <c r="W331" s="221">
        <v>5.5E-2</v>
      </c>
      <c r="X331" s="221">
        <v>5.5E-2</v>
      </c>
      <c r="Y331" s="221">
        <v>5.5E-2</v>
      </c>
      <c r="Z331" s="221">
        <v>5.5E-2</v>
      </c>
      <c r="AA331" s="221">
        <v>5.5E-2</v>
      </c>
      <c r="AB331" s="221">
        <v>5.5E-2</v>
      </c>
      <c r="AC331" s="221">
        <v>5.5E-2</v>
      </c>
      <c r="AD331" s="221">
        <v>5.5E-2</v>
      </c>
      <c r="AE331" s="221">
        <v>5.5E-2</v>
      </c>
    </row>
    <row r="332" spans="3:52">
      <c r="C332" s="50" t="s">
        <v>141</v>
      </c>
      <c r="E332" s="35" t="s">
        <v>15</v>
      </c>
      <c r="G332" s="38"/>
      <c r="H332" s="38"/>
      <c r="I332" s="38"/>
      <c r="J332" s="38"/>
      <c r="M332" s="221">
        <v>0</v>
      </c>
      <c r="N332" s="221">
        <v>0</v>
      </c>
      <c r="O332" s="221">
        <v>3.0000000000000001E-3</v>
      </c>
      <c r="P332" s="221">
        <v>8.0000000000000002E-3</v>
      </c>
      <c r="Q332" s="221">
        <v>1.4999999999999999E-2</v>
      </c>
      <c r="R332" s="221">
        <v>2.1999999999999999E-2</v>
      </c>
      <c r="S332" s="221">
        <v>0.03</v>
      </c>
      <c r="T332" s="221">
        <v>3.3000000000000002E-2</v>
      </c>
      <c r="U332" s="221">
        <v>3.5999999999999997E-2</v>
      </c>
      <c r="V332" s="221">
        <v>3.7999999999999999E-2</v>
      </c>
      <c r="W332" s="221">
        <v>0.04</v>
      </c>
      <c r="X332" s="221">
        <v>0.04</v>
      </c>
      <c r="Y332" s="221">
        <v>0.04</v>
      </c>
      <c r="Z332" s="221">
        <v>0.04</v>
      </c>
      <c r="AA332" s="221">
        <v>0.04</v>
      </c>
      <c r="AB332" s="221">
        <v>0.04</v>
      </c>
      <c r="AC332" s="221">
        <v>0.04</v>
      </c>
      <c r="AD332" s="221">
        <v>0.04</v>
      </c>
      <c r="AE332" s="221">
        <v>0.04</v>
      </c>
    </row>
    <row r="333" spans="3:52">
      <c r="C333" s="34"/>
      <c r="E333" s="35"/>
      <c r="G333" s="38"/>
      <c r="H333" s="54"/>
      <c r="I333" s="38"/>
      <c r="J333" s="38"/>
      <c r="P333" s="38"/>
      <c r="Q333" s="38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</row>
    <row r="334" spans="3:52">
      <c r="C334" s="34" t="s">
        <v>227</v>
      </c>
      <c r="E334" s="35" t="s">
        <v>129</v>
      </c>
      <c r="G334" s="38"/>
      <c r="H334" s="54"/>
      <c r="I334" s="38"/>
      <c r="J334" s="38"/>
      <c r="M334" s="191">
        <f>INDEX($M$335:$AE$337,MATCH(Scenario,$C$335:$C$337,0),1)</f>
        <v>320</v>
      </c>
      <c r="N334" s="191">
        <f>INDEX($M$335:$AE$337,MATCH(Scenario,$C$335:$C$337,0),2)</f>
        <v>325</v>
      </c>
      <c r="O334" s="191">
        <f>INDEX($M$335:$AE$337,MATCH(Scenario,$C$335:$C$337,0),3)</f>
        <v>331</v>
      </c>
      <c r="P334" s="191">
        <f>INDEX($M$335:$AE$337,MATCH(Scenario,$C$335:$C$337,0),4)</f>
        <v>337</v>
      </c>
      <c r="Q334" s="191">
        <f>INDEX($M$335:$AE$337,MATCH(Scenario,$C$335:$C$337,0),5)</f>
        <v>344</v>
      </c>
      <c r="R334" s="191">
        <f>INDEX($M$335:$AE$337,MATCH(Scenario,$C$335:$C$337,0),6)</f>
        <v>351</v>
      </c>
      <c r="S334" s="191">
        <f>INDEX($M$335:$AE$337,MATCH(Scenario,$C$335:$C$337,0),7)</f>
        <v>358</v>
      </c>
      <c r="T334" s="191">
        <f>INDEX($M$335:$AE$337,MATCH(Scenario,$C$335:$C$337,0),8)</f>
        <v>365</v>
      </c>
      <c r="U334" s="191">
        <f>INDEX($M$335:$AE$337,MATCH(Scenario,$C$335:$C$337,0),9)</f>
        <v>372</v>
      </c>
      <c r="V334" s="191">
        <f>INDEX($M$335:$AE$337,MATCH(Scenario,$C$335:$C$337,0),10)</f>
        <v>375</v>
      </c>
      <c r="W334" s="191">
        <f>INDEX($M$335:$AE$337,MATCH(Scenario,$C$335:$C$337,0),11)</f>
        <v>375</v>
      </c>
      <c r="X334" s="191">
        <f>INDEX($M$335:$AE$337,MATCH(Scenario,$C$335:$C$337,0),12)</f>
        <v>375</v>
      </c>
      <c r="Y334" s="191">
        <f>INDEX($M$335:$AE$337,MATCH(Scenario,$C$335:$C$337,0),13)</f>
        <v>375</v>
      </c>
      <c r="Z334" s="191">
        <f>INDEX($M$335:$AE$337,MATCH(Scenario,$C$335:$C$337,0),14)</f>
        <v>375</v>
      </c>
      <c r="AA334" s="191">
        <f>INDEX($M$335:$AE$337,MATCH(Scenario,$C$335:$C$337,0),15)</f>
        <v>375</v>
      </c>
      <c r="AB334" s="191">
        <f>INDEX($M$335:$AE$337,MATCH(Scenario,$C$335:$C$337,0),16)</f>
        <v>375</v>
      </c>
      <c r="AC334" s="191">
        <f>INDEX($M$335:$AE$337,MATCH(Scenario,$C$335:$C$337,0),17)</f>
        <v>375</v>
      </c>
      <c r="AD334" s="191">
        <f>INDEX($M$335:$AE$337,MATCH(Scenario,$C$335:$C$337,0),18)</f>
        <v>375</v>
      </c>
      <c r="AE334" s="191">
        <f>INDEX($M$335:$AE$337,MATCH(Scenario,$C$335:$C$337,0),19)</f>
        <v>375</v>
      </c>
    </row>
    <row r="335" spans="3:52">
      <c r="C335" s="50" t="s">
        <v>139</v>
      </c>
      <c r="E335" s="35" t="s">
        <v>129</v>
      </c>
      <c r="G335" s="38"/>
      <c r="H335" s="54"/>
      <c r="I335" s="38"/>
      <c r="J335" s="38"/>
      <c r="M335" s="186">
        <v>340</v>
      </c>
      <c r="N335" s="186">
        <v>346</v>
      </c>
      <c r="O335" s="186">
        <v>353</v>
      </c>
      <c r="P335" s="186">
        <v>360</v>
      </c>
      <c r="Q335" s="186">
        <v>367</v>
      </c>
      <c r="R335" s="186">
        <v>375</v>
      </c>
      <c r="S335" s="186">
        <v>383</v>
      </c>
      <c r="T335" s="186">
        <v>391</v>
      </c>
      <c r="U335" s="186">
        <v>399</v>
      </c>
      <c r="V335" s="186">
        <v>400</v>
      </c>
      <c r="W335" s="186">
        <v>400</v>
      </c>
      <c r="X335" s="186">
        <v>400</v>
      </c>
      <c r="Y335" s="186">
        <v>400</v>
      </c>
      <c r="Z335" s="186">
        <v>400</v>
      </c>
      <c r="AA335" s="186">
        <v>400</v>
      </c>
      <c r="AB335" s="186">
        <v>400</v>
      </c>
      <c r="AC335" s="186">
        <v>400</v>
      </c>
      <c r="AD335" s="186">
        <v>400</v>
      </c>
      <c r="AE335" s="186">
        <v>400</v>
      </c>
    </row>
    <row r="336" spans="3:52">
      <c r="C336" s="50" t="s">
        <v>140</v>
      </c>
      <c r="E336" s="35" t="s">
        <v>129</v>
      </c>
      <c r="G336" s="38"/>
      <c r="H336" s="54"/>
      <c r="I336" s="38"/>
      <c r="J336" s="38"/>
      <c r="M336" s="186">
        <v>320</v>
      </c>
      <c r="N336" s="186">
        <v>325</v>
      </c>
      <c r="O336" s="186">
        <v>331</v>
      </c>
      <c r="P336" s="186">
        <v>337</v>
      </c>
      <c r="Q336" s="186">
        <v>344</v>
      </c>
      <c r="R336" s="186">
        <v>351</v>
      </c>
      <c r="S336" s="186">
        <v>358</v>
      </c>
      <c r="T336" s="186">
        <v>365</v>
      </c>
      <c r="U336" s="186">
        <v>372</v>
      </c>
      <c r="V336" s="186">
        <v>375</v>
      </c>
      <c r="W336" s="186">
        <v>375</v>
      </c>
      <c r="X336" s="186">
        <v>375</v>
      </c>
      <c r="Y336" s="186">
        <v>375</v>
      </c>
      <c r="Z336" s="186">
        <v>375</v>
      </c>
      <c r="AA336" s="186">
        <v>375</v>
      </c>
      <c r="AB336" s="186">
        <v>375</v>
      </c>
      <c r="AC336" s="186">
        <v>375</v>
      </c>
      <c r="AD336" s="186">
        <v>375</v>
      </c>
      <c r="AE336" s="186">
        <v>375</v>
      </c>
    </row>
    <row r="337" spans="3:31">
      <c r="C337" s="50" t="s">
        <v>141</v>
      </c>
      <c r="E337" s="35" t="s">
        <v>129</v>
      </c>
      <c r="G337" s="38"/>
      <c r="H337" s="38"/>
      <c r="I337" s="38"/>
      <c r="J337" s="38"/>
      <c r="M337" s="186">
        <v>290</v>
      </c>
      <c r="N337" s="186">
        <v>294</v>
      </c>
      <c r="O337" s="186">
        <v>299</v>
      </c>
      <c r="P337" s="186">
        <v>304</v>
      </c>
      <c r="Q337" s="186">
        <v>310</v>
      </c>
      <c r="R337" s="186">
        <v>316</v>
      </c>
      <c r="S337" s="186">
        <v>322</v>
      </c>
      <c r="T337" s="186">
        <v>328</v>
      </c>
      <c r="U337" s="186">
        <v>334</v>
      </c>
      <c r="V337" s="186">
        <v>340</v>
      </c>
      <c r="W337" s="186">
        <v>340</v>
      </c>
      <c r="X337" s="186">
        <v>340</v>
      </c>
      <c r="Y337" s="186">
        <v>340</v>
      </c>
      <c r="Z337" s="186">
        <v>340</v>
      </c>
      <c r="AA337" s="186">
        <v>340</v>
      </c>
      <c r="AB337" s="186">
        <v>340</v>
      </c>
      <c r="AC337" s="186">
        <v>340</v>
      </c>
      <c r="AD337" s="186">
        <v>340</v>
      </c>
      <c r="AE337" s="186">
        <v>340</v>
      </c>
    </row>
    <row r="338" spans="3:31">
      <c r="C338" s="34"/>
      <c r="E338" s="35"/>
      <c r="G338" s="38"/>
      <c r="H338" s="38"/>
      <c r="I338" s="38"/>
      <c r="J338" s="38"/>
      <c r="Q338" s="36"/>
      <c r="U338" s="37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</row>
    <row r="339" spans="3:31">
      <c r="C339" s="34" t="s">
        <v>228</v>
      </c>
      <c r="E339" s="35" t="s">
        <v>129</v>
      </c>
      <c r="G339" s="38"/>
      <c r="H339" s="38"/>
      <c r="I339" s="38"/>
      <c r="J339" s="38"/>
      <c r="M339" s="191">
        <f>INDEX($M$340:$AE$342,MATCH(Scenario,$C$340:$C$342,0),1)</f>
        <v>190</v>
      </c>
      <c r="N339" s="191">
        <f>INDEX($M$340:$AE$342,MATCH(Scenario,$C$340:$C$342,0),2)</f>
        <v>193</v>
      </c>
      <c r="O339" s="191">
        <f>INDEX($M$340:$AE$342,MATCH(Scenario,$C$340:$C$342,0),3)</f>
        <v>197</v>
      </c>
      <c r="P339" s="191">
        <f>INDEX($M$340:$AE$342,MATCH(Scenario,$C$340:$C$342,0),4)</f>
        <v>201</v>
      </c>
      <c r="Q339" s="191">
        <f>INDEX($M$340:$AE$342,MATCH(Scenario,$C$340:$C$342,0),5)</f>
        <v>205</v>
      </c>
      <c r="R339" s="191">
        <f>INDEX($M$340:$AE$342,MATCH(Scenario,$C$340:$C$342,0),6)</f>
        <v>209</v>
      </c>
      <c r="S339" s="191">
        <f>INDEX($M$340:$AE$342,MATCH(Scenario,$C$340:$C$342,0),7)</f>
        <v>213</v>
      </c>
      <c r="T339" s="191">
        <f>INDEX($M$340:$AE$342,MATCH(Scenario,$C$340:$C$342,0),8)</f>
        <v>217</v>
      </c>
      <c r="U339" s="191">
        <f>INDEX($M$340:$AE$342,MATCH(Scenario,$C$340:$C$342,0),9)</f>
        <v>221</v>
      </c>
      <c r="V339" s="191">
        <f>INDEX($M$340:$AE$342,MATCH(Scenario,$C$340:$C$342,0),10)</f>
        <v>225</v>
      </c>
      <c r="W339" s="191">
        <f>INDEX($M$340:$AE$342,MATCH(Scenario,$C$340:$C$342,0),11)</f>
        <v>225</v>
      </c>
      <c r="X339" s="191">
        <f>INDEX($M$340:$AE$342,MATCH(Scenario,$C$340:$C$342,0),12)</f>
        <v>225</v>
      </c>
      <c r="Y339" s="191">
        <f>INDEX($M$340:$AE$342,MATCH(Scenario,$C$340:$C$342,0),13)</f>
        <v>225</v>
      </c>
      <c r="Z339" s="191">
        <f>INDEX($M$340:$AE$342,MATCH(Scenario,$C$340:$C$342,0),14)</f>
        <v>225</v>
      </c>
      <c r="AA339" s="191">
        <f>INDEX($M$340:$AE$342,MATCH(Scenario,$C$340:$C$342,0),15)</f>
        <v>225</v>
      </c>
      <c r="AB339" s="191">
        <f>INDEX($M$340:$AE$342,MATCH(Scenario,$C$340:$C$342,0),16)</f>
        <v>225</v>
      </c>
      <c r="AC339" s="191">
        <f>INDEX($M$340:$AE$342,MATCH(Scenario,$C$340:$C$342,0),17)</f>
        <v>225</v>
      </c>
      <c r="AD339" s="191">
        <f>INDEX($M$340:$AE$342,MATCH(Scenario,$C$340:$C$342,0),18)</f>
        <v>225</v>
      </c>
      <c r="AE339" s="191">
        <f>INDEX($M$340:$AE$342,MATCH(Scenario,$C$340:$C$342,0),19)</f>
        <v>225</v>
      </c>
    </row>
    <row r="340" spans="3:31">
      <c r="C340" s="50" t="s">
        <v>139</v>
      </c>
      <c r="E340" s="35" t="s">
        <v>129</v>
      </c>
      <c r="G340" s="38"/>
      <c r="H340" s="54"/>
      <c r="I340" s="38"/>
      <c r="J340" s="38"/>
      <c r="M340" s="186">
        <v>210</v>
      </c>
      <c r="N340" s="186">
        <v>214</v>
      </c>
      <c r="O340" s="186">
        <v>219</v>
      </c>
      <c r="P340" s="186">
        <v>224</v>
      </c>
      <c r="Q340" s="186">
        <v>229</v>
      </c>
      <c r="R340" s="186">
        <v>235</v>
      </c>
      <c r="S340" s="186">
        <v>241</v>
      </c>
      <c r="T340" s="186">
        <v>246</v>
      </c>
      <c r="U340" s="186">
        <v>249</v>
      </c>
      <c r="V340" s="186">
        <v>250</v>
      </c>
      <c r="W340" s="186">
        <v>250</v>
      </c>
      <c r="X340" s="186">
        <v>250</v>
      </c>
      <c r="Y340" s="186">
        <v>250</v>
      </c>
      <c r="Z340" s="186">
        <v>250</v>
      </c>
      <c r="AA340" s="186">
        <v>250</v>
      </c>
      <c r="AB340" s="186">
        <v>250</v>
      </c>
      <c r="AC340" s="186">
        <v>250</v>
      </c>
      <c r="AD340" s="186">
        <v>250</v>
      </c>
      <c r="AE340" s="186">
        <v>250</v>
      </c>
    </row>
    <row r="341" spans="3:31">
      <c r="C341" s="50" t="s">
        <v>140</v>
      </c>
      <c r="E341" s="35" t="s">
        <v>129</v>
      </c>
      <c r="G341" s="38"/>
      <c r="H341" s="54"/>
      <c r="I341" s="38"/>
      <c r="J341" s="38"/>
      <c r="M341" s="186">
        <v>190</v>
      </c>
      <c r="N341" s="186">
        <v>193</v>
      </c>
      <c r="O341" s="186">
        <v>197</v>
      </c>
      <c r="P341" s="186">
        <v>201</v>
      </c>
      <c r="Q341" s="186">
        <v>205</v>
      </c>
      <c r="R341" s="186">
        <v>209</v>
      </c>
      <c r="S341" s="186">
        <v>213</v>
      </c>
      <c r="T341" s="186">
        <v>217</v>
      </c>
      <c r="U341" s="186">
        <v>221</v>
      </c>
      <c r="V341" s="186">
        <v>225</v>
      </c>
      <c r="W341" s="186">
        <v>225</v>
      </c>
      <c r="X341" s="186">
        <v>225</v>
      </c>
      <c r="Y341" s="186">
        <v>225</v>
      </c>
      <c r="Z341" s="186">
        <v>225</v>
      </c>
      <c r="AA341" s="186">
        <v>225</v>
      </c>
      <c r="AB341" s="186">
        <v>225</v>
      </c>
      <c r="AC341" s="186">
        <v>225</v>
      </c>
      <c r="AD341" s="186">
        <v>225</v>
      </c>
      <c r="AE341" s="186">
        <v>225</v>
      </c>
    </row>
    <row r="342" spans="3:31">
      <c r="C342" s="50" t="s">
        <v>141</v>
      </c>
      <c r="E342" s="35" t="s">
        <v>129</v>
      </c>
      <c r="G342" s="38"/>
      <c r="H342" s="54"/>
      <c r="I342" s="38"/>
      <c r="J342" s="38"/>
      <c r="M342" s="186">
        <v>170</v>
      </c>
      <c r="N342" s="186">
        <v>173</v>
      </c>
      <c r="O342" s="186">
        <v>177</v>
      </c>
      <c r="P342" s="186">
        <v>181</v>
      </c>
      <c r="Q342" s="186">
        <v>185</v>
      </c>
      <c r="R342" s="186">
        <v>189</v>
      </c>
      <c r="S342" s="186">
        <v>193</v>
      </c>
      <c r="T342" s="186">
        <v>196</v>
      </c>
      <c r="U342" s="186">
        <v>198</v>
      </c>
      <c r="V342" s="186">
        <v>200</v>
      </c>
      <c r="W342" s="186">
        <v>200</v>
      </c>
      <c r="X342" s="186">
        <v>200</v>
      </c>
      <c r="Y342" s="186">
        <v>200</v>
      </c>
      <c r="Z342" s="186">
        <v>200</v>
      </c>
      <c r="AA342" s="186">
        <v>200</v>
      </c>
      <c r="AB342" s="186">
        <v>200</v>
      </c>
      <c r="AC342" s="186">
        <v>200</v>
      </c>
      <c r="AD342" s="186">
        <v>200</v>
      </c>
      <c r="AE342" s="186">
        <v>200</v>
      </c>
    </row>
    <row r="343" spans="3:31">
      <c r="C343" s="48"/>
      <c r="E343" s="35"/>
      <c r="G343" s="38"/>
      <c r="H343" s="54"/>
      <c r="I343" s="38"/>
      <c r="J343" s="38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</row>
    <row r="344" spans="3:31">
      <c r="C344" s="42" t="s">
        <v>229</v>
      </c>
      <c r="E344" s="35" t="s">
        <v>20</v>
      </c>
      <c r="G344" s="38"/>
      <c r="H344" s="38"/>
      <c r="I344" s="38"/>
      <c r="J344" s="38"/>
      <c r="M344" s="191">
        <f>INDEX($M$345:$AE$347,MATCH(Scenario,$C$345:$C$347,0),1)</f>
        <v>90.902249999999967</v>
      </c>
      <c r="N344" s="191">
        <f>INDEX($M$345:$AE$347,MATCH(Scenario,$C$345:$C$347,0),2)</f>
        <v>274.07028374999987</v>
      </c>
      <c r="O344" s="191">
        <f>INDEX($M$345:$AE$347,MATCH(Scenario,$C$345:$C$347,0),3)</f>
        <v>459.06772528124975</v>
      </c>
      <c r="P344" s="191">
        <f>INDEX($M$345:$AE$347,MATCH(Scenario,$C$345:$C$347,0),4)</f>
        <v>738.18090225224955</v>
      </c>
      <c r="Q344" s="191">
        <f>INDEX($M$345:$AE$347,MATCH(Scenario,$C$345:$C$347,0),5)</f>
        <v>1020.0737342998272</v>
      </c>
      <c r="R344" s="191">
        <f>INDEX($M$345:$AE$347,MATCH(Scenario,$C$345:$C$347,0),6)</f>
        <v>1211.5693944206582</v>
      </c>
      <c r="S344" s="191">
        <f>INDEX($M$345:$AE$347,MATCH(Scenario,$C$345:$C$347,0),7)</f>
        <v>1404.9545092993401</v>
      </c>
      <c r="T344" s="191">
        <f>INDEX($M$345:$AE$347,MATCH(Scenario,$C$345:$C$347,0),8)</f>
        <v>1506.1112339688925</v>
      </c>
      <c r="U344" s="191">
        <f>INDEX($M$345:$AE$347,MATCH(Scenario,$C$345:$C$347,0),9)</f>
        <v>1608.2444020224079</v>
      </c>
      <c r="V344" s="191">
        <f>INDEX($M$345:$AE$347,MATCH(Scenario,$C$345:$C$347,0),10)</f>
        <v>1711.3612489756092</v>
      </c>
      <c r="W344" s="191">
        <f>INDEX($M$345:$AE$347,MATCH(Scenario,$C$345:$C$347,0),11)</f>
        <v>1758.1384564476093</v>
      </c>
      <c r="X344" s="191">
        <f>INDEX($M$345:$AE$347,MATCH(Scenario,$C$345:$C$347,0),12)</f>
        <v>1805.3406519631046</v>
      </c>
      <c r="Y344" s="191">
        <f>INDEX($M$345:$AE$347,MATCH(Scenario,$C$345:$C$347,0),13)</f>
        <v>1833.6691355976318</v>
      </c>
      <c r="Z344" s="191">
        <f>INDEX($M$345:$AE$347,MATCH(Scenario,$C$345:$C$347,0),14)</f>
        <v>1842.8374812756197</v>
      </c>
      <c r="AA344" s="191">
        <f>INDEX($M$345:$AE$347,MATCH(Scenario,$C$345:$C$347,0),15)</f>
        <v>1852.0516686819976</v>
      </c>
      <c r="AB344" s="191">
        <f>INDEX($M$345:$AE$347,MATCH(Scenario,$C$345:$C$347,0),16)</f>
        <v>1861.3119270254076</v>
      </c>
      <c r="AC344" s="191">
        <f>INDEX($M$345:$AE$347,MATCH(Scenario,$C$345:$C$347,0),17)</f>
        <v>1870.6184866605345</v>
      </c>
      <c r="AD344" s="191">
        <f>INDEX($M$345:$AE$347,MATCH(Scenario,$C$345:$C$347,0),18)</f>
        <v>1879.9715790938369</v>
      </c>
      <c r="AE344" s="191">
        <f>INDEX($M$345:$AE$347,MATCH(Scenario,$C$345:$C$347,0),19)</f>
        <v>1889.3714369893062</v>
      </c>
    </row>
    <row r="345" spans="3:31">
      <c r="C345" s="50" t="s">
        <v>139</v>
      </c>
      <c r="E345" s="35" t="s">
        <v>20</v>
      </c>
      <c r="G345" s="38"/>
      <c r="H345" s="54"/>
      <c r="I345" s="38"/>
      <c r="J345" s="38"/>
      <c r="M345" s="186">
        <f t="shared" ref="M345:AE345" si="182">M$317*M325</f>
        <v>272.70674999999989</v>
      </c>
      <c r="N345" s="186">
        <f t="shared" si="182"/>
        <v>548.14056749999975</v>
      </c>
      <c r="O345" s="186">
        <f t="shared" si="182"/>
        <v>826.32190550624955</v>
      </c>
      <c r="P345" s="186">
        <f t="shared" si="182"/>
        <v>1107.2713533783742</v>
      </c>
      <c r="Q345" s="186">
        <f t="shared" si="182"/>
        <v>1391.0096376815825</v>
      </c>
      <c r="R345" s="186">
        <f t="shared" si="182"/>
        <v>1584.3599773193225</v>
      </c>
      <c r="S345" s="186">
        <f t="shared" si="182"/>
        <v>1779.6090451124974</v>
      </c>
      <c r="T345" s="186">
        <f t="shared" si="182"/>
        <v>1882.6390424611157</v>
      </c>
      <c r="U345" s="186">
        <f t="shared" si="182"/>
        <v>1986.6548495570921</v>
      </c>
      <c r="V345" s="186">
        <f t="shared" si="182"/>
        <v>2091.663748747967</v>
      </c>
      <c r="W345" s="186">
        <f t="shared" si="182"/>
        <v>2140.3424687188285</v>
      </c>
      <c r="X345" s="186">
        <f t="shared" si="182"/>
        <v>2189.4556842956799</v>
      </c>
      <c r="Y345" s="186">
        <f t="shared" si="182"/>
        <v>2219.7047430918701</v>
      </c>
      <c r="Z345" s="186">
        <f t="shared" si="182"/>
        <v>2230.8032668073292</v>
      </c>
      <c r="AA345" s="186">
        <f t="shared" si="182"/>
        <v>2241.9572831413657</v>
      </c>
      <c r="AB345" s="186">
        <f t="shared" si="182"/>
        <v>2253.1670695570724</v>
      </c>
      <c r="AC345" s="186">
        <f t="shared" si="182"/>
        <v>2264.4329049048574</v>
      </c>
      <c r="AD345" s="186">
        <f t="shared" si="182"/>
        <v>2275.7550694293818</v>
      </c>
      <c r="AE345" s="186">
        <f t="shared" si="182"/>
        <v>2287.1338447765283</v>
      </c>
    </row>
    <row r="346" spans="3:31">
      <c r="C346" s="50" t="s">
        <v>140</v>
      </c>
      <c r="E346" s="35" t="s">
        <v>20</v>
      </c>
      <c r="G346" s="38"/>
      <c r="H346" s="54"/>
      <c r="I346" s="38"/>
      <c r="J346" s="38"/>
      <c r="M346" s="186">
        <f t="shared" ref="M346:AE346" si="183">M$317*M326</f>
        <v>90.902249999999967</v>
      </c>
      <c r="N346" s="186">
        <f t="shared" si="183"/>
        <v>274.07028374999987</v>
      </c>
      <c r="O346" s="186">
        <f t="shared" si="183"/>
        <v>459.06772528124975</v>
      </c>
      <c r="P346" s="186">
        <f t="shared" si="183"/>
        <v>738.18090225224955</v>
      </c>
      <c r="Q346" s="186">
        <f t="shared" si="183"/>
        <v>1020.0737342998272</v>
      </c>
      <c r="R346" s="186">
        <f t="shared" si="183"/>
        <v>1211.5693944206582</v>
      </c>
      <c r="S346" s="186">
        <f t="shared" si="183"/>
        <v>1404.9545092993401</v>
      </c>
      <c r="T346" s="186">
        <f t="shared" si="183"/>
        <v>1506.1112339688925</v>
      </c>
      <c r="U346" s="186">
        <f t="shared" si="183"/>
        <v>1608.2444020224079</v>
      </c>
      <c r="V346" s="186">
        <f t="shared" si="183"/>
        <v>1711.3612489756092</v>
      </c>
      <c r="W346" s="186">
        <f t="shared" si="183"/>
        <v>1758.1384564476093</v>
      </c>
      <c r="X346" s="186">
        <f t="shared" si="183"/>
        <v>1805.3406519631046</v>
      </c>
      <c r="Y346" s="186">
        <f t="shared" si="183"/>
        <v>1833.6691355976318</v>
      </c>
      <c r="Z346" s="186">
        <f t="shared" si="183"/>
        <v>1842.8374812756197</v>
      </c>
      <c r="AA346" s="186">
        <f t="shared" si="183"/>
        <v>1852.0516686819976</v>
      </c>
      <c r="AB346" s="186">
        <f t="shared" si="183"/>
        <v>1861.3119270254076</v>
      </c>
      <c r="AC346" s="186">
        <f t="shared" si="183"/>
        <v>1870.6184866605345</v>
      </c>
      <c r="AD346" s="186">
        <f t="shared" si="183"/>
        <v>1879.9715790938369</v>
      </c>
      <c r="AE346" s="186">
        <f t="shared" si="183"/>
        <v>1889.3714369893062</v>
      </c>
    </row>
    <row r="347" spans="3:31">
      <c r="C347" s="50" t="s">
        <v>141</v>
      </c>
      <c r="E347" s="35" t="s">
        <v>20</v>
      </c>
      <c r="G347" s="38"/>
      <c r="H347" s="54"/>
      <c r="I347" s="38"/>
      <c r="J347" s="38"/>
      <c r="M347" s="186">
        <f t="shared" ref="M347:AE347" si="184">M$317*M327</f>
        <v>0</v>
      </c>
      <c r="N347" s="186">
        <f t="shared" si="184"/>
        <v>91.356761249999963</v>
      </c>
      <c r="O347" s="186">
        <f t="shared" si="184"/>
        <v>275.44063516874985</v>
      </c>
      <c r="P347" s="186">
        <f t="shared" si="184"/>
        <v>461.36306390765594</v>
      </c>
      <c r="Q347" s="186">
        <f t="shared" si="184"/>
        <v>649.13783091807193</v>
      </c>
      <c r="R347" s="186">
        <f t="shared" si="184"/>
        <v>838.77881152199416</v>
      </c>
      <c r="S347" s="186">
        <f t="shared" si="184"/>
        <v>1030.2999734861828</v>
      </c>
      <c r="T347" s="186">
        <f t="shared" si="184"/>
        <v>1129.5834254766694</v>
      </c>
      <c r="U347" s="186">
        <f t="shared" si="184"/>
        <v>1191.9929097342554</v>
      </c>
      <c r="V347" s="186">
        <f t="shared" si="184"/>
        <v>1254.9982492487802</v>
      </c>
      <c r="W347" s="186">
        <f t="shared" si="184"/>
        <v>1299.4936417221461</v>
      </c>
      <c r="X347" s="186">
        <f t="shared" si="184"/>
        <v>1344.4026131640142</v>
      </c>
      <c r="Y347" s="186">
        <f t="shared" si="184"/>
        <v>1351.1246262298341</v>
      </c>
      <c r="Z347" s="186">
        <f t="shared" si="184"/>
        <v>1357.880249360983</v>
      </c>
      <c r="AA347" s="186">
        <f t="shared" si="184"/>
        <v>1364.6696506077878</v>
      </c>
      <c r="AB347" s="186">
        <f t="shared" si="184"/>
        <v>1371.4929988608267</v>
      </c>
      <c r="AC347" s="186">
        <f t="shared" si="184"/>
        <v>1378.3504638551308</v>
      </c>
      <c r="AD347" s="186">
        <f t="shared" si="184"/>
        <v>1385.2422161744064</v>
      </c>
      <c r="AE347" s="186">
        <f t="shared" si="184"/>
        <v>1392.1684272552782</v>
      </c>
    </row>
    <row r="348" spans="3:31">
      <c r="C348" s="48"/>
      <c r="E348" s="35"/>
      <c r="G348" s="38"/>
      <c r="H348" s="54"/>
      <c r="I348" s="38"/>
      <c r="J348" s="38"/>
      <c r="P348" s="38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</row>
    <row r="349" spans="3:31">
      <c r="C349" s="34" t="s">
        <v>230</v>
      </c>
      <c r="E349" s="35" t="s">
        <v>20</v>
      </c>
      <c r="G349" s="38"/>
      <c r="H349" s="54"/>
      <c r="I349" s="38"/>
      <c r="J349" s="38"/>
      <c r="M349" s="191">
        <f>INDEX($M$350:$AE$352,MATCH(Scenario,$C$350:$C$352,0),1)</f>
        <v>0</v>
      </c>
      <c r="N349" s="191">
        <f>INDEX($M$350:$AE$352,MATCH(Scenario,$C$350:$C$352,0),2)</f>
        <v>106.58288812499995</v>
      </c>
      <c r="O349" s="191">
        <f>INDEX($M$350:$AE$352,MATCH(Scenario,$C$350:$C$352,0),3)</f>
        <v>285.64214017499984</v>
      </c>
      <c r="P349" s="191">
        <f>INDEX($M$350:$AE$352,MATCH(Scenario,$C$350:$C$352,0),4)</f>
        <v>538.25690789226519</v>
      </c>
      <c r="Q349" s="191">
        <f>INDEX($M$350:$AE$352,MATCH(Scenario,$C$350:$C$352,0),5)</f>
        <v>901.58032071954426</v>
      </c>
      <c r="R349" s="191">
        <f>INDEX($M$350:$AE$352,MATCH(Scenario,$C$350:$C$352,0),6)</f>
        <v>1268.5235112523985</v>
      </c>
      <c r="S349" s="191">
        <f>INDEX($M$350:$AE$352,MATCH(Scenario,$C$350:$C$352,0),7)</f>
        <v>1639.1135941825632</v>
      </c>
      <c r="T349" s="191">
        <f>INDEX($M$350:$AE$352,MATCH(Scenario,$C$350:$C$352,0),8)</f>
        <v>1830.3435135038621</v>
      </c>
      <c r="U349" s="191">
        <f>INDEX($M$350:$AE$352,MATCH(Scenario,$C$350:$C$352,0),9)</f>
        <v>1913.0750403142363</v>
      </c>
      <c r="V349" s="191">
        <f>INDEX($M$350:$AE$352,MATCH(Scenario,$C$350:$C$352,0),10)</f>
        <v>1996.5881238048769</v>
      </c>
      <c r="W349" s="191">
        <f>INDEX($M$350:$AE$352,MATCH(Scenario,$C$350:$C$352,0),11)</f>
        <v>2043.7297878391587</v>
      </c>
      <c r="X349" s="191">
        <f>INDEX($M$350:$AE$352,MATCH(Scenario,$C$350:$C$352,0),12)</f>
        <v>2053.9484367783543</v>
      </c>
      <c r="Y349" s="191">
        <f>INDEX($M$350:$AE$352,MATCH(Scenario,$C$350:$C$352,0),13)</f>
        <v>2064.2181789622459</v>
      </c>
      <c r="Z349" s="191">
        <f>INDEX($M$350:$AE$352,MATCH(Scenario,$C$350:$C$352,0),14)</f>
        <v>2074.5392698570572</v>
      </c>
      <c r="AA349" s="191">
        <f>INDEX($M$350:$AE$352,MATCH(Scenario,$C$350:$C$352,0),15)</f>
        <v>2084.9119662063422</v>
      </c>
      <c r="AB349" s="191">
        <f>INDEX($M$350:$AE$352,MATCH(Scenario,$C$350:$C$352,0),16)</f>
        <v>2095.3365260373735</v>
      </c>
      <c r="AC349" s="191">
        <f>INDEX($M$350:$AE$352,MATCH(Scenario,$C$350:$C$352,0),17)</f>
        <v>2105.8132086675605</v>
      </c>
      <c r="AD349" s="191">
        <f>INDEX($M$350:$AE$352,MATCH(Scenario,$C$350:$C$352,0),18)</f>
        <v>2116.342274710898</v>
      </c>
      <c r="AE349" s="191">
        <f>INDEX($M$350:$AE$352,MATCH(Scenario,$C$350:$C$352,0),19)</f>
        <v>2255</v>
      </c>
    </row>
    <row r="350" spans="3:31">
      <c r="C350" s="50" t="s">
        <v>139</v>
      </c>
      <c r="E350" s="35" t="s">
        <v>20</v>
      </c>
      <c r="G350" s="38"/>
      <c r="H350" s="54"/>
      <c r="I350" s="38"/>
      <c r="J350" s="38"/>
      <c r="M350" s="186">
        <f t="shared" ref="M350:AE350" si="185">M$321*M330</f>
        <v>0</v>
      </c>
      <c r="N350" s="186">
        <f t="shared" si="185"/>
        <v>284.22103499999986</v>
      </c>
      <c r="O350" s="186">
        <f t="shared" si="185"/>
        <v>642.69481539374954</v>
      </c>
      <c r="P350" s="186">
        <f t="shared" si="185"/>
        <v>1076.5138157845304</v>
      </c>
      <c r="Q350" s="186">
        <f t="shared" si="185"/>
        <v>1514.6549388088345</v>
      </c>
      <c r="R350" s="186">
        <f t="shared" si="185"/>
        <v>1884.6635024321349</v>
      </c>
      <c r="S350" s="186">
        <f t="shared" si="185"/>
        <v>2185.4847922434178</v>
      </c>
      <c r="T350" s="186">
        <f t="shared" si="185"/>
        <v>2342.8396972849437</v>
      </c>
      <c r="U350" s="186">
        <f t="shared" si="185"/>
        <v>2464.9236096356508</v>
      </c>
      <c r="V350" s="186">
        <f t="shared" si="185"/>
        <v>2551.1959359728985</v>
      </c>
      <c r="W350" s="186">
        <f t="shared" si="185"/>
        <v>2601.1106390680206</v>
      </c>
      <c r="X350" s="186">
        <f t="shared" si="185"/>
        <v>2614.1161922633605</v>
      </c>
      <c r="Y350" s="186">
        <f t="shared" si="185"/>
        <v>2627.1867732246769</v>
      </c>
      <c r="Z350" s="186">
        <f t="shared" si="185"/>
        <v>2640.3227070908006</v>
      </c>
      <c r="AA350" s="186">
        <f t="shared" si="185"/>
        <v>2653.5243206262539</v>
      </c>
      <c r="AB350" s="186">
        <f t="shared" si="185"/>
        <v>2666.7919422293849</v>
      </c>
      <c r="AC350" s="186">
        <f t="shared" si="185"/>
        <v>2680.125901940532</v>
      </c>
      <c r="AD350" s="186">
        <f t="shared" si="185"/>
        <v>2693.526531450234</v>
      </c>
      <c r="AE350" s="186">
        <f t="shared" si="185"/>
        <v>2870.0000000000005</v>
      </c>
    </row>
    <row r="351" spans="3:31">
      <c r="C351" s="50" t="s">
        <v>140</v>
      </c>
      <c r="E351" s="35" t="s">
        <v>20</v>
      </c>
      <c r="G351" s="38"/>
      <c r="H351" s="54"/>
      <c r="I351" s="38"/>
      <c r="J351" s="38"/>
      <c r="M351" s="186">
        <f t="shared" ref="M351:AE351" si="186">M$321*M331</f>
        <v>0</v>
      </c>
      <c r="N351" s="186">
        <f t="shared" si="186"/>
        <v>106.58288812499995</v>
      </c>
      <c r="O351" s="186">
        <f t="shared" si="186"/>
        <v>285.64214017499984</v>
      </c>
      <c r="P351" s="186">
        <f t="shared" si="186"/>
        <v>538.25690789226519</v>
      </c>
      <c r="Q351" s="186">
        <f t="shared" si="186"/>
        <v>901.58032071954426</v>
      </c>
      <c r="R351" s="186">
        <f t="shared" si="186"/>
        <v>1268.5235112523985</v>
      </c>
      <c r="S351" s="186">
        <f t="shared" si="186"/>
        <v>1639.1135941825632</v>
      </c>
      <c r="T351" s="186">
        <f t="shared" si="186"/>
        <v>1830.3435135038621</v>
      </c>
      <c r="U351" s="186">
        <f t="shared" si="186"/>
        <v>1913.0750403142363</v>
      </c>
      <c r="V351" s="186">
        <f t="shared" si="186"/>
        <v>1996.5881238048769</v>
      </c>
      <c r="W351" s="186">
        <f t="shared" si="186"/>
        <v>2043.7297878391587</v>
      </c>
      <c r="X351" s="186">
        <f t="shared" si="186"/>
        <v>2053.9484367783543</v>
      </c>
      <c r="Y351" s="186">
        <f t="shared" si="186"/>
        <v>2064.2181789622459</v>
      </c>
      <c r="Z351" s="186">
        <f t="shared" si="186"/>
        <v>2074.5392698570572</v>
      </c>
      <c r="AA351" s="186">
        <f t="shared" si="186"/>
        <v>2084.9119662063422</v>
      </c>
      <c r="AB351" s="186">
        <f t="shared" si="186"/>
        <v>2095.3365260373735</v>
      </c>
      <c r="AC351" s="186">
        <f t="shared" si="186"/>
        <v>2105.8132086675605</v>
      </c>
      <c r="AD351" s="186">
        <f t="shared" si="186"/>
        <v>2116.342274710898</v>
      </c>
      <c r="AE351" s="186">
        <f t="shared" si="186"/>
        <v>2255</v>
      </c>
    </row>
    <row r="352" spans="3:31">
      <c r="C352" s="50" t="s">
        <v>141</v>
      </c>
      <c r="E352" s="35" t="s">
        <v>20</v>
      </c>
      <c r="G352" s="38"/>
      <c r="H352" s="54"/>
      <c r="I352" s="38"/>
      <c r="J352" s="38"/>
      <c r="M352" s="186">
        <f t="shared" ref="M352:AE352" si="187">M$321*M332</f>
        <v>0</v>
      </c>
      <c r="N352" s="186">
        <f t="shared" si="187"/>
        <v>0</v>
      </c>
      <c r="O352" s="186">
        <f t="shared" si="187"/>
        <v>107.11580256562495</v>
      </c>
      <c r="P352" s="186">
        <f t="shared" si="187"/>
        <v>287.07035087587479</v>
      </c>
      <c r="Q352" s="186">
        <f t="shared" si="187"/>
        <v>540.94819243172651</v>
      </c>
      <c r="R352" s="186">
        <f t="shared" si="187"/>
        <v>797.35763564436468</v>
      </c>
      <c r="S352" s="186">
        <f t="shared" si="187"/>
        <v>1092.7423961217089</v>
      </c>
      <c r="T352" s="186">
        <f t="shared" si="187"/>
        <v>1208.0267189125491</v>
      </c>
      <c r="U352" s="186">
        <f t="shared" si="187"/>
        <v>1324.4365663713943</v>
      </c>
      <c r="V352" s="186">
        <f t="shared" si="187"/>
        <v>1405.0064574923208</v>
      </c>
      <c r="W352" s="186">
        <f t="shared" si="187"/>
        <v>1486.3489366102972</v>
      </c>
      <c r="X352" s="186">
        <f t="shared" si="187"/>
        <v>1493.7806812933486</v>
      </c>
      <c r="Y352" s="186">
        <f t="shared" si="187"/>
        <v>1501.2495846998154</v>
      </c>
      <c r="Z352" s="186">
        <f t="shared" si="187"/>
        <v>1508.7558326233143</v>
      </c>
      <c r="AA352" s="186">
        <f t="shared" si="187"/>
        <v>1516.2996117864309</v>
      </c>
      <c r="AB352" s="186">
        <f t="shared" si="187"/>
        <v>1523.8811098453627</v>
      </c>
      <c r="AC352" s="186">
        <f t="shared" si="187"/>
        <v>1531.5005153945895</v>
      </c>
      <c r="AD352" s="186">
        <f t="shared" si="187"/>
        <v>1539.1580179715622</v>
      </c>
      <c r="AE352" s="186">
        <f t="shared" si="187"/>
        <v>1640</v>
      </c>
    </row>
    <row r="353" spans="2:31">
      <c r="C353" s="50"/>
      <c r="E353" s="35"/>
      <c r="G353" s="38"/>
      <c r="H353" s="54"/>
      <c r="I353" s="38"/>
      <c r="J353" s="38"/>
      <c r="O353" s="36"/>
      <c r="P353" s="37"/>
      <c r="R353" s="38"/>
      <c r="S353" s="38"/>
      <c r="T353" s="38"/>
      <c r="U353" s="38"/>
      <c r="V353" s="38"/>
      <c r="W353" s="38"/>
    </row>
    <row r="354" spans="2:31">
      <c r="C354" s="51" t="s">
        <v>231</v>
      </c>
      <c r="E354" s="39" t="s">
        <v>129</v>
      </c>
      <c r="G354" s="38"/>
      <c r="H354" s="54"/>
      <c r="I354" s="38"/>
      <c r="J354" s="38"/>
      <c r="M354" s="186">
        <f>M334*M344</f>
        <v>29088.71999999999</v>
      </c>
      <c r="N354" s="186">
        <f t="shared" ref="N354:AE354" si="188">N334*N344</f>
        <v>89072.842218749953</v>
      </c>
      <c r="O354" s="186">
        <f t="shared" si="188"/>
        <v>151951.41706809367</v>
      </c>
      <c r="P354" s="186">
        <f t="shared" si="188"/>
        <v>248766.96405900811</v>
      </c>
      <c r="Q354" s="186">
        <f t="shared" si="188"/>
        <v>350905.36459914054</v>
      </c>
      <c r="R354" s="186">
        <f t="shared" si="188"/>
        <v>425260.85744165105</v>
      </c>
      <c r="S354" s="186">
        <f t="shared" si="188"/>
        <v>502973.71432916378</v>
      </c>
      <c r="T354" s="186">
        <f t="shared" si="188"/>
        <v>549730.60039864574</v>
      </c>
      <c r="U354" s="186">
        <f t="shared" si="188"/>
        <v>598266.91755233577</v>
      </c>
      <c r="V354" s="186">
        <f t="shared" si="188"/>
        <v>641760.46836585342</v>
      </c>
      <c r="W354" s="186">
        <f t="shared" si="188"/>
        <v>659301.92116785352</v>
      </c>
      <c r="X354" s="186">
        <f t="shared" si="188"/>
        <v>677002.74448616419</v>
      </c>
      <c r="Y354" s="186">
        <f t="shared" si="188"/>
        <v>687625.92584911187</v>
      </c>
      <c r="Z354" s="186">
        <f t="shared" si="188"/>
        <v>691064.05547835736</v>
      </c>
      <c r="AA354" s="186">
        <f t="shared" si="188"/>
        <v>694519.37575574906</v>
      </c>
      <c r="AB354" s="186">
        <f t="shared" si="188"/>
        <v>697991.97263452783</v>
      </c>
      <c r="AC354" s="186">
        <f t="shared" si="188"/>
        <v>701481.93249770044</v>
      </c>
      <c r="AD354" s="186">
        <f t="shared" si="188"/>
        <v>704989.34216018883</v>
      </c>
      <c r="AE354" s="186">
        <f t="shared" si="188"/>
        <v>708514.28887098981</v>
      </c>
    </row>
    <row r="355" spans="2:31">
      <c r="C355" s="56" t="s">
        <v>232</v>
      </c>
      <c r="E355" s="35" t="s">
        <v>129</v>
      </c>
      <c r="G355" s="38"/>
      <c r="H355" s="54"/>
      <c r="I355" s="38"/>
      <c r="J355" s="38"/>
      <c r="M355" s="83"/>
      <c r="N355" s="83">
        <f>N339*N349</f>
        <v>20570.497408124989</v>
      </c>
      <c r="O355" s="83">
        <f t="shared" ref="O355:AE355" si="189">O339*O349</f>
        <v>56271.501614474968</v>
      </c>
      <c r="P355" s="83">
        <f t="shared" si="189"/>
        <v>108189.6384863453</v>
      </c>
      <c r="Q355" s="83">
        <f t="shared" si="189"/>
        <v>184823.96574750656</v>
      </c>
      <c r="R355" s="83">
        <f t="shared" si="189"/>
        <v>265121.41385175131</v>
      </c>
      <c r="S355" s="83">
        <f t="shared" si="189"/>
        <v>349131.19556088594</v>
      </c>
      <c r="T355" s="83">
        <f t="shared" si="189"/>
        <v>397184.5424303381</v>
      </c>
      <c r="U355" s="83">
        <f t="shared" si="189"/>
        <v>422789.5839094462</v>
      </c>
      <c r="V355" s="83">
        <f t="shared" si="189"/>
        <v>449232.32785609731</v>
      </c>
      <c r="W355" s="83">
        <f t="shared" si="189"/>
        <v>459839.20226381073</v>
      </c>
      <c r="X355" s="83">
        <f t="shared" si="189"/>
        <v>462138.39827512973</v>
      </c>
      <c r="Y355" s="83">
        <f t="shared" si="189"/>
        <v>464449.09026650531</v>
      </c>
      <c r="Z355" s="83">
        <f t="shared" si="189"/>
        <v>466771.33571783785</v>
      </c>
      <c r="AA355" s="83">
        <f t="shared" si="189"/>
        <v>469105.19239642698</v>
      </c>
      <c r="AB355" s="83">
        <f t="shared" si="189"/>
        <v>471450.71835840901</v>
      </c>
      <c r="AC355" s="83">
        <f t="shared" si="189"/>
        <v>473807.97195020108</v>
      </c>
      <c r="AD355" s="83">
        <f t="shared" si="189"/>
        <v>476177.01180995203</v>
      </c>
      <c r="AE355" s="83">
        <f t="shared" si="189"/>
        <v>507375</v>
      </c>
    </row>
    <row r="356" spans="2:31">
      <c r="C356" s="34" t="s">
        <v>233</v>
      </c>
      <c r="E356" s="35" t="s">
        <v>129</v>
      </c>
      <c r="G356" s="38"/>
      <c r="H356" s="54"/>
      <c r="I356" s="38"/>
      <c r="J356" s="38"/>
      <c r="M356" s="174">
        <f>SUM(M354:M355)</f>
        <v>29088.71999999999</v>
      </c>
      <c r="N356" s="174">
        <f t="shared" ref="N356:AE356" si="190">SUM(N354:N355)</f>
        <v>109643.33962687495</v>
      </c>
      <c r="O356" s="174">
        <f t="shared" si="190"/>
        <v>208222.91868256865</v>
      </c>
      <c r="P356" s="174">
        <f t="shared" si="190"/>
        <v>356956.60254535341</v>
      </c>
      <c r="Q356" s="174">
        <f t="shared" si="190"/>
        <v>535729.33034664707</v>
      </c>
      <c r="R356" s="174">
        <f t="shared" si="190"/>
        <v>690382.27129340242</v>
      </c>
      <c r="S356" s="174">
        <f t="shared" si="190"/>
        <v>852104.90989004972</v>
      </c>
      <c r="T356" s="174">
        <f t="shared" si="190"/>
        <v>946915.14282898384</v>
      </c>
      <c r="U356" s="174">
        <f t="shared" si="190"/>
        <v>1021056.501461782</v>
      </c>
      <c r="V356" s="174">
        <f t="shared" si="190"/>
        <v>1090992.7962219508</v>
      </c>
      <c r="W356" s="174">
        <f t="shared" si="190"/>
        <v>1119141.1234316642</v>
      </c>
      <c r="X356" s="174">
        <f t="shared" si="190"/>
        <v>1139141.1427612938</v>
      </c>
      <c r="Y356" s="174">
        <f t="shared" si="190"/>
        <v>1152075.0161156172</v>
      </c>
      <c r="Z356" s="174">
        <f t="shared" si="190"/>
        <v>1157835.3911961953</v>
      </c>
      <c r="AA356" s="174">
        <f t="shared" si="190"/>
        <v>1163624.568152176</v>
      </c>
      <c r="AB356" s="174">
        <f t="shared" si="190"/>
        <v>1169442.690992937</v>
      </c>
      <c r="AC356" s="174">
        <f t="shared" si="190"/>
        <v>1175289.9044479015</v>
      </c>
      <c r="AD356" s="174">
        <f t="shared" si="190"/>
        <v>1181166.3539701409</v>
      </c>
      <c r="AE356" s="174">
        <f t="shared" si="190"/>
        <v>1215889.2888709898</v>
      </c>
    </row>
    <row r="357" spans="2:31">
      <c r="C357" s="44" t="s">
        <v>131</v>
      </c>
      <c r="E357" s="35" t="s">
        <v>15</v>
      </c>
      <c r="J357" s="38"/>
      <c r="K357" s="38"/>
      <c r="L357" s="38"/>
      <c r="M357" s="202"/>
      <c r="N357" s="202">
        <v>2.33</v>
      </c>
      <c r="O357" s="202">
        <v>0.89600000000000002</v>
      </c>
      <c r="P357" s="202">
        <v>0.73099999999999998</v>
      </c>
      <c r="Q357" s="202">
        <v>0.42199999999999999</v>
      </c>
      <c r="R357" s="202">
        <v>0.30099999999999999</v>
      </c>
      <c r="S357" s="202">
        <v>0.155</v>
      </c>
      <c r="T357" s="202">
        <v>8.6999999999999994E-2</v>
      </c>
      <c r="U357" s="202">
        <v>2.7E-2</v>
      </c>
      <c r="V357" s="202">
        <v>2.3E-2</v>
      </c>
      <c r="W357" s="202">
        <v>2.3E-2</v>
      </c>
      <c r="X357" s="202">
        <v>2.3E-2</v>
      </c>
      <c r="Y357" s="202">
        <v>2.3E-2</v>
      </c>
      <c r="Z357" s="202">
        <v>2.3E-2</v>
      </c>
      <c r="AA357" s="202">
        <v>2.3E-2</v>
      </c>
      <c r="AB357" s="202">
        <v>2.3E-2</v>
      </c>
      <c r="AC357" s="202">
        <v>2.3E-2</v>
      </c>
      <c r="AD357" s="202">
        <v>2.3E-2</v>
      </c>
      <c r="AE357" s="202">
        <v>2.3E-2</v>
      </c>
    </row>
    <row r="358" spans="2:31">
      <c r="C358" s="44"/>
      <c r="E358" s="35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</row>
    <row r="359" spans="2:31">
      <c r="C359" s="51" t="s">
        <v>234</v>
      </c>
      <c r="E359" s="35" t="s">
        <v>129</v>
      </c>
      <c r="F359" s="185">
        <v>7.0468159871887523E-2</v>
      </c>
      <c r="J359" s="38"/>
      <c r="K359" s="38"/>
      <c r="L359" s="38"/>
      <c r="M359" s="186">
        <f>-M356*$F$359</f>
        <v>-2049.8285714285712</v>
      </c>
      <c r="N359" s="186">
        <f t="shared" ref="N359:AE359" si="191">-N356*$F$359</f>
        <v>-7726.3643857142843</v>
      </c>
      <c r="O359" s="186">
        <f t="shared" si="191"/>
        <v>-14673.085922714283</v>
      </c>
      <c r="P359" s="186">
        <f t="shared" si="191"/>
        <v>-25154.074935491775</v>
      </c>
      <c r="Q359" s="186">
        <f t="shared" si="191"/>
        <v>-37751.860098926772</v>
      </c>
      <c r="R359" s="186">
        <f t="shared" si="191"/>
        <v>-48649.968266220305</v>
      </c>
      <c r="S359" s="186">
        <f t="shared" si="191"/>
        <v>-60046.265017752332</v>
      </c>
      <c r="T359" s="186">
        <f t="shared" si="191"/>
        <v>-66727.367669984043</v>
      </c>
      <c r="U359" s="186">
        <f t="shared" si="191"/>
        <v>-71951.972783239005</v>
      </c>
      <c r="V359" s="186">
        <f t="shared" si="191"/>
        <v>-76880.25478324604</v>
      </c>
      <c r="W359" s="186">
        <f t="shared" si="191"/>
        <v>-78863.815605186319</v>
      </c>
      <c r="X359" s="186">
        <f t="shared" si="191"/>
        <v>-80273.180164747493</v>
      </c>
      <c r="Y359" s="186">
        <f t="shared" si="191"/>
        <v>-81184.606420042706</v>
      </c>
      <c r="Z359" s="186">
        <f t="shared" si="191"/>
        <v>-81590.529452142917</v>
      </c>
      <c r="AA359" s="186">
        <f t="shared" si="191"/>
        <v>-81998.482099403613</v>
      </c>
      <c r="AB359" s="186">
        <f t="shared" si="191"/>
        <v>-82408.47450990064</v>
      </c>
      <c r="AC359" s="186">
        <f t="shared" si="191"/>
        <v>-82820.516882450131</v>
      </c>
      <c r="AD359" s="186">
        <f t="shared" si="191"/>
        <v>-83234.619466862379</v>
      </c>
      <c r="AE359" s="186">
        <f t="shared" si="191"/>
        <v>-85681.480794676536</v>
      </c>
    </row>
    <row r="360" spans="2:31">
      <c r="C360" s="56" t="s">
        <v>235</v>
      </c>
      <c r="E360" s="35" t="s">
        <v>129</v>
      </c>
      <c r="F360" s="185">
        <v>4.0263029792991942E-2</v>
      </c>
      <c r="J360" s="38"/>
      <c r="K360" s="38"/>
      <c r="L360" s="38"/>
      <c r="M360" s="83">
        <f>-M356*$F$360</f>
        <v>-1171.2000000000003</v>
      </c>
      <c r="N360" s="83">
        <f t="shared" ref="N360:AE360" si="192">-N356*$F$360</f>
        <v>-4414.57305</v>
      </c>
      <c r="O360" s="83">
        <f t="shared" si="192"/>
        <v>-8383.6855785000007</v>
      </c>
      <c r="P360" s="83">
        <f t="shared" si="192"/>
        <v>-14372.154323088747</v>
      </c>
      <c r="Q360" s="83">
        <f t="shared" si="192"/>
        <v>-21570.085988726674</v>
      </c>
      <c r="R360" s="83">
        <f t="shared" si="192"/>
        <v>-27796.881957639707</v>
      </c>
      <c r="S360" s="83">
        <f t="shared" si="192"/>
        <v>-34308.325373657783</v>
      </c>
      <c r="T360" s="83">
        <f t="shared" si="192"/>
        <v>-38125.672607158594</v>
      </c>
      <c r="U360" s="83">
        <f t="shared" si="192"/>
        <v>-41110.828338683852</v>
      </c>
      <c r="V360" s="83">
        <f t="shared" si="192"/>
        <v>-43926.675458223988</v>
      </c>
      <c r="W360" s="83">
        <f t="shared" si="192"/>
        <v>-45060.012395291567</v>
      </c>
      <c r="X360" s="83">
        <f t="shared" si="192"/>
        <v>-45865.273769420855</v>
      </c>
      <c r="Y360" s="83">
        <f t="shared" si="192"/>
        <v>-46386.030697624767</v>
      </c>
      <c r="Z360" s="83">
        <f t="shared" si="192"/>
        <v>-46617.96085111289</v>
      </c>
      <c r="AA360" s="83">
        <f t="shared" si="192"/>
        <v>-46851.050655368446</v>
      </c>
      <c r="AB360" s="83">
        <f t="shared" si="192"/>
        <v>-47085.305908645292</v>
      </c>
      <c r="AC360" s="83">
        <f t="shared" si="192"/>
        <v>-47320.732438188512</v>
      </c>
      <c r="AD360" s="83">
        <f t="shared" si="192"/>
        <v>-47557.336100379449</v>
      </c>
      <c r="AE360" s="83">
        <f t="shared" si="192"/>
        <v>-48955.386662792451</v>
      </c>
    </row>
    <row r="361" spans="2:31">
      <c r="C361" s="34" t="s">
        <v>236</v>
      </c>
      <c r="E361" s="39" t="s">
        <v>129</v>
      </c>
      <c r="J361" s="38"/>
      <c r="K361" s="38"/>
      <c r="L361" s="38"/>
      <c r="M361" s="174">
        <f>SUM(M356,M359:M360)</f>
        <v>25867.691428571419</v>
      </c>
      <c r="N361" s="174">
        <f t="shared" ref="N361:AE361" si="193">SUM(N356,N359:N360)</f>
        <v>97502.402191160654</v>
      </c>
      <c r="O361" s="174">
        <f t="shared" si="193"/>
        <v>185166.14718135435</v>
      </c>
      <c r="P361" s="174">
        <f t="shared" si="193"/>
        <v>317430.37328677287</v>
      </c>
      <c r="Q361" s="174">
        <f t="shared" si="193"/>
        <v>476407.38425899361</v>
      </c>
      <c r="R361" s="174">
        <f t="shared" si="193"/>
        <v>613935.42106954241</v>
      </c>
      <c r="S361" s="174">
        <f t="shared" si="193"/>
        <v>757750.31949863967</v>
      </c>
      <c r="T361" s="174">
        <f t="shared" si="193"/>
        <v>842062.10255184129</v>
      </c>
      <c r="U361" s="174">
        <f t="shared" si="193"/>
        <v>907993.70033985924</v>
      </c>
      <c r="V361" s="174">
        <f t="shared" si="193"/>
        <v>970185.86598048068</v>
      </c>
      <c r="W361" s="174">
        <f t="shared" si="193"/>
        <v>995217.29543118633</v>
      </c>
      <c r="X361" s="174">
        <f t="shared" si="193"/>
        <v>1013002.6888271256</v>
      </c>
      <c r="Y361" s="174">
        <f t="shared" si="193"/>
        <v>1024504.3789979498</v>
      </c>
      <c r="Z361" s="174">
        <f t="shared" si="193"/>
        <v>1029626.9008929394</v>
      </c>
      <c r="AA361" s="174">
        <f t="shared" si="193"/>
        <v>1034775.0353974039</v>
      </c>
      <c r="AB361" s="174">
        <f t="shared" si="193"/>
        <v>1039948.910574391</v>
      </c>
      <c r="AC361" s="174">
        <f t="shared" si="193"/>
        <v>1045148.6551272629</v>
      </c>
      <c r="AD361" s="174">
        <f t="shared" si="193"/>
        <v>1050374.398402899</v>
      </c>
      <c r="AE361" s="174">
        <f t="shared" si="193"/>
        <v>1081252.4214135208</v>
      </c>
    </row>
    <row r="362" spans="2:31">
      <c r="C362" s="34"/>
      <c r="E362" s="35"/>
      <c r="J362" s="38"/>
      <c r="K362" s="38"/>
      <c r="L362" s="38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</row>
    <row r="363" spans="2:31">
      <c r="C363" s="56" t="s">
        <v>237</v>
      </c>
      <c r="E363" s="35" t="s">
        <v>129</v>
      </c>
      <c r="J363" s="38"/>
      <c r="K363" s="38"/>
      <c r="L363" s="38"/>
      <c r="M363" s="83">
        <v>-45000</v>
      </c>
      <c r="N363" s="83">
        <v>-40000</v>
      </c>
      <c r="O363" s="83">
        <v>0</v>
      </c>
      <c r="P363" s="83">
        <v>0</v>
      </c>
      <c r="Q363" s="83">
        <v>0</v>
      </c>
      <c r="R363" s="83">
        <v>-25000</v>
      </c>
      <c r="S363" s="83">
        <v>-25000</v>
      </c>
      <c r="T363" s="83">
        <v>-25000</v>
      </c>
      <c r="U363" s="83">
        <v>0</v>
      </c>
      <c r="V363" s="83">
        <v>0</v>
      </c>
      <c r="W363" s="83">
        <v>0</v>
      </c>
      <c r="X363" s="83">
        <v>0</v>
      </c>
      <c r="Y363" s="83">
        <v>0</v>
      </c>
      <c r="Z363" s="83">
        <v>0</v>
      </c>
      <c r="AA363" s="83">
        <v>0</v>
      </c>
      <c r="AB363" s="83">
        <v>0</v>
      </c>
      <c r="AC363" s="83">
        <v>0</v>
      </c>
      <c r="AD363" s="83">
        <v>0</v>
      </c>
      <c r="AE363" s="83">
        <v>0</v>
      </c>
    </row>
    <row r="364" spans="2:31">
      <c r="C364" s="34" t="s">
        <v>238</v>
      </c>
      <c r="E364" s="39" t="s">
        <v>129</v>
      </c>
      <c r="J364" s="38"/>
      <c r="K364" s="38"/>
      <c r="L364" s="38"/>
      <c r="M364" s="174">
        <f>SUM(M361,M363)</f>
        <v>-19132.308571428581</v>
      </c>
      <c r="N364" s="174">
        <f t="shared" ref="N364:AE364" si="194">SUM(N361,N363)</f>
        <v>57502.402191160654</v>
      </c>
      <c r="O364" s="174">
        <f t="shared" si="194"/>
        <v>185166.14718135435</v>
      </c>
      <c r="P364" s="174">
        <f t="shared" si="194"/>
        <v>317430.37328677287</v>
      </c>
      <c r="Q364" s="174">
        <f t="shared" si="194"/>
        <v>476407.38425899361</v>
      </c>
      <c r="R364" s="174">
        <f t="shared" si="194"/>
        <v>588935.42106954241</v>
      </c>
      <c r="S364" s="174">
        <f t="shared" si="194"/>
        <v>732750.31949863967</v>
      </c>
      <c r="T364" s="174">
        <f t="shared" si="194"/>
        <v>817062.10255184129</v>
      </c>
      <c r="U364" s="174">
        <f t="shared" si="194"/>
        <v>907993.70033985924</v>
      </c>
      <c r="V364" s="174">
        <f t="shared" si="194"/>
        <v>970185.86598048068</v>
      </c>
      <c r="W364" s="174">
        <f t="shared" si="194"/>
        <v>995217.29543118633</v>
      </c>
      <c r="X364" s="174">
        <f t="shared" si="194"/>
        <v>1013002.6888271256</v>
      </c>
      <c r="Y364" s="174">
        <f t="shared" si="194"/>
        <v>1024504.3789979498</v>
      </c>
      <c r="Z364" s="174">
        <f t="shared" si="194"/>
        <v>1029626.9008929394</v>
      </c>
      <c r="AA364" s="174">
        <f t="shared" si="194"/>
        <v>1034775.0353974039</v>
      </c>
      <c r="AB364" s="174">
        <f t="shared" si="194"/>
        <v>1039948.910574391</v>
      </c>
      <c r="AC364" s="174">
        <f t="shared" si="194"/>
        <v>1045148.6551272629</v>
      </c>
      <c r="AD364" s="174">
        <f t="shared" si="194"/>
        <v>1050374.398402899</v>
      </c>
      <c r="AE364" s="174">
        <f t="shared" si="194"/>
        <v>1081252.4214135208</v>
      </c>
    </row>
    <row r="365" spans="2:31">
      <c r="C365" s="51"/>
      <c r="E365" s="35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</row>
    <row r="366" spans="2:31">
      <c r="C366" s="44"/>
      <c r="E366" s="35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</row>
    <row r="367" spans="2:31">
      <c r="B367" s="1"/>
      <c r="C367" s="1"/>
      <c r="D367" s="1"/>
      <c r="E367" s="1"/>
      <c r="F367" s="1"/>
      <c r="G367" s="1"/>
      <c r="H367" s="2"/>
      <c r="I367" s="3" t="s">
        <v>0</v>
      </c>
      <c r="J367" s="2"/>
      <c r="K367" s="4"/>
      <c r="L367" s="2"/>
      <c r="M367" s="3" t="s">
        <v>1</v>
      </c>
      <c r="N367" s="2"/>
      <c r="O367" s="3"/>
      <c r="P367" s="3"/>
    </row>
    <row r="368" spans="2:31">
      <c r="B368" s="5" t="str">
        <f>"CapEx &amp; Depreciation - "&amp;Company_Name</f>
        <v>CapEx &amp; Depreciation - Ultragenyx Pharmaceutical Inc.</v>
      </c>
      <c r="C368" s="1"/>
      <c r="D368" s="1"/>
      <c r="E368" s="6" t="s">
        <v>2</v>
      </c>
      <c r="F368" s="6"/>
      <c r="G368" s="8">
        <v>44561</v>
      </c>
      <c r="H368" s="8">
        <v>44926</v>
      </c>
      <c r="I368" s="8">
        <f t="shared" ref="I368:P368" si="195">EOMONTH(H368,12)</f>
        <v>45291</v>
      </c>
      <c r="J368" s="8">
        <f t="shared" si="195"/>
        <v>45657</v>
      </c>
      <c r="K368" s="9">
        <f t="shared" si="195"/>
        <v>46022</v>
      </c>
      <c r="L368" s="8">
        <f t="shared" si="195"/>
        <v>46387</v>
      </c>
      <c r="M368" s="8">
        <f t="shared" si="195"/>
        <v>46752</v>
      </c>
      <c r="N368" s="8">
        <f t="shared" si="195"/>
        <v>47118</v>
      </c>
      <c r="O368" s="8">
        <f t="shared" si="195"/>
        <v>47483</v>
      </c>
      <c r="P368" s="8">
        <f t="shared" si="195"/>
        <v>47848</v>
      </c>
    </row>
    <row r="370" spans="3:16">
      <c r="C370" s="229" t="s">
        <v>319</v>
      </c>
      <c r="E370" s="35" t="s">
        <v>129</v>
      </c>
      <c r="G370" s="176">
        <f>-Model!G172</f>
        <v>73093</v>
      </c>
      <c r="H370" s="176">
        <f>-Model!H172</f>
        <v>116123</v>
      </c>
      <c r="I370" s="176">
        <f>-Model!I172</f>
        <v>44267</v>
      </c>
      <c r="J370" s="176">
        <f>-Model!J172</f>
        <v>7491</v>
      </c>
      <c r="K370" s="186">
        <f>K371*Model!K65</f>
        <v>6980</v>
      </c>
      <c r="L370" s="186">
        <f>L371*Model!L65</f>
        <v>6631</v>
      </c>
      <c r="M370" s="186">
        <f>M371*Model!M65</f>
        <v>3150</v>
      </c>
      <c r="N370" s="186">
        <f>N371*Model!N65</f>
        <v>2900</v>
      </c>
      <c r="O370" s="186">
        <f>O371*Model!O65</f>
        <v>3200</v>
      </c>
      <c r="P370" s="186">
        <f>P371*Model!P65</f>
        <v>3040</v>
      </c>
    </row>
    <row r="371" spans="3:16">
      <c r="C371" s="229" t="s">
        <v>320</v>
      </c>
      <c r="E371" s="35" t="s">
        <v>15</v>
      </c>
      <c r="G371" s="230">
        <f>G370/-Model!G65</f>
        <v>-0.33226809466229057</v>
      </c>
      <c r="H371" s="230">
        <f>H370/-Model!H65</f>
        <v>-0.41749988315194919</v>
      </c>
      <c r="I371" s="230">
        <f>I370/-Model!I65</f>
        <v>-0.14288942185094206</v>
      </c>
      <c r="J371" s="230">
        <f>J370/-Model!J65</f>
        <v>-2.3292186188240416E-2</v>
      </c>
      <c r="K371" s="231">
        <v>0.02</v>
      </c>
      <c r="L371" s="231">
        <v>0.02</v>
      </c>
      <c r="M371" s="231">
        <v>0.01</v>
      </c>
      <c r="N371" s="231">
        <v>0.01</v>
      </c>
      <c r="O371" s="231">
        <v>0.01</v>
      </c>
      <c r="P371" s="231">
        <v>0.01</v>
      </c>
    </row>
    <row r="372" spans="3:16">
      <c r="C372" s="232"/>
      <c r="E372" s="35"/>
      <c r="G372" s="230"/>
      <c r="H372" s="230"/>
      <c r="I372" s="230"/>
      <c r="J372" s="230"/>
      <c r="K372" s="86"/>
      <c r="L372" s="86"/>
      <c r="M372" s="86"/>
      <c r="N372" s="86"/>
      <c r="O372" s="86"/>
      <c r="P372" s="86"/>
    </row>
    <row r="373" spans="3:16">
      <c r="C373" s="232" t="s">
        <v>321</v>
      </c>
      <c r="D373" s="57"/>
      <c r="E373" s="35" t="s">
        <v>129</v>
      </c>
      <c r="G373" s="233">
        <f>Model!G99</f>
        <v>141247</v>
      </c>
      <c r="H373" s="233">
        <f>Model!H99</f>
        <v>259726</v>
      </c>
      <c r="I373" s="233">
        <f>Model!I99</f>
        <v>290566</v>
      </c>
      <c r="J373" s="233">
        <f>Model!J99</f>
        <v>265929</v>
      </c>
      <c r="K373" s="186">
        <f t="shared" ref="K373:P373" si="196">J373+K370-K385</f>
        <v>246130.88069164575</v>
      </c>
      <c r="L373" s="186">
        <f t="shared" si="196"/>
        <v>229366.07350370253</v>
      </c>
      <c r="M373" s="186">
        <f t="shared" si="196"/>
        <v>212395.93095908649</v>
      </c>
      <c r="N373" s="186">
        <f t="shared" si="196"/>
        <v>198167.36497062093</v>
      </c>
      <c r="O373" s="186">
        <f t="shared" si="196"/>
        <v>186690.36256223245</v>
      </c>
      <c r="P373" s="186">
        <f t="shared" si="196"/>
        <v>177115.69106770525</v>
      </c>
    </row>
    <row r="374" spans="3:16">
      <c r="C374" s="234"/>
      <c r="E374" s="35"/>
      <c r="G374" s="235"/>
      <c r="H374" s="235"/>
      <c r="I374" s="235"/>
      <c r="J374" s="235"/>
      <c r="K374" s="79"/>
      <c r="L374" s="79"/>
      <c r="M374" s="79"/>
      <c r="N374" s="79"/>
      <c r="O374" s="79"/>
      <c r="P374" s="79"/>
    </row>
    <row r="375" spans="3:16">
      <c r="C375" s="51" t="s">
        <v>322</v>
      </c>
      <c r="E375" s="35" t="s">
        <v>15</v>
      </c>
      <c r="G375" s="236">
        <f>G378/G373</f>
        <v>9.3729424341755935E-2</v>
      </c>
      <c r="H375" s="236">
        <f t="shared" ref="H375:J375" si="197">H378/H373</f>
        <v>7.0150851281735371E-2</v>
      </c>
      <c r="I375" s="236">
        <f t="shared" si="197"/>
        <v>8.9501180454698764E-2</v>
      </c>
      <c r="J375" s="236">
        <f t="shared" si="197"/>
        <v>0.13365597584317618</v>
      </c>
      <c r="K375" s="237">
        <f>AVERAGE(G375:J375)</f>
        <v>9.6759357980341562E-2</v>
      </c>
      <c r="L375" s="237">
        <f t="shared" ref="L375:P375" si="198">K375-1%</f>
        <v>8.6759357980341567E-2</v>
      </c>
      <c r="M375" s="237">
        <f t="shared" si="198"/>
        <v>7.6759357980341572E-2</v>
      </c>
      <c r="N375" s="237">
        <f t="shared" si="198"/>
        <v>6.6759357980341577E-2</v>
      </c>
      <c r="O375" s="237">
        <f t="shared" si="198"/>
        <v>5.6759357980341575E-2</v>
      </c>
      <c r="P375" s="237">
        <f t="shared" si="198"/>
        <v>4.6759357980341573E-2</v>
      </c>
    </row>
    <row r="376" spans="3:16">
      <c r="C376" s="51" t="s">
        <v>323</v>
      </c>
      <c r="E376" s="35" t="s">
        <v>15</v>
      </c>
      <c r="G376" s="86"/>
      <c r="H376" s="86"/>
      <c r="I376" s="86"/>
      <c r="J376" s="237">
        <v>0.15</v>
      </c>
      <c r="K376" s="237">
        <v>0.15</v>
      </c>
      <c r="L376" s="237">
        <v>0.15</v>
      </c>
      <c r="M376" s="237">
        <v>0.15</v>
      </c>
      <c r="N376" s="237">
        <v>0.15</v>
      </c>
      <c r="O376" s="237">
        <v>0.15</v>
      </c>
      <c r="P376" s="237">
        <v>0.15</v>
      </c>
    </row>
    <row r="377" spans="3:16">
      <c r="C377" s="51"/>
      <c r="E377" s="35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 spans="3:16">
      <c r="C378" s="51" t="s">
        <v>324</v>
      </c>
      <c r="E378" s="35" t="s">
        <v>129</v>
      </c>
      <c r="G378" s="238">
        <f>Model!G152</f>
        <v>13239</v>
      </c>
      <c r="H378" s="238">
        <f>Model!H152</f>
        <v>18220</v>
      </c>
      <c r="I378" s="238">
        <f>Model!I152</f>
        <v>26006</v>
      </c>
      <c r="J378" s="238">
        <f>Model!J152</f>
        <v>35543</v>
      </c>
      <c r="K378" s="239">
        <f t="shared" ref="K378:P378" si="199">J373*K375</f>
        <v>25731.119308354253</v>
      </c>
      <c r="L378" s="239">
        <f t="shared" si="199"/>
        <v>21354.157187943234</v>
      </c>
      <c r="M378" s="239">
        <f t="shared" si="199"/>
        <v>17605.992544616041</v>
      </c>
      <c r="N378" s="239">
        <f t="shared" si="199"/>
        <v>14179.415988465569</v>
      </c>
      <c r="O378" s="239">
        <f t="shared" si="199"/>
        <v>11247.852408388475</v>
      </c>
      <c r="P378" s="239">
        <f t="shared" si="199"/>
        <v>8729.5214945271855</v>
      </c>
    </row>
    <row r="379" spans="3:16">
      <c r="C379" s="51" t="s">
        <v>325</v>
      </c>
      <c r="E379" s="35" t="s">
        <v>129</v>
      </c>
      <c r="G379" s="38"/>
      <c r="H379" s="38"/>
      <c r="I379" s="38"/>
      <c r="J379" s="38"/>
      <c r="K379" s="38">
        <f>$K$370*K376</f>
        <v>1047</v>
      </c>
      <c r="L379" s="38">
        <f t="shared" ref="L379:O379" si="200">$K$370*L376</f>
        <v>1047</v>
      </c>
      <c r="M379" s="38">
        <f t="shared" si="200"/>
        <v>1047</v>
      </c>
      <c r="N379" s="38">
        <f t="shared" si="200"/>
        <v>1047</v>
      </c>
      <c r="O379" s="38">
        <f t="shared" si="200"/>
        <v>1047</v>
      </c>
      <c r="P379" s="38">
        <f t="shared" ref="P379" si="201">$K$370*P376</f>
        <v>1047</v>
      </c>
    </row>
    <row r="380" spans="3:16">
      <c r="C380" s="51" t="s">
        <v>326</v>
      </c>
      <c r="E380" s="35" t="s">
        <v>129</v>
      </c>
      <c r="K380" s="38"/>
      <c r="L380" s="38">
        <f>$L$370*J376</f>
        <v>994.65</v>
      </c>
      <c r="M380" s="38">
        <f t="shared" ref="M380:P380" si="202">$L$370*K376</f>
        <v>994.65</v>
      </c>
      <c r="N380" s="38">
        <f t="shared" si="202"/>
        <v>994.65</v>
      </c>
      <c r="O380" s="38">
        <f t="shared" si="202"/>
        <v>994.65</v>
      </c>
      <c r="P380" s="38">
        <f t="shared" si="202"/>
        <v>994.65</v>
      </c>
    </row>
    <row r="381" spans="3:16">
      <c r="C381" s="51" t="s">
        <v>327</v>
      </c>
      <c r="E381" s="35" t="s">
        <v>129</v>
      </c>
      <c r="K381" s="38"/>
      <c r="L381" s="38"/>
      <c r="M381" s="38">
        <f>$M$370*J376</f>
        <v>472.5</v>
      </c>
      <c r="N381" s="38">
        <f t="shared" ref="N381:P381" si="203">$M$370*K376</f>
        <v>472.5</v>
      </c>
      <c r="O381" s="38">
        <f t="shared" si="203"/>
        <v>472.5</v>
      </c>
      <c r="P381" s="38">
        <f t="shared" si="203"/>
        <v>472.5</v>
      </c>
    </row>
    <row r="382" spans="3:16">
      <c r="C382" s="51" t="s">
        <v>328</v>
      </c>
      <c r="E382" s="35" t="s">
        <v>129</v>
      </c>
      <c r="K382" s="38"/>
      <c r="L382" s="38"/>
      <c r="M382" s="38"/>
      <c r="N382" s="38">
        <f>$N$370*J376</f>
        <v>435</v>
      </c>
      <c r="O382" s="38">
        <f t="shared" ref="O382:P382" si="204">$N$370*K376</f>
        <v>435</v>
      </c>
      <c r="P382" s="38">
        <f t="shared" si="204"/>
        <v>435</v>
      </c>
    </row>
    <row r="383" spans="3:16">
      <c r="C383" s="51" t="s">
        <v>329</v>
      </c>
      <c r="E383" s="35" t="s">
        <v>129</v>
      </c>
      <c r="K383" s="38"/>
      <c r="L383" s="38"/>
      <c r="M383" s="38"/>
      <c r="N383" s="38"/>
      <c r="O383" s="38">
        <f>$O$370*J376</f>
        <v>480</v>
      </c>
      <c r="P383" s="38">
        <f>$O$370*K376</f>
        <v>480</v>
      </c>
    </row>
    <row r="384" spans="3:16">
      <c r="C384" s="56" t="s">
        <v>331</v>
      </c>
      <c r="E384" s="35"/>
      <c r="G384" s="72"/>
      <c r="H384" s="72"/>
      <c r="I384" s="72"/>
      <c r="J384" s="72"/>
      <c r="K384" s="55"/>
      <c r="L384" s="55"/>
      <c r="M384" s="55"/>
      <c r="N384" s="55"/>
      <c r="O384" s="55"/>
      <c r="P384" s="55">
        <f>$P$370*J376</f>
        <v>456</v>
      </c>
    </row>
    <row r="385" spans="3:16">
      <c r="C385" s="64" t="s">
        <v>330</v>
      </c>
      <c r="E385" s="39" t="s">
        <v>129</v>
      </c>
      <c r="G385" s="52">
        <f>SUM(G378:G384)</f>
        <v>13239</v>
      </c>
      <c r="H385" s="52">
        <f t="shared" ref="H385:P385" si="205">SUM(H378:H384)</f>
        <v>18220</v>
      </c>
      <c r="I385" s="52">
        <f t="shared" si="205"/>
        <v>26006</v>
      </c>
      <c r="J385" s="52">
        <f t="shared" si="205"/>
        <v>35543</v>
      </c>
      <c r="K385" s="52">
        <f t="shared" si="205"/>
        <v>26778.119308354253</v>
      </c>
      <c r="L385" s="52">
        <f t="shared" si="205"/>
        <v>23395.807187943235</v>
      </c>
      <c r="M385" s="52">
        <f t="shared" si="205"/>
        <v>20120.142544616043</v>
      </c>
      <c r="N385" s="52">
        <f t="shared" si="205"/>
        <v>17128.565988465569</v>
      </c>
      <c r="O385" s="52">
        <f t="shared" si="205"/>
        <v>14677.002408388475</v>
      </c>
      <c r="P385" s="52">
        <f t="shared" si="205"/>
        <v>12614.671494527185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4D42-312E-468A-B0D7-68F5D62854FF}">
  <dimension ref="A2:P43"/>
  <sheetViews>
    <sheetView showGridLines="0" topLeftCell="A3" zoomScale="57" workbookViewId="0">
      <selection activeCell="K10" sqref="K10"/>
    </sheetView>
  </sheetViews>
  <sheetFormatPr defaultRowHeight="14.5"/>
  <cols>
    <col min="2" max="2" width="3.54296875" customWidth="1"/>
    <col min="3" max="3" width="41.453125" bestFit="1" customWidth="1"/>
    <col min="4" max="4" width="7.54296875" bestFit="1" customWidth="1"/>
    <col min="7" max="7" width="12" bestFit="1" customWidth="1"/>
    <col min="8" max="10" width="11.453125" bestFit="1" customWidth="1"/>
    <col min="11" max="11" width="14" bestFit="1" customWidth="1"/>
    <col min="12" max="13" width="10.26953125" bestFit="1" customWidth="1"/>
    <col min="14" max="14" width="9.6328125" bestFit="1" customWidth="1"/>
    <col min="15" max="16" width="28.81640625" bestFit="1" customWidth="1"/>
  </cols>
  <sheetData>
    <row r="2" spans="1:16" s="30" customFormat="1" ht="18.5">
      <c r="A2"/>
      <c r="B2" s="498" t="str">
        <f>Company_Name&amp;" - Q3 Financial Results"</f>
        <v>Ultragenyx Pharmaceutical Inc. - Q3 Financial Results</v>
      </c>
      <c r="C2" s="51"/>
      <c r="D2" s="50"/>
      <c r="E2" s="50"/>
      <c r="F2" s="50"/>
      <c r="G2" s="51"/>
      <c r="H2" s="51"/>
      <c r="I2" s="51"/>
    </row>
    <row r="3" spans="1:16" s="30" customFormat="1" ht="16">
      <c r="A3"/>
      <c r="B3" s="471" t="s">
        <v>507</v>
      </c>
      <c r="C3" s="51"/>
      <c r="D3" s="50"/>
      <c r="E3" s="50"/>
      <c r="F3" s="50"/>
      <c r="G3" s="51"/>
      <c r="H3" s="51"/>
      <c r="I3" s="51"/>
    </row>
    <row r="4" spans="1:16" ht="16">
      <c r="B4" s="10"/>
      <c r="C4" s="10"/>
      <c r="D4" s="215"/>
      <c r="E4" s="215"/>
      <c r="F4" s="215"/>
      <c r="G4" s="10"/>
      <c r="H4" s="10"/>
      <c r="I4" s="10"/>
    </row>
    <row r="5" spans="1:16" ht="16">
      <c r="B5" s="355"/>
      <c r="C5" s="355"/>
      <c r="D5" s="356"/>
      <c r="E5" s="356"/>
      <c r="F5" s="356"/>
      <c r="G5" s="355"/>
      <c r="H5" s="355"/>
      <c r="I5" s="355"/>
      <c r="J5" s="355"/>
    </row>
    <row r="6" spans="1:16" ht="16">
      <c r="B6" s="5" t="s">
        <v>596</v>
      </c>
      <c r="C6" s="355"/>
      <c r="D6" s="356"/>
      <c r="E6" s="356"/>
      <c r="F6" s="356"/>
      <c r="G6" s="355"/>
      <c r="H6" s="436" t="s">
        <v>527</v>
      </c>
      <c r="I6" s="436" t="s">
        <v>528</v>
      </c>
      <c r="J6" s="436" t="s">
        <v>508</v>
      </c>
      <c r="L6" s="491"/>
      <c r="M6" s="491"/>
    </row>
    <row r="7" spans="1:16" ht="16">
      <c r="B7" s="61"/>
      <c r="C7" s="499"/>
      <c r="D7" s="500"/>
      <c r="E7" s="500"/>
      <c r="F7" s="500"/>
      <c r="G7" s="499"/>
      <c r="H7" s="501"/>
      <c r="I7" s="501"/>
    </row>
    <row r="8" spans="1:16" ht="16">
      <c r="B8" s="10"/>
      <c r="C8" s="64" t="s">
        <v>394</v>
      </c>
      <c r="D8" s="215"/>
      <c r="E8" s="215"/>
      <c r="F8" s="215"/>
      <c r="G8" s="10"/>
      <c r="H8" s="502">
        <v>139292</v>
      </c>
      <c r="I8" s="502">
        <v>166496</v>
      </c>
      <c r="J8" s="502">
        <v>159933</v>
      </c>
      <c r="L8" s="491"/>
      <c r="M8" s="491"/>
    </row>
    <row r="9" spans="1:16" ht="16">
      <c r="B9" s="10"/>
      <c r="C9" s="50" t="s">
        <v>509</v>
      </c>
      <c r="D9" s="215"/>
      <c r="E9" s="215"/>
      <c r="F9" s="215"/>
      <c r="G9" s="10"/>
      <c r="H9" s="38"/>
      <c r="I9" s="503">
        <f>I8/H8-1</f>
        <v>0.19530195560405472</v>
      </c>
      <c r="J9" s="503">
        <f>J8/I8-1</f>
        <v>-3.9418364405150896E-2</v>
      </c>
      <c r="L9" s="28"/>
      <c r="M9" s="28"/>
      <c r="N9" s="28"/>
    </row>
    <row r="10" spans="1:16" ht="16">
      <c r="B10" s="10"/>
      <c r="C10" s="64" t="s">
        <v>510</v>
      </c>
      <c r="D10" s="215"/>
      <c r="E10" s="215"/>
      <c r="F10" s="215"/>
      <c r="G10" s="10"/>
      <c r="H10" s="502">
        <v>-142939</v>
      </c>
      <c r="I10" s="502">
        <v>-107888</v>
      </c>
      <c r="J10" s="502">
        <v>-170890</v>
      </c>
      <c r="K10" s="631"/>
      <c r="L10" s="28"/>
      <c r="M10" s="28"/>
      <c r="N10" s="28"/>
    </row>
    <row r="11" spans="1:16" ht="16">
      <c r="B11" s="10"/>
      <c r="C11" s="50" t="s">
        <v>511</v>
      </c>
      <c r="D11" s="215"/>
      <c r="E11" s="215"/>
      <c r="F11" s="215"/>
      <c r="G11" s="10"/>
      <c r="H11" s="503">
        <f>+H10/H8</f>
        <v>-1.0261824081785027</v>
      </c>
      <c r="I11" s="503">
        <f>+I10/I8</f>
        <v>-0.64799154334038056</v>
      </c>
      <c r="J11" s="503">
        <f>+J10/J8</f>
        <v>-1.0685099385367622</v>
      </c>
      <c r="L11" s="28"/>
      <c r="M11" s="28"/>
      <c r="N11" s="28"/>
    </row>
    <row r="12" spans="1:16" ht="16">
      <c r="B12" s="10"/>
      <c r="C12" s="10"/>
      <c r="D12" s="215"/>
      <c r="E12" s="215"/>
      <c r="F12" s="215"/>
      <c r="G12" s="10"/>
      <c r="H12" s="28"/>
      <c r="I12" s="38"/>
      <c r="L12" s="28"/>
      <c r="M12" s="28"/>
      <c r="N12" s="28"/>
    </row>
    <row r="13" spans="1:16" ht="16">
      <c r="B13" s="10"/>
      <c r="C13" s="51" t="s">
        <v>512</v>
      </c>
      <c r="D13" s="215"/>
      <c r="E13" s="215"/>
      <c r="F13" s="215"/>
      <c r="G13" s="10"/>
      <c r="H13" s="176">
        <v>-1310</v>
      </c>
      <c r="I13" s="176">
        <v>-947</v>
      </c>
      <c r="J13" s="176">
        <v>-873</v>
      </c>
      <c r="L13" s="28"/>
      <c r="M13" s="28"/>
      <c r="N13" s="28"/>
    </row>
    <row r="14" spans="1:16" ht="16">
      <c r="B14" s="10"/>
      <c r="C14" s="10"/>
      <c r="D14" s="215"/>
      <c r="E14" s="215"/>
      <c r="F14" s="215"/>
      <c r="G14" s="10"/>
      <c r="H14" s="38"/>
      <c r="I14" s="38"/>
      <c r="L14" s="28"/>
      <c r="M14" s="28"/>
      <c r="N14" s="28"/>
    </row>
    <row r="15" spans="1:16" ht="16">
      <c r="B15" s="10"/>
      <c r="C15" s="64" t="s">
        <v>513</v>
      </c>
      <c r="D15" s="215"/>
      <c r="E15" s="215"/>
      <c r="F15" s="215"/>
      <c r="G15" s="10"/>
      <c r="H15" s="504">
        <f>SUM(H10,H13)</f>
        <v>-144249</v>
      </c>
      <c r="I15" s="504">
        <f t="shared" ref="I15:J15" si="0">SUM(I10,I13)</f>
        <v>-108835</v>
      </c>
      <c r="J15" s="504">
        <f t="shared" si="0"/>
        <v>-171763</v>
      </c>
      <c r="L15" s="505"/>
      <c r="M15" s="505"/>
      <c r="N15" s="505"/>
      <c r="O15" s="505"/>
      <c r="P15" s="505"/>
    </row>
    <row r="16" spans="1:16" ht="16">
      <c r="B16" s="10"/>
      <c r="C16" s="10"/>
      <c r="D16" s="215"/>
      <c r="E16" s="215"/>
      <c r="F16" s="215"/>
      <c r="G16" s="10"/>
      <c r="H16" s="38"/>
      <c r="I16" s="38"/>
      <c r="L16" s="506"/>
      <c r="M16" s="506"/>
      <c r="N16" s="506"/>
      <c r="O16" s="506"/>
      <c r="P16" s="506"/>
    </row>
    <row r="17" spans="2:16" ht="16">
      <c r="B17" s="10"/>
      <c r="C17" s="64" t="s">
        <v>514</v>
      </c>
      <c r="D17" s="215"/>
      <c r="E17" s="215"/>
      <c r="F17" s="215"/>
      <c r="G17" s="10"/>
      <c r="H17" s="38"/>
      <c r="I17" s="38"/>
      <c r="L17" s="506"/>
      <c r="M17" s="506"/>
      <c r="N17" s="506"/>
      <c r="O17" s="506"/>
      <c r="P17" s="506"/>
    </row>
    <row r="18" spans="2:16" ht="16">
      <c r="B18" s="10"/>
      <c r="C18" s="51" t="s">
        <v>515</v>
      </c>
      <c r="D18" s="215"/>
      <c r="E18" s="215"/>
      <c r="F18" s="215"/>
      <c r="G18" s="10"/>
      <c r="H18" s="176">
        <v>8990</v>
      </c>
      <c r="I18" s="176">
        <v>8619</v>
      </c>
      <c r="J18" s="176">
        <v>8606</v>
      </c>
      <c r="L18" s="506"/>
      <c r="M18" s="506"/>
      <c r="N18" s="506"/>
      <c r="O18" s="506"/>
      <c r="P18" s="506"/>
    </row>
    <row r="19" spans="2:16" ht="16">
      <c r="B19" s="10"/>
      <c r="C19" s="51" t="s">
        <v>516</v>
      </c>
      <c r="D19" s="215"/>
      <c r="E19" s="215"/>
      <c r="F19" s="215"/>
      <c r="G19" s="10"/>
      <c r="H19" s="176">
        <v>0</v>
      </c>
      <c r="I19" s="176">
        <v>0</v>
      </c>
      <c r="J19" s="176">
        <v>0</v>
      </c>
      <c r="L19" s="506"/>
      <c r="M19" s="506"/>
      <c r="N19" s="506"/>
      <c r="O19" s="506"/>
      <c r="P19" s="506"/>
    </row>
    <row r="20" spans="2:16" ht="16">
      <c r="B20" s="10"/>
      <c r="C20" s="51" t="s">
        <v>517</v>
      </c>
      <c r="D20" s="215"/>
      <c r="E20" s="215"/>
      <c r="F20" s="215"/>
      <c r="G20" s="10"/>
      <c r="H20" s="177">
        <v>32091</v>
      </c>
      <c r="I20" s="177">
        <v>20030</v>
      </c>
      <c r="J20" s="177">
        <v>25525</v>
      </c>
      <c r="L20" s="506"/>
      <c r="M20" s="506"/>
      <c r="N20" s="506"/>
      <c r="O20" s="506"/>
      <c r="P20" s="506"/>
    </row>
    <row r="21" spans="2:16" ht="16">
      <c r="B21" s="10"/>
      <c r="C21" s="507" t="s">
        <v>518</v>
      </c>
      <c r="D21" s="508"/>
      <c r="E21" s="215"/>
      <c r="F21" s="215"/>
      <c r="G21" s="10"/>
      <c r="H21" s="504">
        <f>SUM(H18:H20)</f>
        <v>41081</v>
      </c>
      <c r="I21" s="504">
        <f t="shared" ref="I21:J21" si="1">SUM(I18:I20)</f>
        <v>28649</v>
      </c>
      <c r="J21" s="504">
        <f t="shared" si="1"/>
        <v>34131</v>
      </c>
      <c r="L21" s="506"/>
      <c r="M21" s="506"/>
      <c r="N21" s="506"/>
      <c r="O21" s="506"/>
      <c r="P21" s="506"/>
    </row>
    <row r="22" spans="2:16" ht="16">
      <c r="B22" s="10"/>
      <c r="C22" s="10"/>
      <c r="D22" s="215"/>
      <c r="E22" s="215"/>
      <c r="F22" s="215"/>
      <c r="G22" s="10"/>
      <c r="H22" s="38"/>
      <c r="I22" s="503"/>
      <c r="L22" s="506"/>
      <c r="M22" s="506"/>
      <c r="N22" s="506"/>
      <c r="O22" s="506"/>
      <c r="P22" s="506"/>
    </row>
    <row r="23" spans="2:16" ht="16">
      <c r="B23" s="10"/>
      <c r="C23" s="64" t="s">
        <v>519</v>
      </c>
      <c r="D23" s="215"/>
      <c r="E23" s="215"/>
      <c r="F23" s="215"/>
      <c r="G23" s="10"/>
      <c r="H23" s="38"/>
      <c r="I23" s="38"/>
      <c r="L23" s="506"/>
      <c r="M23" s="506"/>
      <c r="N23" s="506"/>
      <c r="O23" s="506"/>
      <c r="P23" s="506"/>
    </row>
    <row r="24" spans="2:16" ht="16">
      <c r="B24" s="10"/>
      <c r="C24" s="51" t="s">
        <v>520</v>
      </c>
      <c r="D24" s="215"/>
      <c r="E24" s="215"/>
      <c r="F24" s="215"/>
      <c r="G24" s="10"/>
      <c r="H24" s="176">
        <v>10062</v>
      </c>
      <c r="I24" s="176">
        <v>-12653</v>
      </c>
      <c r="J24" s="176">
        <v>5425</v>
      </c>
      <c r="L24" s="506"/>
      <c r="M24" s="506"/>
      <c r="N24" s="506"/>
      <c r="O24" s="506"/>
      <c r="P24" s="506"/>
    </row>
    <row r="25" spans="2:16" ht="16">
      <c r="B25" s="10"/>
      <c r="C25" s="51" t="s">
        <v>521</v>
      </c>
      <c r="D25" s="215"/>
      <c r="E25" s="215"/>
      <c r="F25" s="215"/>
      <c r="G25" s="10"/>
      <c r="H25" s="176">
        <v>-763</v>
      </c>
      <c r="I25" s="176">
        <v>208</v>
      </c>
      <c r="J25" s="176">
        <v>-5595</v>
      </c>
      <c r="L25" s="506"/>
      <c r="M25" s="506"/>
      <c r="N25" s="506"/>
      <c r="O25" s="506"/>
      <c r="P25" s="506"/>
    </row>
    <row r="26" spans="2:16" ht="16">
      <c r="B26" s="10"/>
      <c r="C26" s="51" t="s">
        <v>522</v>
      </c>
      <c r="D26" s="215"/>
      <c r="E26" s="215"/>
      <c r="F26" s="215"/>
      <c r="G26" s="10"/>
      <c r="H26" s="176">
        <v>-48454</v>
      </c>
      <c r="I26" s="176">
        <v>-9682</v>
      </c>
      <c r="J26" s="176">
        <v>45124</v>
      </c>
      <c r="L26" s="506"/>
      <c r="M26" s="506"/>
      <c r="N26" s="506"/>
      <c r="O26" s="506"/>
      <c r="P26" s="506"/>
    </row>
    <row r="27" spans="2:16" ht="16">
      <c r="B27" s="10"/>
      <c r="C27" s="51" t="s">
        <v>523</v>
      </c>
      <c r="D27" s="215"/>
      <c r="E27" s="215"/>
      <c r="F27" s="215"/>
      <c r="G27" s="10"/>
      <c r="H27" s="177">
        <v>-1324</v>
      </c>
      <c r="I27" s="177">
        <v>-2460</v>
      </c>
      <c r="J27" s="177">
        <v>-1278</v>
      </c>
      <c r="L27" s="506"/>
      <c r="M27" s="506"/>
      <c r="N27" s="506"/>
      <c r="O27" s="506"/>
      <c r="P27" s="506"/>
    </row>
    <row r="28" spans="2:16" ht="16">
      <c r="B28" s="10"/>
      <c r="C28" s="507" t="s">
        <v>524</v>
      </c>
      <c r="D28" s="508"/>
      <c r="E28" s="215"/>
      <c r="F28" s="215"/>
      <c r="G28" s="10"/>
      <c r="H28" s="366">
        <f>SUM(H24:H27)</f>
        <v>-40479</v>
      </c>
      <c r="I28" s="366">
        <f t="shared" ref="I28:J28" si="2">SUM(I24:I27)</f>
        <v>-24587</v>
      </c>
      <c r="J28" s="366">
        <f t="shared" si="2"/>
        <v>43676</v>
      </c>
      <c r="L28" s="506"/>
      <c r="M28" s="506"/>
      <c r="N28" s="506"/>
      <c r="O28" s="506"/>
      <c r="P28" s="506"/>
    </row>
    <row r="29" spans="2:16" ht="16">
      <c r="B29" s="10"/>
      <c r="C29" s="10"/>
      <c r="D29" s="215"/>
      <c r="E29" s="215"/>
      <c r="F29" s="215"/>
      <c r="G29" s="10"/>
      <c r="H29" s="38"/>
      <c r="I29" s="38"/>
      <c r="L29" s="506"/>
      <c r="M29" s="506"/>
      <c r="N29" s="506"/>
      <c r="O29" s="506"/>
      <c r="P29" s="506"/>
    </row>
    <row r="30" spans="2:16" ht="16">
      <c r="B30" s="10"/>
      <c r="C30" s="64" t="s">
        <v>525</v>
      </c>
      <c r="D30" s="215"/>
      <c r="E30" s="215"/>
      <c r="F30" s="215"/>
      <c r="G30" s="10"/>
      <c r="H30" s="176">
        <v>-1324</v>
      </c>
      <c r="I30" s="176">
        <v>-2460</v>
      </c>
      <c r="J30" s="176">
        <v>-1278</v>
      </c>
    </row>
    <row r="31" spans="2:16" ht="16">
      <c r="B31" s="10"/>
      <c r="C31" s="10"/>
      <c r="D31" s="215"/>
      <c r="E31" s="215"/>
      <c r="F31" s="215"/>
      <c r="G31" s="10"/>
      <c r="H31" s="38"/>
      <c r="I31" s="38"/>
    </row>
    <row r="32" spans="2:16" ht="16">
      <c r="B32" s="10"/>
      <c r="C32" s="64" t="s">
        <v>526</v>
      </c>
      <c r="D32" s="215"/>
      <c r="E32" s="215"/>
      <c r="F32" s="215"/>
      <c r="G32" s="10"/>
      <c r="H32" s="509">
        <f>SUM(H15,H21,H28,H30)</f>
        <v>-144971</v>
      </c>
      <c r="I32" s="509">
        <f t="shared" ref="I32:J32" si="3">SUM(I15,I21,I28,I30)</f>
        <v>-107233</v>
      </c>
      <c r="J32" s="509">
        <f t="shared" si="3"/>
        <v>-95234</v>
      </c>
    </row>
    <row r="34" spans="12:12" ht="16">
      <c r="L34" s="506"/>
    </row>
    <row r="35" spans="12:12" ht="16">
      <c r="L35" s="506"/>
    </row>
    <row r="36" spans="12:12" ht="16">
      <c r="L36" s="506"/>
    </row>
    <row r="38" spans="12:12" ht="16">
      <c r="L38" s="506"/>
    </row>
    <row r="39" spans="12:12" ht="16">
      <c r="L39" s="506"/>
    </row>
    <row r="40" spans="12:12" ht="16">
      <c r="L40" s="506"/>
    </row>
    <row r="41" spans="12:12" ht="16">
      <c r="L41" s="506"/>
    </row>
    <row r="42" spans="12:12" ht="16">
      <c r="L42" s="506"/>
    </row>
    <row r="43" spans="12:12" ht="16">
      <c r="L43" s="50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8213-E2A2-48A2-840C-2B7085777670}">
  <dimension ref="B2:AM209"/>
  <sheetViews>
    <sheetView showGridLines="0" zoomScale="44" zoomScaleNormal="65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D45" sqref="D45"/>
    </sheetView>
  </sheetViews>
  <sheetFormatPr defaultColWidth="8.7265625" defaultRowHeight="16"/>
  <cols>
    <col min="1" max="1" width="8.7265625" style="10"/>
    <col min="2" max="2" width="4.453125" style="10" customWidth="1"/>
    <col min="3" max="3" width="42.1796875" style="10" customWidth="1"/>
    <col min="4" max="4" width="8.26953125" style="10" bestFit="1" customWidth="1"/>
    <col min="5" max="5" width="9.81640625" style="10" bestFit="1" customWidth="1"/>
    <col min="6" max="6" width="11.08984375" style="10" bestFit="1" customWidth="1"/>
    <col min="7" max="7" width="13" style="10" customWidth="1"/>
    <col min="8" max="8" width="13.08984375" style="10" bestFit="1" customWidth="1"/>
    <col min="9" max="12" width="15.26953125" style="10" bestFit="1" customWidth="1"/>
    <col min="13" max="13" width="15" style="10" bestFit="1" customWidth="1"/>
    <col min="14" max="14" width="17.1796875" style="10" customWidth="1"/>
    <col min="15" max="19" width="14.6328125" style="10" bestFit="1" customWidth="1"/>
    <col min="20" max="20" width="14.81640625" style="10" customWidth="1"/>
    <col min="21" max="32" width="14.6328125" style="10" bestFit="1" customWidth="1"/>
    <col min="33" max="33" width="8.7265625" style="10"/>
    <col min="34" max="34" width="41.26953125" style="10" bestFit="1" customWidth="1"/>
    <col min="35" max="36" width="9.26953125" style="10" bestFit="1" customWidth="1"/>
    <col min="37" max="37" width="9.1796875" style="10" bestFit="1" customWidth="1"/>
    <col min="38" max="38" width="8.90625" style="10" bestFit="1" customWidth="1"/>
    <col min="39" max="39" width="9.453125" style="10" bestFit="1" customWidth="1"/>
    <col min="40" max="16384" width="8.7265625" style="10"/>
  </cols>
  <sheetData>
    <row r="2" spans="2:32">
      <c r="B2" s="1"/>
      <c r="C2" s="1"/>
      <c r="D2" s="1"/>
      <c r="E2" s="1"/>
      <c r="F2" s="1"/>
      <c r="G2" s="1"/>
      <c r="H2" s="3" t="s">
        <v>0</v>
      </c>
      <c r="I2" s="2"/>
      <c r="J2" s="2"/>
      <c r="K2" s="2"/>
      <c r="L2" s="4"/>
      <c r="M2" s="2"/>
      <c r="N2" s="2"/>
      <c r="O2" s="2"/>
      <c r="P2" s="3" t="s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2:32">
      <c r="B3" s="5" t="str">
        <f>Ticker&amp;"- Risk-Adjusted Net Present Value Calculation"</f>
        <v>RARE- Risk-Adjusted Net Present Value Calculation</v>
      </c>
      <c r="C3" s="1"/>
      <c r="D3" s="1"/>
      <c r="E3" s="6" t="s">
        <v>2</v>
      </c>
      <c r="F3" s="7"/>
      <c r="G3" s="1"/>
      <c r="H3" s="8">
        <v>44377</v>
      </c>
      <c r="I3" s="8">
        <v>44742</v>
      </c>
      <c r="J3" s="8">
        <v>45107</v>
      </c>
      <c r="K3" s="8">
        <v>45473</v>
      </c>
      <c r="L3" s="9">
        <v>45838</v>
      </c>
      <c r="M3" s="8">
        <v>46203</v>
      </c>
      <c r="N3" s="8">
        <v>46568</v>
      </c>
      <c r="O3" s="8">
        <v>46934</v>
      </c>
      <c r="P3" s="8">
        <v>47299</v>
      </c>
      <c r="Q3" s="8">
        <f t="shared" ref="Q3:X3" si="0">EOMONTH(P3,12)</f>
        <v>47664</v>
      </c>
      <c r="R3" s="8">
        <f t="shared" si="0"/>
        <v>48029</v>
      </c>
      <c r="S3" s="8">
        <f t="shared" si="0"/>
        <v>48395</v>
      </c>
      <c r="T3" s="8">
        <f t="shared" si="0"/>
        <v>48760</v>
      </c>
      <c r="U3" s="8">
        <f t="shared" si="0"/>
        <v>49125</v>
      </c>
      <c r="V3" s="8">
        <f t="shared" si="0"/>
        <v>49490</v>
      </c>
      <c r="W3" s="8">
        <f t="shared" si="0"/>
        <v>49856</v>
      </c>
      <c r="X3" s="8">
        <f t="shared" si="0"/>
        <v>50221</v>
      </c>
      <c r="Y3" s="8">
        <f t="shared" ref="Y3" si="1">EOMONTH(X3,12)</f>
        <v>50586</v>
      </c>
      <c r="Z3" s="8">
        <f t="shared" ref="Z3" si="2">EOMONTH(Y3,12)</f>
        <v>50951</v>
      </c>
      <c r="AA3" s="8">
        <f t="shared" ref="AA3" si="3">EOMONTH(Z3,12)</f>
        <v>51317</v>
      </c>
      <c r="AB3" s="8">
        <f t="shared" ref="AB3" si="4">EOMONTH(AA3,12)</f>
        <v>51682</v>
      </c>
      <c r="AC3" s="8">
        <f t="shared" ref="AC3" si="5">EOMONTH(AB3,12)</f>
        <v>52047</v>
      </c>
      <c r="AD3" s="8">
        <f t="shared" ref="AD3" si="6">EOMONTH(AC3,12)</f>
        <v>52412</v>
      </c>
      <c r="AE3" s="8">
        <f t="shared" ref="AE3" si="7">EOMONTH(AD3,12)</f>
        <v>52778</v>
      </c>
      <c r="AF3" s="8">
        <f t="shared" ref="AF3" si="8">EOMONTH(AE3,12)</f>
        <v>53143</v>
      </c>
    </row>
    <row r="4" spans="2:32">
      <c r="B4" s="61"/>
      <c r="E4" s="62"/>
      <c r="F4" s="213"/>
      <c r="G4" s="62"/>
      <c r="H4" s="62"/>
      <c r="I4" s="62"/>
      <c r="J4" s="62"/>
      <c r="K4" s="62"/>
      <c r="L4" s="62"/>
      <c r="M4" s="62"/>
      <c r="N4" s="62"/>
    </row>
    <row r="5" spans="2:32">
      <c r="B5" s="61"/>
      <c r="C5" s="64" t="s">
        <v>354</v>
      </c>
      <c r="D5" s="13" t="s">
        <v>140</v>
      </c>
      <c r="E5" s="62"/>
      <c r="F5" s="62"/>
      <c r="G5" s="62"/>
      <c r="H5" s="62"/>
      <c r="I5" s="62"/>
      <c r="J5" s="62"/>
      <c r="K5" s="62"/>
      <c r="L5" s="62"/>
      <c r="M5" s="62"/>
    </row>
    <row r="6" spans="2:32">
      <c r="B6" s="61"/>
      <c r="C6" s="63" t="s">
        <v>144</v>
      </c>
      <c r="D6" s="13" t="s">
        <v>140</v>
      </c>
      <c r="E6" s="64"/>
      <c r="I6" s="65" t="s">
        <v>145</v>
      </c>
      <c r="J6" s="65"/>
      <c r="K6" s="65"/>
      <c r="L6" s="65"/>
      <c r="M6" s="61"/>
      <c r="N6" s="65" t="s">
        <v>350</v>
      </c>
      <c r="O6" s="65"/>
      <c r="P6" s="65"/>
      <c r="Q6" s="65"/>
      <c r="S6" s="66" t="s">
        <v>343</v>
      </c>
      <c r="T6" s="67"/>
      <c r="U6" s="67"/>
      <c r="W6" s="68" t="s">
        <v>348</v>
      </c>
      <c r="X6" s="67"/>
      <c r="Y6" s="67"/>
    </row>
    <row r="7" spans="2:32">
      <c r="B7" s="61"/>
      <c r="C7" s="63"/>
      <c r="D7" s="165"/>
      <c r="F7" s="64"/>
      <c r="I7" s="20"/>
      <c r="J7" s="20"/>
      <c r="K7" s="20"/>
      <c r="L7" s="20"/>
      <c r="M7" s="61"/>
      <c r="N7" s="20"/>
      <c r="O7" s="20"/>
      <c r="P7" s="20"/>
      <c r="Q7" s="20"/>
      <c r="S7" s="66" t="s">
        <v>146</v>
      </c>
      <c r="T7" s="67"/>
      <c r="U7" s="67"/>
      <c r="W7" s="68" t="s">
        <v>349</v>
      </c>
      <c r="X7" s="67"/>
      <c r="Y7" s="67"/>
    </row>
    <row r="8" spans="2:32">
      <c r="B8" s="61"/>
      <c r="C8" s="64"/>
      <c r="D8" s="165"/>
      <c r="F8" s="64"/>
      <c r="I8" s="20" t="s">
        <v>147</v>
      </c>
      <c r="J8" s="20"/>
      <c r="K8" s="20"/>
      <c r="L8" s="69">
        <f>[2]PubComps!S37</f>
        <v>14.299153513558895</v>
      </c>
      <c r="M8" s="61"/>
      <c r="N8" s="20" t="s">
        <v>351</v>
      </c>
      <c r="O8" s="20"/>
      <c r="P8" s="20"/>
      <c r="Q8" s="262">
        <v>1.4999999999999999E-2</v>
      </c>
    </row>
    <row r="9" spans="2:32">
      <c r="B9" s="61"/>
      <c r="C9" s="63"/>
      <c r="D9" s="165"/>
      <c r="F9" s="64"/>
      <c r="I9" s="20" t="s">
        <v>150</v>
      </c>
      <c r="J9" s="20"/>
      <c r="K9" s="20"/>
      <c r="L9" s="69">
        <f>[2]PubComps!S41</f>
        <v>0</v>
      </c>
      <c r="M9" s="61"/>
      <c r="N9" s="20"/>
      <c r="O9" s="20"/>
      <c r="P9" s="20"/>
      <c r="Q9" s="20"/>
      <c r="S9" s="64" t="s">
        <v>148</v>
      </c>
      <c r="U9" s="70">
        <f>NPV(Discount_Rate,J109:V109)</f>
        <v>735051.06711094512</v>
      </c>
      <c r="W9" s="51" t="s">
        <v>344</v>
      </c>
      <c r="Y9" s="255">
        <f>U12</f>
        <v>7.5343487813750016</v>
      </c>
      <c r="AB9" s="255"/>
      <c r="AC9" s="255"/>
      <c r="AD9" s="255"/>
    </row>
    <row r="10" spans="2:32">
      <c r="B10" s="61"/>
      <c r="I10" s="20"/>
      <c r="J10" s="20"/>
      <c r="K10" s="20"/>
      <c r="L10" s="71"/>
      <c r="N10" s="20"/>
      <c r="O10" s="20"/>
      <c r="P10" s="20"/>
      <c r="Q10" s="20"/>
      <c r="S10" s="20"/>
      <c r="W10" s="51" t="s">
        <v>267</v>
      </c>
      <c r="Y10" s="255">
        <f>U21</f>
        <v>7.9530103558331211</v>
      </c>
      <c r="AB10" s="255"/>
      <c r="AC10" s="255"/>
      <c r="AD10" s="255"/>
    </row>
    <row r="11" spans="2:32">
      <c r="B11" s="61"/>
      <c r="I11" s="20" t="s">
        <v>151</v>
      </c>
      <c r="J11" s="20"/>
      <c r="K11" s="73"/>
      <c r="L11" s="74">
        <f>INDEX(L12:L14,MATCH(Scenario,I12:I14,0),1)</f>
        <v>9</v>
      </c>
      <c r="M11" s="64"/>
      <c r="N11" s="20" t="s">
        <v>352</v>
      </c>
      <c r="O11" s="20"/>
      <c r="P11" s="20"/>
      <c r="Q11" s="22">
        <f>INDEX(Q12:Q14,MATCH(Scenario,N12:N14,0),1)</f>
        <v>-1.4999999999999999E-2</v>
      </c>
      <c r="S11" s="56" t="s">
        <v>153</v>
      </c>
      <c r="U11" s="83">
        <f>Diluted*Units</f>
        <v>97560</v>
      </c>
      <c r="W11" s="51" t="s">
        <v>268</v>
      </c>
      <c r="Y11" s="255">
        <f>U30</f>
        <v>0.4616069722377879</v>
      </c>
      <c r="AB11" s="255"/>
      <c r="AC11" s="255"/>
      <c r="AD11" s="255"/>
    </row>
    <row r="12" spans="2:32">
      <c r="B12" s="61"/>
      <c r="I12" s="10" t="s">
        <v>139</v>
      </c>
      <c r="J12" s="20"/>
      <c r="K12" s="73"/>
      <c r="L12" s="76">
        <v>10</v>
      </c>
      <c r="M12" s="20"/>
      <c r="N12" s="10" t="s">
        <v>139</v>
      </c>
      <c r="O12" s="20"/>
      <c r="P12" s="20"/>
      <c r="Q12" s="262">
        <v>-0.01</v>
      </c>
      <c r="S12" s="64" t="s">
        <v>155</v>
      </c>
      <c r="U12" s="85">
        <f>U9/U11</f>
        <v>7.5343487813750016</v>
      </c>
      <c r="W12" s="51" t="s">
        <v>239</v>
      </c>
      <c r="Y12" s="255">
        <f>U39</f>
        <v>11.027859217571622</v>
      </c>
      <c r="AB12" s="255"/>
      <c r="AC12" s="255"/>
      <c r="AD12" s="255"/>
    </row>
    <row r="13" spans="2:32">
      <c r="B13" s="61"/>
      <c r="C13" s="10" t="s">
        <v>3</v>
      </c>
      <c r="E13" s="11" t="s">
        <v>4</v>
      </c>
      <c r="G13" s="12" t="str">
        <f>Company_Name</f>
        <v>Ultragenyx Pharmaceutical Inc.</v>
      </c>
      <c r="I13" s="10" t="s">
        <v>140</v>
      </c>
      <c r="J13" s="20"/>
      <c r="K13" s="73"/>
      <c r="L13" s="76">
        <v>9</v>
      </c>
      <c r="M13" s="20"/>
      <c r="N13" s="10" t="s">
        <v>140</v>
      </c>
      <c r="O13" s="20"/>
      <c r="P13" s="20"/>
      <c r="Q13" s="262">
        <v>-1.4999999999999999E-2</v>
      </c>
      <c r="U13" s="77"/>
      <c r="V13" s="20"/>
      <c r="W13" s="51" t="s">
        <v>345</v>
      </c>
      <c r="Y13" s="255">
        <f>L38</f>
        <v>26.60227473517028</v>
      </c>
      <c r="AB13" s="255"/>
      <c r="AC13" s="255"/>
      <c r="AD13" s="255"/>
    </row>
    <row r="14" spans="2:32">
      <c r="B14" s="61"/>
      <c r="C14" s="10" t="s">
        <v>6</v>
      </c>
      <c r="E14" s="11" t="s">
        <v>4</v>
      </c>
      <c r="G14" s="18" t="str">
        <f>Ticker</f>
        <v>RARE</v>
      </c>
      <c r="I14" s="10" t="s">
        <v>141</v>
      </c>
      <c r="J14" s="20"/>
      <c r="K14" s="73"/>
      <c r="L14" s="76">
        <v>8</v>
      </c>
      <c r="M14" s="20"/>
      <c r="N14" s="10" t="s">
        <v>141</v>
      </c>
      <c r="O14" s="20"/>
      <c r="P14" s="20"/>
      <c r="Q14" s="262">
        <v>-0.02</v>
      </c>
      <c r="S14" s="20"/>
      <c r="W14" s="352" t="s">
        <v>346</v>
      </c>
      <c r="X14" s="352"/>
      <c r="Y14" s="353">
        <f>SUM(Y9:Y13)</f>
        <v>53.57910006218782</v>
      </c>
      <c r="AB14" s="362"/>
      <c r="AC14" s="362"/>
      <c r="AD14" s="362"/>
    </row>
    <row r="15" spans="2:32">
      <c r="B15" s="61"/>
      <c r="C15" s="10" t="s">
        <v>8</v>
      </c>
      <c r="E15" s="11" t="s">
        <v>9</v>
      </c>
      <c r="G15" s="19">
        <v>23.5</v>
      </c>
      <c r="I15" s="20"/>
      <c r="J15" s="20"/>
      <c r="K15" s="73"/>
      <c r="L15" s="80"/>
      <c r="M15" s="20"/>
      <c r="N15" s="20"/>
      <c r="O15" s="20"/>
      <c r="P15" s="20"/>
      <c r="Q15" s="79"/>
      <c r="S15" s="66" t="s">
        <v>267</v>
      </c>
      <c r="T15" s="67"/>
      <c r="U15" s="67"/>
      <c r="V15" s="79"/>
      <c r="W15" s="352" t="s">
        <v>152</v>
      </c>
      <c r="X15" s="352"/>
      <c r="Y15" s="354">
        <f>Y14/G15-1</f>
        <v>1.27996170477395</v>
      </c>
      <c r="AB15" s="116"/>
      <c r="AC15" s="116"/>
      <c r="AD15" s="116"/>
    </row>
    <row r="16" spans="2:32">
      <c r="B16" s="61"/>
      <c r="C16" s="20" t="s">
        <v>11</v>
      </c>
      <c r="E16" s="11" t="s">
        <v>12</v>
      </c>
      <c r="G16" s="82">
        <f>Diluted</f>
        <v>97.56</v>
      </c>
      <c r="I16" s="20"/>
      <c r="J16" s="20"/>
      <c r="K16" s="73"/>
      <c r="L16" s="80"/>
      <c r="M16" s="20"/>
      <c r="N16" s="20"/>
      <c r="O16" s="20"/>
      <c r="P16" s="20"/>
      <c r="Q16" s="79"/>
      <c r="S16" s="66" t="s">
        <v>146</v>
      </c>
      <c r="T16" s="67"/>
      <c r="U16" s="67"/>
      <c r="V16" s="20"/>
      <c r="Y16" s="81"/>
    </row>
    <row r="17" spans="2:25">
      <c r="B17" s="61"/>
      <c r="C17" s="20"/>
      <c r="E17" s="20"/>
      <c r="G17" s="20"/>
      <c r="I17" s="20" t="s">
        <v>154</v>
      </c>
      <c r="J17" s="20"/>
      <c r="K17" s="20"/>
      <c r="L17" s="84">
        <f>L11*(W86/Units)</f>
        <v>1494.388648901469</v>
      </c>
      <c r="M17" s="20"/>
      <c r="N17" s="20" t="s">
        <v>154</v>
      </c>
      <c r="O17" s="20"/>
      <c r="P17" s="20"/>
      <c r="Q17" s="263">
        <f>(W86*(1+Terminal_Growth_Rate)/(Discount_Rate-Q11)*(1+Discount_Rate)^0.5)/Units</f>
        <v>1484.0400742236141</v>
      </c>
      <c r="V17" s="20"/>
      <c r="W17" s="51"/>
      <c r="Y17" s="252"/>
    </row>
    <row r="18" spans="2:25">
      <c r="B18" s="61"/>
      <c r="C18" s="20" t="s">
        <v>14</v>
      </c>
      <c r="E18" s="11" t="s">
        <v>15</v>
      </c>
      <c r="G18" s="22">
        <v>0.12</v>
      </c>
      <c r="I18" s="20" t="s">
        <v>156</v>
      </c>
      <c r="J18" s="20"/>
      <c r="K18" s="20"/>
      <c r="L18" s="87">
        <f>(W83*(1+Discount_Rate)^0.5*Discount_Rate - L17) / (W83*(1+Discount_Rate)^0.5 + L17)</f>
        <v>8.562165323695671E-2</v>
      </c>
      <c r="M18" s="20"/>
      <c r="N18" s="20" t="s">
        <v>353</v>
      </c>
      <c r="O18" s="20"/>
      <c r="P18" s="20"/>
      <c r="Q18" s="264">
        <f>Q17/(W86/Units)</f>
        <v>8.9376754017978115</v>
      </c>
      <c r="S18" s="64" t="s">
        <v>148</v>
      </c>
      <c r="U18" s="70">
        <f>NPV(Discount_Rate,J132:W132)</f>
        <v>775895.69031507929</v>
      </c>
      <c r="V18" s="86"/>
      <c r="W18" s="51"/>
      <c r="Y18" s="253"/>
    </row>
    <row r="19" spans="2:25">
      <c r="B19" s="61"/>
      <c r="C19" s="20" t="s">
        <v>16</v>
      </c>
      <c r="E19" s="11" t="s">
        <v>15</v>
      </c>
      <c r="G19" s="88">
        <v>0.1</v>
      </c>
      <c r="I19" s="20"/>
      <c r="J19" s="20"/>
      <c r="K19" s="20"/>
      <c r="L19" s="20"/>
      <c r="M19" s="20"/>
      <c r="N19" s="20"/>
      <c r="O19" s="20"/>
      <c r="P19" s="20"/>
      <c r="Q19" s="20"/>
      <c r="S19" s="20"/>
      <c r="W19" s="64"/>
      <c r="Y19" s="75"/>
    </row>
    <row r="20" spans="2:25">
      <c r="B20" s="61"/>
      <c r="C20" s="20"/>
      <c r="E20" s="11"/>
      <c r="G20" s="89"/>
      <c r="I20" s="90" t="s">
        <v>157</v>
      </c>
      <c r="J20" s="20"/>
      <c r="K20" s="73"/>
      <c r="L20" s="91">
        <f>L17/((1+Discount_Rate)^12)</f>
        <v>476.15827717654997</v>
      </c>
      <c r="M20" s="20"/>
      <c r="N20" s="90" t="s">
        <v>157</v>
      </c>
      <c r="O20" s="20"/>
      <c r="P20" s="73"/>
      <c r="Q20" s="91">
        <f>Q17/((1+Discount_Rate)^12)</f>
        <v>472.8609023648084</v>
      </c>
      <c r="S20" s="56" t="s">
        <v>153</v>
      </c>
      <c r="U20" s="83">
        <f>Diluted*Units</f>
        <v>97560</v>
      </c>
      <c r="Y20" s="254"/>
    </row>
    <row r="21" spans="2:25">
      <c r="B21" s="61"/>
      <c r="C21" s="92" t="s">
        <v>158</v>
      </c>
      <c r="D21" s="67"/>
      <c r="E21" s="93"/>
      <c r="F21" s="67"/>
      <c r="G21" s="94">
        <f>G15*G16</f>
        <v>2292.66</v>
      </c>
      <c r="I21" s="95" t="s">
        <v>159</v>
      </c>
      <c r="J21" s="78"/>
      <c r="K21" s="78"/>
      <c r="L21" s="96">
        <f>NPV(Discount_Rate,L83:W83)/Units</f>
        <v>1952.4306459866627</v>
      </c>
      <c r="M21" s="20"/>
      <c r="N21" s="95" t="s">
        <v>159</v>
      </c>
      <c r="O21" s="78"/>
      <c r="P21" s="78"/>
      <c r="Q21" s="96">
        <f>NPV(Discount_Rate,L83:W83)/Units</f>
        <v>1952.4306459866627</v>
      </c>
      <c r="S21" s="64" t="s">
        <v>155</v>
      </c>
      <c r="U21" s="85">
        <f>U18/U20</f>
        <v>7.9530103558331211</v>
      </c>
    </row>
    <row r="22" spans="2:25">
      <c r="B22" s="61"/>
      <c r="C22" s="90" t="s">
        <v>160</v>
      </c>
      <c r="E22" s="11"/>
      <c r="G22" s="97">
        <f>-Model!J92/Units</f>
        <v>-173.72900000000001</v>
      </c>
      <c r="I22" s="98" t="s">
        <v>161</v>
      </c>
      <c r="J22" s="99"/>
      <c r="K22" s="99"/>
      <c r="L22" s="100">
        <f>SUM(L20:L21)</f>
        <v>2428.5889231632127</v>
      </c>
      <c r="M22" s="20"/>
      <c r="N22" s="98" t="s">
        <v>161</v>
      </c>
      <c r="O22" s="99"/>
      <c r="P22" s="99"/>
      <c r="Q22" s="100">
        <f>SUM(Q20:Q21)</f>
        <v>2425.2915483514712</v>
      </c>
      <c r="U22" s="77"/>
    </row>
    <row r="23" spans="2:25">
      <c r="B23" s="61"/>
      <c r="C23" s="90" t="s">
        <v>162</v>
      </c>
      <c r="E23" s="11"/>
      <c r="G23" s="97">
        <v>0</v>
      </c>
      <c r="I23" s="90"/>
      <c r="J23" s="20"/>
      <c r="K23" s="20"/>
      <c r="L23" s="101"/>
      <c r="M23" s="20"/>
      <c r="N23" s="90"/>
      <c r="O23" s="20"/>
      <c r="P23" s="20"/>
      <c r="Q23" s="101"/>
      <c r="S23" s="20"/>
      <c r="T23" s="79"/>
    </row>
    <row r="24" spans="2:25">
      <c r="B24" s="61"/>
      <c r="C24" s="90" t="s">
        <v>163</v>
      </c>
      <c r="E24" s="11"/>
      <c r="G24" s="97">
        <v>0</v>
      </c>
      <c r="I24" s="102" t="s">
        <v>164</v>
      </c>
      <c r="J24" s="20"/>
      <c r="K24" s="20"/>
      <c r="L24" s="103">
        <f>L20/L22</f>
        <v>0.19606376057927441</v>
      </c>
      <c r="M24" s="20"/>
      <c r="N24" s="102" t="s">
        <v>164</v>
      </c>
      <c r="O24" s="20"/>
      <c r="P24" s="20"/>
      <c r="Q24" s="103">
        <f>Q20/Q22</f>
        <v>0.19497074596504627</v>
      </c>
      <c r="S24" s="66" t="s">
        <v>268</v>
      </c>
      <c r="T24" s="67"/>
      <c r="U24" s="67"/>
    </row>
    <row r="25" spans="2:25">
      <c r="B25" s="61"/>
      <c r="C25" s="90" t="s">
        <v>165</v>
      </c>
      <c r="E25" s="11"/>
      <c r="G25" s="97">
        <v>0</v>
      </c>
      <c r="I25" s="20"/>
      <c r="J25" s="20"/>
      <c r="K25" s="20"/>
      <c r="L25" s="20"/>
      <c r="M25" s="20"/>
      <c r="N25" s="20"/>
      <c r="O25" s="20"/>
      <c r="P25" s="20"/>
      <c r="Q25" s="20"/>
      <c r="S25" s="66" t="s">
        <v>146</v>
      </c>
      <c r="T25" s="67"/>
      <c r="U25" s="67"/>
      <c r="W25" s="251"/>
    </row>
    <row r="26" spans="2:25">
      <c r="B26" s="61"/>
      <c r="C26" s="90" t="s">
        <v>166</v>
      </c>
      <c r="E26" s="11"/>
      <c r="G26" s="97">
        <v>0</v>
      </c>
      <c r="I26" s="20" t="s">
        <v>167</v>
      </c>
      <c r="J26" s="20"/>
      <c r="K26" s="20"/>
      <c r="L26" s="104">
        <f t="shared" ref="L26:L32" si="9">-G22</f>
        <v>173.72900000000001</v>
      </c>
      <c r="M26" s="20"/>
      <c r="N26" s="20" t="s">
        <v>167</v>
      </c>
      <c r="O26" s="20"/>
      <c r="P26" s="20"/>
      <c r="Q26" s="104">
        <f>L26</f>
        <v>173.72900000000001</v>
      </c>
    </row>
    <row r="27" spans="2:25">
      <c r="B27" s="61"/>
      <c r="C27" s="90" t="s">
        <v>168</v>
      </c>
      <c r="E27" s="11"/>
      <c r="G27" s="97">
        <v>7</v>
      </c>
      <c r="I27" s="105" t="s">
        <v>169</v>
      </c>
      <c r="J27" s="20"/>
      <c r="K27" s="20"/>
      <c r="L27" s="104">
        <f t="shared" si="9"/>
        <v>0</v>
      </c>
      <c r="M27" s="20"/>
      <c r="N27" s="105" t="s">
        <v>169</v>
      </c>
      <c r="O27" s="20"/>
      <c r="P27" s="20"/>
      <c r="Q27" s="104">
        <f t="shared" ref="Q27:Q32" si="10">L27</f>
        <v>0</v>
      </c>
      <c r="S27" s="64" t="s">
        <v>148</v>
      </c>
      <c r="U27" s="70">
        <f>NPV(Discount_Rate,J154:X154)</f>
        <v>45034.376211518589</v>
      </c>
    </row>
    <row r="28" spans="2:25">
      <c r="B28" s="61"/>
      <c r="C28" s="90" t="s">
        <v>170</v>
      </c>
      <c r="E28" s="11"/>
      <c r="G28" s="97">
        <v>0</v>
      </c>
      <c r="I28" s="105" t="s">
        <v>171</v>
      </c>
      <c r="J28" s="20"/>
      <c r="K28" s="20"/>
      <c r="L28" s="104">
        <f t="shared" si="9"/>
        <v>0</v>
      </c>
      <c r="M28" s="20"/>
      <c r="N28" s="105" t="s">
        <v>171</v>
      </c>
      <c r="O28" s="20"/>
      <c r="P28" s="20"/>
      <c r="Q28" s="104">
        <f t="shared" si="10"/>
        <v>0</v>
      </c>
      <c r="S28" s="20"/>
    </row>
    <row r="29" spans="2:25">
      <c r="B29" s="61"/>
      <c r="C29" s="106" t="s">
        <v>172</v>
      </c>
      <c r="D29" s="106"/>
      <c r="E29" s="106"/>
      <c r="F29" s="106"/>
      <c r="G29" s="107">
        <f>SUM(G21:G28)</f>
        <v>2125.931</v>
      </c>
      <c r="I29" s="105" t="s">
        <v>173</v>
      </c>
      <c r="J29" s="20"/>
      <c r="K29" s="20"/>
      <c r="L29" s="104">
        <f t="shared" si="9"/>
        <v>0</v>
      </c>
      <c r="M29" s="20"/>
      <c r="N29" s="105" t="s">
        <v>173</v>
      </c>
      <c r="O29" s="20"/>
      <c r="P29" s="20"/>
      <c r="Q29" s="104">
        <f t="shared" si="10"/>
        <v>0</v>
      </c>
      <c r="S29" s="56" t="s">
        <v>153</v>
      </c>
      <c r="U29" s="83">
        <f>Diluted*Units</f>
        <v>97560</v>
      </c>
    </row>
    <row r="30" spans="2:25">
      <c r="B30" s="61"/>
      <c r="C30" s="20"/>
      <c r="E30" s="11"/>
      <c r="G30" s="89"/>
      <c r="I30" s="105" t="s">
        <v>174</v>
      </c>
      <c r="J30" s="20"/>
      <c r="K30" s="20"/>
      <c r="L30" s="104">
        <f t="shared" si="9"/>
        <v>0</v>
      </c>
      <c r="M30" s="20"/>
      <c r="N30" s="105" t="s">
        <v>174</v>
      </c>
      <c r="O30" s="20"/>
      <c r="P30" s="20"/>
      <c r="Q30" s="104">
        <f t="shared" si="10"/>
        <v>0</v>
      </c>
      <c r="S30" s="64" t="s">
        <v>155</v>
      </c>
      <c r="U30" s="85">
        <f>U27/U29</f>
        <v>0.4616069722377879</v>
      </c>
    </row>
    <row r="31" spans="2:25">
      <c r="B31" s="61"/>
      <c r="C31" s="20"/>
      <c r="E31" s="11"/>
      <c r="G31" s="89"/>
      <c r="I31" s="105" t="s">
        <v>175</v>
      </c>
      <c r="J31" s="20"/>
      <c r="K31" s="20"/>
      <c r="L31" s="104">
        <f t="shared" si="9"/>
        <v>-7</v>
      </c>
      <c r="M31" s="20"/>
      <c r="N31" s="105" t="s">
        <v>175</v>
      </c>
      <c r="O31" s="20"/>
      <c r="P31" s="20"/>
      <c r="Q31" s="104">
        <f t="shared" si="10"/>
        <v>-7</v>
      </c>
      <c r="U31" s="77"/>
    </row>
    <row r="32" spans="2:25">
      <c r="B32" s="61"/>
      <c r="C32" s="20"/>
      <c r="E32" s="11"/>
      <c r="G32" s="89"/>
      <c r="I32" s="105" t="s">
        <v>176</v>
      </c>
      <c r="J32" s="20"/>
      <c r="K32" s="20"/>
      <c r="L32" s="104">
        <f t="shared" si="9"/>
        <v>0</v>
      </c>
      <c r="M32" s="20"/>
      <c r="N32" s="105" t="s">
        <v>176</v>
      </c>
      <c r="O32" s="20"/>
      <c r="P32" s="20"/>
      <c r="Q32" s="104">
        <f t="shared" si="10"/>
        <v>0</v>
      </c>
      <c r="S32" s="20"/>
      <c r="T32" s="79"/>
    </row>
    <row r="33" spans="2:32">
      <c r="B33" s="61"/>
      <c r="C33" s="20"/>
      <c r="E33" s="11"/>
      <c r="G33" s="89"/>
      <c r="I33" s="90"/>
      <c r="J33" s="20"/>
      <c r="K33" s="20"/>
      <c r="L33" s="108"/>
      <c r="M33" s="20"/>
      <c r="N33" s="90"/>
      <c r="O33" s="20"/>
      <c r="P33" s="20"/>
      <c r="Q33" s="101"/>
      <c r="S33" s="66" t="s">
        <v>239</v>
      </c>
      <c r="T33" s="67"/>
      <c r="U33" s="67"/>
    </row>
    <row r="34" spans="2:32">
      <c r="B34" s="61"/>
      <c r="C34" s="20"/>
      <c r="E34" s="11"/>
      <c r="G34" s="89"/>
      <c r="I34" s="109" t="s">
        <v>177</v>
      </c>
      <c r="J34" s="110"/>
      <c r="K34" s="110"/>
      <c r="L34" s="111">
        <f>L22+SUM(L26:L32)</f>
        <v>2595.3179231632125</v>
      </c>
      <c r="M34" s="20"/>
      <c r="N34" s="109" t="s">
        <v>177</v>
      </c>
      <c r="O34" s="110"/>
      <c r="P34" s="110"/>
      <c r="Q34" s="111">
        <f>SUM(Q22:Q33)</f>
        <v>2592.2155190974358</v>
      </c>
      <c r="S34" s="66" t="s">
        <v>146</v>
      </c>
      <c r="T34" s="67"/>
      <c r="U34" s="67"/>
    </row>
    <row r="35" spans="2:32">
      <c r="B35" s="61"/>
      <c r="C35" s="20"/>
      <c r="E35" s="11"/>
      <c r="G35" s="89"/>
      <c r="I35" s="112"/>
      <c r="J35" s="20"/>
      <c r="K35" s="20"/>
      <c r="L35" s="113"/>
      <c r="M35" s="20"/>
      <c r="N35" s="112"/>
      <c r="O35" s="20"/>
      <c r="P35" s="20"/>
      <c r="Q35" s="113"/>
    </row>
    <row r="36" spans="2:32">
      <c r="B36" s="61"/>
      <c r="C36" s="20"/>
      <c r="E36" s="11"/>
      <c r="G36" s="89"/>
      <c r="I36" s="20" t="s">
        <v>11</v>
      </c>
      <c r="J36" s="20"/>
      <c r="K36" s="20"/>
      <c r="L36" s="114">
        <f>_xlfn.SINGLE(Diluted)</f>
        <v>97.56</v>
      </c>
      <c r="M36" s="20"/>
      <c r="N36" s="20" t="s">
        <v>11</v>
      </c>
      <c r="O36" s="20"/>
      <c r="P36" s="20"/>
      <c r="Q36" s="114">
        <f>_xlfn.SINGLE(Diluted)</f>
        <v>97.56</v>
      </c>
      <c r="S36" s="64" t="s">
        <v>148</v>
      </c>
      <c r="U36" s="70">
        <f>NPV(Discount_Rate,J177:AF177)</f>
        <v>1075877.9452662875</v>
      </c>
    </row>
    <row r="37" spans="2:32">
      <c r="B37" s="61"/>
      <c r="C37" s="20"/>
      <c r="E37" s="11"/>
      <c r="G37" s="89"/>
      <c r="I37" s="20"/>
      <c r="J37" s="20"/>
      <c r="K37" s="20"/>
      <c r="L37" s="38"/>
      <c r="M37" s="20"/>
      <c r="N37" s="20"/>
      <c r="O37" s="20"/>
      <c r="P37" s="20"/>
      <c r="Q37" s="38"/>
      <c r="S37" s="20"/>
    </row>
    <row r="38" spans="2:32">
      <c r="B38" s="61"/>
      <c r="C38" s="20"/>
      <c r="E38" s="11"/>
      <c r="G38" s="89"/>
      <c r="I38" s="352" t="s">
        <v>178</v>
      </c>
      <c r="J38" s="352"/>
      <c r="K38" s="352"/>
      <c r="L38" s="353">
        <f>L34/L36</f>
        <v>26.60227473517028</v>
      </c>
      <c r="M38" s="20"/>
      <c r="N38" s="352" t="s">
        <v>178</v>
      </c>
      <c r="O38" s="352"/>
      <c r="P38" s="352"/>
      <c r="Q38" s="353">
        <f>Q34/Q36</f>
        <v>26.570474775496471</v>
      </c>
      <c r="S38" s="56" t="s">
        <v>153</v>
      </c>
      <c r="U38" s="83">
        <f>Diluted*Units</f>
        <v>97560</v>
      </c>
    </row>
    <row r="39" spans="2:32">
      <c r="B39" s="61"/>
      <c r="C39" s="20"/>
      <c r="E39" s="11"/>
      <c r="G39" s="89"/>
      <c r="I39" s="352" t="s">
        <v>152</v>
      </c>
      <c r="J39" s="352"/>
      <c r="K39" s="352"/>
      <c r="L39" s="354">
        <f>L38/G15-1</f>
        <v>0.13201169085830977</v>
      </c>
      <c r="M39" s="20"/>
      <c r="N39" s="352" t="s">
        <v>152</v>
      </c>
      <c r="O39" s="352"/>
      <c r="P39" s="352"/>
      <c r="Q39" s="354">
        <f>Q38/G15-1</f>
        <v>0.13065850108495614</v>
      </c>
      <c r="S39" s="64" t="s">
        <v>155</v>
      </c>
      <c r="U39" s="85">
        <f>U36/U38</f>
        <v>11.027859217571622</v>
      </c>
    </row>
    <row r="40" spans="2:32">
      <c r="B40" s="61"/>
      <c r="C40" s="20"/>
      <c r="E40" s="11"/>
      <c r="G40" s="89"/>
      <c r="H40" s="115"/>
      <c r="I40" s="115"/>
      <c r="J40" s="115"/>
      <c r="K40" s="116"/>
      <c r="M40" s="20"/>
      <c r="N40" s="20"/>
      <c r="O40" s="79"/>
    </row>
    <row r="41" spans="2:32">
      <c r="B41" s="117"/>
      <c r="C41" s="117"/>
      <c r="D41" s="117"/>
      <c r="E41" s="117"/>
      <c r="F41" s="117"/>
      <c r="G41" s="117"/>
      <c r="H41" s="3" t="s">
        <v>0</v>
      </c>
      <c r="I41" s="2"/>
      <c r="J41" s="2"/>
      <c r="K41" s="2"/>
      <c r="L41" s="4"/>
      <c r="M41" s="2"/>
      <c r="N41" s="2"/>
      <c r="O41" s="2"/>
      <c r="P41" s="3" t="s">
        <v>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2:32">
      <c r="B42" s="118" t="str">
        <f>"Free Cash Flow - "&amp;Company_Name</f>
        <v>Free Cash Flow - Ultragenyx Pharmaceutical Inc.</v>
      </c>
      <c r="C42" s="117"/>
      <c r="D42" s="117"/>
      <c r="E42" s="119" t="s">
        <v>2</v>
      </c>
      <c r="F42" s="120"/>
      <c r="G42" s="120"/>
      <c r="H42" s="8">
        <f t="shared" ref="H42:X42" si="11">H3</f>
        <v>44377</v>
      </c>
      <c r="I42" s="8">
        <f t="shared" si="11"/>
        <v>44742</v>
      </c>
      <c r="J42" s="8">
        <f t="shared" si="11"/>
        <v>45107</v>
      </c>
      <c r="K42" s="8">
        <f t="shared" si="11"/>
        <v>45473</v>
      </c>
      <c r="L42" s="9">
        <f t="shared" si="11"/>
        <v>45838</v>
      </c>
      <c r="M42" s="8">
        <f t="shared" si="11"/>
        <v>46203</v>
      </c>
      <c r="N42" s="8">
        <f t="shared" si="11"/>
        <v>46568</v>
      </c>
      <c r="O42" s="8">
        <f t="shared" si="11"/>
        <v>46934</v>
      </c>
      <c r="P42" s="8">
        <f t="shared" si="11"/>
        <v>47299</v>
      </c>
      <c r="Q42" s="8">
        <f t="shared" si="11"/>
        <v>47664</v>
      </c>
      <c r="R42" s="8">
        <f t="shared" si="11"/>
        <v>48029</v>
      </c>
      <c r="S42" s="8">
        <f t="shared" si="11"/>
        <v>48395</v>
      </c>
      <c r="T42" s="8">
        <f t="shared" si="11"/>
        <v>48760</v>
      </c>
      <c r="U42" s="8">
        <f t="shared" si="11"/>
        <v>49125</v>
      </c>
      <c r="V42" s="8">
        <f t="shared" si="11"/>
        <v>49490</v>
      </c>
      <c r="W42" s="8">
        <f t="shared" si="11"/>
        <v>49856</v>
      </c>
      <c r="X42" s="8">
        <f t="shared" si="11"/>
        <v>50221</v>
      </c>
      <c r="Y42" s="8">
        <f>EOMONTH(X42,12)</f>
        <v>50586</v>
      </c>
      <c r="Z42" s="8">
        <f t="shared" ref="Z42:AF42" si="12">EOMONTH(Y42,12)</f>
        <v>50951</v>
      </c>
      <c r="AA42" s="8">
        <f t="shared" si="12"/>
        <v>51317</v>
      </c>
      <c r="AB42" s="8">
        <f t="shared" si="12"/>
        <v>51682</v>
      </c>
      <c r="AC42" s="8">
        <f t="shared" si="12"/>
        <v>52047</v>
      </c>
      <c r="AD42" s="8">
        <f t="shared" si="12"/>
        <v>52412</v>
      </c>
      <c r="AE42" s="8">
        <f t="shared" si="12"/>
        <v>52778</v>
      </c>
      <c r="AF42" s="8">
        <f t="shared" si="12"/>
        <v>53143</v>
      </c>
    </row>
    <row r="43" spans="2:32">
      <c r="B43" s="122" t="s">
        <v>297</v>
      </c>
      <c r="C43" s="123"/>
      <c r="D43" s="123"/>
      <c r="E43" s="206"/>
      <c r="F43" s="207"/>
      <c r="G43" s="207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</row>
    <row r="44" spans="2:32">
      <c r="B44" s="203"/>
      <c r="C44" s="121"/>
      <c r="D44" s="121"/>
      <c r="E44" s="204"/>
      <c r="F44" s="205"/>
      <c r="G44" s="205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spans="2:32">
      <c r="B45" s="203"/>
      <c r="C45" s="125" t="s">
        <v>298</v>
      </c>
      <c r="D45" s="226">
        <v>0.12</v>
      </c>
      <c r="E45" s="204"/>
      <c r="F45" s="205"/>
      <c r="G45" s="205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spans="2:32">
      <c r="B46" s="203"/>
      <c r="C46" s="121"/>
      <c r="D46" s="210"/>
      <c r="E46" s="204"/>
      <c r="F46" s="205"/>
      <c r="G46" s="205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spans="2:32">
      <c r="B47" s="203"/>
      <c r="C47" s="125" t="s">
        <v>347</v>
      </c>
      <c r="D47" s="210"/>
      <c r="E47" s="204"/>
      <c r="F47" s="205"/>
      <c r="G47" s="205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spans="2:32">
      <c r="B48" s="203"/>
      <c r="C48" s="176" t="s">
        <v>30</v>
      </c>
      <c r="D48" s="176"/>
      <c r="E48" s="212" t="s">
        <v>129</v>
      </c>
      <c r="F48" s="176"/>
      <c r="H48" s="38">
        <f>-Drivers!G12</f>
        <v>-16008</v>
      </c>
      <c r="I48" s="38">
        <f>-Drivers!H12</f>
        <v>-28320</v>
      </c>
      <c r="J48" s="38">
        <f>-Drivers!I12</f>
        <v>-45209</v>
      </c>
      <c r="K48" s="38">
        <f>-Drivers!J12</f>
        <v>-76728</v>
      </c>
      <c r="L48" s="38">
        <f>-Drivers!K12</f>
        <v>-109000</v>
      </c>
      <c r="M48" s="38">
        <f>-Drivers!L12</f>
        <v>-89175.451632805445</v>
      </c>
      <c r="N48" s="38">
        <f>-Drivers!M12</f>
        <v>-143697.83718790635</v>
      </c>
      <c r="O48" s="38">
        <f>-Drivers!N12</f>
        <v>-143797.99456993351</v>
      </c>
      <c r="P48" s="38">
        <f>-Drivers!O12</f>
        <v>-182047.26206060252</v>
      </c>
      <c r="Q48" s="38">
        <f>-Drivers!P12</f>
        <v>-139024.68174746283</v>
      </c>
      <c r="R48" s="38">
        <f>-Drivers!Q12</f>
        <v>-259327.30957260451</v>
      </c>
      <c r="S48" s="38">
        <f>-Drivers!R12</f>
        <v>-275903.59319090378</v>
      </c>
      <c r="T48" s="38">
        <f>-Drivers!S12</f>
        <v>-268327.88781343284</v>
      </c>
      <c r="U48" s="38">
        <f>-Drivers!T12</f>
        <v>-236140.35310875339</v>
      </c>
      <c r="V48" s="38">
        <f>-Drivers!U12</f>
        <v>-212616.59486084466</v>
      </c>
      <c r="W48" s="38">
        <f>-Drivers!V12</f>
        <v>-161692.60063094189</v>
      </c>
      <c r="X48" s="38">
        <f>-Drivers!W12</f>
        <v>-106730.90999276709</v>
      </c>
      <c r="Y48" s="38">
        <f>-Drivers!X12</f>
        <v>-97441.801994441295</v>
      </c>
      <c r="Z48" s="38">
        <f>-Drivers!Y12</f>
        <v>-92205.394109815476</v>
      </c>
      <c r="AA48" s="38">
        <f>-Drivers!Z12</f>
        <v>-92666.42108036454</v>
      </c>
      <c r="AB48" s="38">
        <f>-Drivers!AA12</f>
        <v>-93129.753185766342</v>
      </c>
      <c r="AC48" s="38">
        <f>-Drivers!AB12</f>
        <v>-93595.401951695181</v>
      </c>
      <c r="AD48" s="38">
        <f>-Drivers!AC12</f>
        <v>-94063.378961453665</v>
      </c>
      <c r="AE48" s="38">
        <f>-Drivers!AD12</f>
        <v>-94533.695856260907</v>
      </c>
      <c r="AF48" s="38">
        <f>-Drivers!AE12</f>
        <v>-97312.717927216872</v>
      </c>
    </row>
    <row r="49" spans="2:32">
      <c r="B49" s="203"/>
      <c r="C49" s="176" t="s">
        <v>32</v>
      </c>
      <c r="D49" s="176"/>
      <c r="E49" s="212" t="s">
        <v>129</v>
      </c>
      <c r="F49" s="176"/>
      <c r="H49" s="38">
        <f>-Drivers!G14</f>
        <v>-219982</v>
      </c>
      <c r="I49" s="38">
        <f>-Drivers!H14</f>
        <v>-278139</v>
      </c>
      <c r="J49" s="38">
        <f>-Drivers!I14</f>
        <v>-309799</v>
      </c>
      <c r="K49" s="38">
        <f>-Drivers!J14</f>
        <v>-321610</v>
      </c>
      <c r="L49" s="38">
        <f>-Drivers!K13</f>
        <v>-349000</v>
      </c>
      <c r="M49" s="38">
        <f>-Drivers!L13</f>
        <v>-331550</v>
      </c>
      <c r="N49" s="38">
        <f>-Drivers!M13</f>
        <v>-315000</v>
      </c>
      <c r="O49" s="38">
        <f>-Drivers!N13</f>
        <v>-290000</v>
      </c>
      <c r="P49" s="38">
        <f>-Drivers!O13</f>
        <v>-320000</v>
      </c>
      <c r="Q49" s="38">
        <f>-Drivers!P14</f>
        <v>-304000</v>
      </c>
      <c r="R49" s="38">
        <f>-Drivers!Q14</f>
        <v>-288800</v>
      </c>
      <c r="S49" s="38">
        <f>-Drivers!R14</f>
        <v>-274360</v>
      </c>
      <c r="T49" s="38">
        <f>-Drivers!S14</f>
        <v>-260642</v>
      </c>
      <c r="U49" s="38">
        <f>-Drivers!T14</f>
        <v>-247609.9</v>
      </c>
      <c r="V49" s="38">
        <f>-Drivers!U14</f>
        <v>-235229.40499999997</v>
      </c>
      <c r="W49" s="38">
        <f>-Drivers!V14</f>
        <v>-223467.93474999996</v>
      </c>
      <c r="X49" s="38">
        <f>-Drivers!W14</f>
        <v>-212294.53801249995</v>
      </c>
      <c r="Y49" s="38">
        <f>-Drivers!X14</f>
        <v>-201679.81111187494</v>
      </c>
      <c r="Z49" s="38">
        <f>-Drivers!Y14</f>
        <v>-200000</v>
      </c>
      <c r="AA49" s="38">
        <f>-Drivers!Z14</f>
        <v>-200000</v>
      </c>
      <c r="AB49" s="38">
        <f>-Drivers!AA14</f>
        <v>-200000</v>
      </c>
      <c r="AC49" s="38">
        <f>-Drivers!AB14</f>
        <v>-200000</v>
      </c>
      <c r="AD49" s="38">
        <f>-Drivers!AC14</f>
        <v>-200000</v>
      </c>
      <c r="AE49" s="38">
        <f>-Drivers!AD14</f>
        <v>-200000</v>
      </c>
      <c r="AF49" s="38">
        <f>-Drivers!AE14</f>
        <v>-200000</v>
      </c>
    </row>
    <row r="50" spans="2:32">
      <c r="B50" s="203"/>
      <c r="C50" s="177" t="s">
        <v>31</v>
      </c>
      <c r="D50" s="176"/>
      <c r="E50" s="212" t="s">
        <v>129</v>
      </c>
      <c r="F50" s="176"/>
      <c r="H50" s="55">
        <f>-Drivers!G13</f>
        <v>-497153</v>
      </c>
      <c r="I50" s="55">
        <f>-Drivers!H13</f>
        <v>-705789</v>
      </c>
      <c r="J50" s="55">
        <f>-Drivers!I13</f>
        <v>-648449</v>
      </c>
      <c r="K50" s="55">
        <f>-Drivers!J13</f>
        <v>-697865</v>
      </c>
      <c r="L50" s="55">
        <f>-Drivers!K14</f>
        <v>-750000</v>
      </c>
      <c r="M50" s="55">
        <f>-Drivers!L14</f>
        <v>-712500</v>
      </c>
      <c r="N50" s="55">
        <f>-Drivers!M14</f>
        <v>-441750</v>
      </c>
      <c r="O50" s="55">
        <f>-Drivers!N14</f>
        <v>-273885</v>
      </c>
      <c r="P50" s="55">
        <f>-Drivers!O14</f>
        <v>-400000</v>
      </c>
      <c r="Q50" s="55">
        <f>-Drivers!P13</f>
        <v>-304000</v>
      </c>
      <c r="R50" s="55">
        <f>-Drivers!Q13</f>
        <v>-288800</v>
      </c>
      <c r="S50" s="55">
        <f>-Drivers!R13</f>
        <v>-274360</v>
      </c>
      <c r="T50" s="55">
        <f>-Drivers!S13</f>
        <v>-260642</v>
      </c>
      <c r="U50" s="55">
        <f>-Drivers!T13</f>
        <v>-247609.9</v>
      </c>
      <c r="V50" s="55">
        <f>-Drivers!U13</f>
        <v>-235229.40499999997</v>
      </c>
      <c r="W50" s="55">
        <f>-Drivers!V13</f>
        <v>-223467.93474999996</v>
      </c>
      <c r="X50" s="55">
        <f>-Drivers!W13</f>
        <v>-212294.53801249995</v>
      </c>
      <c r="Y50" s="55">
        <f>-Drivers!X13</f>
        <v>-201679.81111187494</v>
      </c>
      <c r="Z50" s="55">
        <f>-Drivers!Y13</f>
        <v>-191595.82055628119</v>
      </c>
      <c r="AA50" s="55">
        <f>-Drivers!Z13</f>
        <v>-182016.02952846713</v>
      </c>
      <c r="AB50" s="55">
        <f>-Drivers!AA13</f>
        <v>-172915.22805204376</v>
      </c>
      <c r="AC50" s="55">
        <f>-Drivers!AB13</f>
        <v>-164269.46664944157</v>
      </c>
      <c r="AD50" s="55">
        <f>-Drivers!AC13</f>
        <v>-156055.99331696949</v>
      </c>
      <c r="AE50" s="55">
        <f>-Drivers!AD13</f>
        <v>-148253.19365112099</v>
      </c>
      <c r="AF50" s="55">
        <f>-Drivers!AE13</f>
        <v>-140840.53396856494</v>
      </c>
    </row>
    <row r="51" spans="2:32">
      <c r="B51" s="203"/>
      <c r="C51" s="52" t="s">
        <v>33</v>
      </c>
      <c r="D51" s="52"/>
      <c r="E51" s="211" t="s">
        <v>129</v>
      </c>
      <c r="F51" s="52"/>
      <c r="H51" s="52">
        <v>-733143</v>
      </c>
      <c r="I51" s="52">
        <v>-1012248</v>
      </c>
      <c r="J51" s="52">
        <v>-1003457</v>
      </c>
      <c r="K51" s="52">
        <v>-1096203</v>
      </c>
      <c r="L51" s="52">
        <f>SUM(L48:L50)</f>
        <v>-1208000</v>
      </c>
      <c r="M51" s="52">
        <f t="shared" ref="M51:R51" si="13">SUM(M48:M50)</f>
        <v>-1133225.4516328054</v>
      </c>
      <c r="N51" s="52">
        <f t="shared" si="13"/>
        <v>-900447.83718790638</v>
      </c>
      <c r="O51" s="52">
        <f t="shared" si="13"/>
        <v>-707682.99456993351</v>
      </c>
      <c r="P51" s="52">
        <f t="shared" si="13"/>
        <v>-902047.26206060254</v>
      </c>
      <c r="Q51" s="52">
        <f t="shared" si="13"/>
        <v>-747024.68174746283</v>
      </c>
      <c r="R51" s="52">
        <f t="shared" si="13"/>
        <v>-836927.30957260448</v>
      </c>
      <c r="S51" s="52">
        <v>-833528.34461511823</v>
      </c>
      <c r="T51" s="52">
        <v>-833528.34461511823</v>
      </c>
      <c r="U51" s="52">
        <v>-833528.34461511823</v>
      </c>
      <c r="V51" s="52">
        <v>-833528.34461511823</v>
      </c>
      <c r="W51" s="52">
        <v>-833528.34461511823</v>
      </c>
      <c r="X51" s="52">
        <v>-833528.34461511823</v>
      </c>
      <c r="Y51" s="52">
        <v>-833528.34461511823</v>
      </c>
      <c r="Z51" s="52">
        <v>-833528.34461511823</v>
      </c>
      <c r="AA51" s="52">
        <v>-833528.34461511823</v>
      </c>
      <c r="AB51" s="52">
        <v>-833528.34461511823</v>
      </c>
      <c r="AC51" s="52">
        <v>-833528.34461511823</v>
      </c>
      <c r="AD51" s="52">
        <v>-833528.34461511823</v>
      </c>
      <c r="AE51" s="52">
        <v>-833528.34461511823</v>
      </c>
      <c r="AF51" s="52">
        <v>-833528.34461511823</v>
      </c>
    </row>
    <row r="52" spans="2:32">
      <c r="B52" s="203"/>
    </row>
    <row r="53" spans="2:32">
      <c r="B53" s="203"/>
      <c r="C53" s="125" t="s">
        <v>300</v>
      </c>
      <c r="D53" s="210"/>
      <c r="E53" s="204"/>
      <c r="F53" s="205"/>
      <c r="G53" s="205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spans="2:32">
      <c r="B54" s="203"/>
      <c r="C54" s="176" t="s">
        <v>30</v>
      </c>
      <c r="D54" s="210"/>
      <c r="E54" s="212" t="s">
        <v>129</v>
      </c>
      <c r="F54" s="205"/>
      <c r="G54" s="205"/>
      <c r="H54" s="38">
        <f>SUM(H93,H116,H138,H161)</f>
        <v>0</v>
      </c>
      <c r="I54" s="38">
        <f t="shared" ref="I54:AF54" si="14">SUM(I93,I116,I138,I161)</f>
        <v>0</v>
      </c>
      <c r="J54" s="38">
        <f t="shared" si="14"/>
        <v>0</v>
      </c>
      <c r="K54" s="38">
        <f t="shared" si="14"/>
        <v>0</v>
      </c>
      <c r="L54" s="38">
        <f t="shared" si="14"/>
        <v>0</v>
      </c>
      <c r="M54" s="38">
        <f t="shared" si="14"/>
        <v>-34760.296799999996</v>
      </c>
      <c r="N54" s="38">
        <f t="shared" si="14"/>
        <v>-66969.108317750652</v>
      </c>
      <c r="O54" s="38">
        <f t="shared" si="14"/>
        <v>-111408.63061582467</v>
      </c>
      <c r="P54" s="38">
        <f t="shared" si="14"/>
        <v>-150000.0421637751</v>
      </c>
      <c r="Q54" s="38">
        <f t="shared" si="14"/>
        <v>-186382.88306348777</v>
      </c>
      <c r="R54" s="38">
        <f t="shared" si="14"/>
        <v>-222813.69369356724</v>
      </c>
      <c r="S54" s="38">
        <f t="shared" si="14"/>
        <v>-247071.7717762508</v>
      </c>
      <c r="T54" s="38">
        <f t="shared" si="14"/>
        <v>-265769.64065987582</v>
      </c>
      <c r="U54" s="38">
        <f t="shared" si="14"/>
        <v>-267031.91703888134</v>
      </c>
      <c r="V54" s="38">
        <f t="shared" si="14"/>
        <v>-262803.22108439938</v>
      </c>
      <c r="W54" s="38">
        <f t="shared" si="14"/>
        <v>-220997.72701577254</v>
      </c>
      <c r="X54" s="38">
        <f t="shared" si="14"/>
        <v>-178254.07093336293</v>
      </c>
      <c r="Y54" s="38">
        <f t="shared" si="14"/>
        <v>-136696.93713135525</v>
      </c>
      <c r="Z54" s="38">
        <f t="shared" si="14"/>
        <v>-138249.00193387407</v>
      </c>
      <c r="AA54" s="38">
        <f t="shared" si="14"/>
        <v>-138940.24694354343</v>
      </c>
      <c r="AB54" s="38">
        <f t="shared" si="14"/>
        <v>-139634.94817826111</v>
      </c>
      <c r="AC54" s="38">
        <f t="shared" si="14"/>
        <v>-140333.12291915243</v>
      </c>
      <c r="AD54" s="38">
        <f t="shared" si="14"/>
        <v>-141034.78853374819</v>
      </c>
      <c r="AE54" s="38">
        <f t="shared" si="14"/>
        <v>-141739.9624764169</v>
      </c>
      <c r="AF54" s="38">
        <f t="shared" si="14"/>
        <v>-145906.71466451877</v>
      </c>
    </row>
    <row r="55" spans="2:32">
      <c r="B55" s="203"/>
      <c r="C55" s="176" t="s">
        <v>32</v>
      </c>
      <c r="D55" s="210"/>
      <c r="E55" s="212" t="s">
        <v>129</v>
      </c>
      <c r="F55" s="205"/>
      <c r="G55" s="205"/>
      <c r="H55" s="38">
        <f>SUM(H94,H117,H139,H162)</f>
        <v>0</v>
      </c>
      <c r="I55" s="38">
        <f t="shared" ref="I55:AF55" si="15">SUM(I94,I117,I139,I162)</f>
        <v>0</v>
      </c>
      <c r="J55" s="38">
        <f t="shared" si="15"/>
        <v>0</v>
      </c>
      <c r="K55" s="38">
        <f t="shared" si="15"/>
        <v>-20000</v>
      </c>
      <c r="L55" s="38">
        <f t="shared" si="15"/>
        <v>-80000</v>
      </c>
      <c r="M55" s="38">
        <f t="shared" si="15"/>
        <v>-160000</v>
      </c>
      <c r="N55" s="38">
        <f t="shared" si="15"/>
        <v>-187142.53746249998</v>
      </c>
      <c r="O55" s="38">
        <f t="shared" si="15"/>
        <v>-126018.14497045186</v>
      </c>
      <c r="P55" s="38">
        <f t="shared" si="15"/>
        <v>-97640.007811619784</v>
      </c>
      <c r="Q55" s="38">
        <f t="shared" si="15"/>
        <v>-67694.354452247717</v>
      </c>
      <c r="R55" s="38">
        <f t="shared" si="15"/>
        <v>-55000</v>
      </c>
      <c r="S55" s="38">
        <f t="shared" si="15"/>
        <v>-45000</v>
      </c>
      <c r="T55" s="38">
        <f t="shared" si="15"/>
        <v>-40000</v>
      </c>
      <c r="U55" s="38">
        <f t="shared" si="15"/>
        <v>-40000</v>
      </c>
      <c r="V55" s="38">
        <f t="shared" si="15"/>
        <v>-40000</v>
      </c>
      <c r="W55" s="38">
        <f t="shared" si="15"/>
        <v>-30000</v>
      </c>
      <c r="X55" s="38">
        <f t="shared" si="15"/>
        <v>-20000</v>
      </c>
      <c r="Y55" s="38">
        <f t="shared" si="15"/>
        <v>-10000</v>
      </c>
      <c r="Z55" s="38">
        <f t="shared" si="15"/>
        <v>-10000</v>
      </c>
      <c r="AA55" s="38">
        <f t="shared" si="15"/>
        <v>-10000</v>
      </c>
      <c r="AB55" s="38">
        <f t="shared" si="15"/>
        <v>-10000</v>
      </c>
      <c r="AC55" s="38">
        <f t="shared" si="15"/>
        <v>-10000</v>
      </c>
      <c r="AD55" s="38">
        <f t="shared" si="15"/>
        <v>-10000</v>
      </c>
      <c r="AE55" s="38">
        <f t="shared" si="15"/>
        <v>-10000</v>
      </c>
      <c r="AF55" s="38">
        <f t="shared" si="15"/>
        <v>-10000</v>
      </c>
    </row>
    <row r="56" spans="2:32">
      <c r="B56" s="203"/>
      <c r="C56" s="177" t="s">
        <v>31</v>
      </c>
      <c r="D56" s="210"/>
      <c r="E56" s="212" t="s">
        <v>129</v>
      </c>
      <c r="F56" s="205"/>
      <c r="G56" s="205"/>
      <c r="H56" s="38">
        <f>SUM(H95,H118,H140,H163)</f>
        <v>0</v>
      </c>
      <c r="I56" s="38">
        <f t="shared" ref="I56:AF56" si="16">SUM(I95,I118,I140,I163)</f>
        <v>0</v>
      </c>
      <c r="J56" s="38">
        <f t="shared" si="16"/>
        <v>-159075</v>
      </c>
      <c r="K56" s="38">
        <f t="shared" si="16"/>
        <v>-208251</v>
      </c>
      <c r="L56" s="38">
        <f t="shared" si="16"/>
        <v>-271159.07</v>
      </c>
      <c r="M56" s="38">
        <f t="shared" si="16"/>
        <v>-130000</v>
      </c>
      <c r="N56" s="38">
        <f t="shared" si="16"/>
        <v>-160000</v>
      </c>
      <c r="O56" s="38">
        <f t="shared" si="16"/>
        <v>-50000</v>
      </c>
      <c r="P56" s="38">
        <f t="shared" si="16"/>
        <v>-40000</v>
      </c>
      <c r="Q56" s="38">
        <f t="shared" si="16"/>
        <v>-40000</v>
      </c>
      <c r="R56" s="38">
        <f t="shared" si="16"/>
        <v>-40000</v>
      </c>
      <c r="S56" s="38">
        <f t="shared" si="16"/>
        <v>-40000</v>
      </c>
      <c r="T56" s="38">
        <f t="shared" si="16"/>
        <v>-40000</v>
      </c>
      <c r="U56" s="38">
        <f t="shared" si="16"/>
        <v>-40000</v>
      </c>
      <c r="V56" s="38">
        <f t="shared" si="16"/>
        <v>-40000</v>
      </c>
      <c r="W56" s="38">
        <f t="shared" si="16"/>
        <v>-30000</v>
      </c>
      <c r="X56" s="38">
        <f t="shared" si="16"/>
        <v>-20000</v>
      </c>
      <c r="Y56" s="38">
        <f t="shared" si="16"/>
        <v>-10000</v>
      </c>
      <c r="Z56" s="38">
        <f t="shared" si="16"/>
        <v>-10000</v>
      </c>
      <c r="AA56" s="38">
        <f t="shared" si="16"/>
        <v>-10000</v>
      </c>
      <c r="AB56" s="38">
        <f t="shared" si="16"/>
        <v>-10000</v>
      </c>
      <c r="AC56" s="38">
        <f t="shared" si="16"/>
        <v>-10000</v>
      </c>
      <c r="AD56" s="38">
        <f t="shared" si="16"/>
        <v>-10000</v>
      </c>
      <c r="AE56" s="38">
        <f t="shared" si="16"/>
        <v>-10000</v>
      </c>
      <c r="AF56" s="38">
        <f t="shared" si="16"/>
        <v>-10000</v>
      </c>
    </row>
    <row r="57" spans="2:32">
      <c r="B57" s="203"/>
      <c r="C57" s="125" t="s">
        <v>33</v>
      </c>
      <c r="D57" s="210"/>
      <c r="E57" s="211" t="s">
        <v>129</v>
      </c>
      <c r="F57" s="205"/>
      <c r="G57" s="205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spans="2:32">
      <c r="B58" s="203"/>
      <c r="D58" s="121"/>
      <c r="E58" s="204"/>
      <c r="F58" s="205"/>
      <c r="G58" s="205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spans="2:32">
      <c r="B59" s="203"/>
      <c r="C59" s="10" t="s">
        <v>302</v>
      </c>
      <c r="D59" s="121"/>
      <c r="E59" s="212" t="s">
        <v>129</v>
      </c>
      <c r="F59" s="205"/>
      <c r="G59" s="205"/>
      <c r="H59" s="227">
        <f>SUM(Model!G94:G96)-SUM(Model!G110:G112)</f>
        <v>-53894</v>
      </c>
      <c r="I59" s="227">
        <f>SUM(Model!H94:H96)-SUM(Model!H110:H112)</f>
        <v>-113294</v>
      </c>
      <c r="J59" s="227">
        <f>SUM(Model!I94:I96)-SUM(Model!I110:I112)</f>
        <v>-83625</v>
      </c>
      <c r="K59" s="227">
        <f>SUM(Model!J94:J96)-SUM(Model!J110:J112)</f>
        <v>-72631</v>
      </c>
      <c r="L59" s="227">
        <f>SUM(Model!K94:K96)-SUM(Model!K110:K112)</f>
        <v>-49437.128189841693</v>
      </c>
      <c r="M59" s="227">
        <f>SUM(Model!L94:L96)-SUM(Model!L110:L112)</f>
        <v>45196.690324062307</v>
      </c>
      <c r="N59" s="227">
        <f>SUM(Model!M94:M96)-SUM(Model!M110:M112)</f>
        <v>217246.4635562324</v>
      </c>
      <c r="O59" s="227">
        <f>SUM(Model!N94:N96)-SUM(Model!N110:N112)</f>
        <v>330699.48493957281</v>
      </c>
      <c r="P59" s="227">
        <f>SUM(Model!O94:O96)-SUM(Model!O110:O112)</f>
        <v>383806.73189743917</v>
      </c>
      <c r="Q59" s="227">
        <f>SUM(Model!P94:P96)-SUM(Model!P110:P112)</f>
        <v>508685.83814725396</v>
      </c>
      <c r="R59" s="227">
        <f>Drivers!Q9*rNPV!R60</f>
        <v>506953.50815454469</v>
      </c>
      <c r="S59" s="227">
        <f>Drivers!R9*rNPV!S60</f>
        <v>416734.31748117192</v>
      </c>
      <c r="T59" s="227">
        <f>Drivers!S9*rNPV!T60</f>
        <v>286034.87136908277</v>
      </c>
      <c r="U59" s="227">
        <f>Drivers!T9*rNPV!U60</f>
        <v>146772.01005340074</v>
      </c>
      <c r="V59" s="227">
        <f>Drivers!U9*rNPV!V60</f>
        <v>118120.33047824705</v>
      </c>
      <c r="W59" s="227">
        <f>Drivers!V9*rNPV!W60</f>
        <v>89829.222572745508</v>
      </c>
      <c r="X59" s="227">
        <f>Drivers!W9*rNPV!X60</f>
        <v>59294.949995981719</v>
      </c>
      <c r="Y59" s="227">
        <f>Drivers!X9*rNPV!Y60</f>
        <v>54134.334441356281</v>
      </c>
      <c r="Z59" s="227">
        <f>Drivers!Y9*rNPV!Z60</f>
        <v>51225.218949897491</v>
      </c>
      <c r="AA59" s="227">
        <f>Drivers!Z9*rNPV!AA60</f>
        <v>51481.345044646972</v>
      </c>
      <c r="AB59" s="227">
        <f>Drivers!AA9*rNPV!AB60</f>
        <v>51738.751769870199</v>
      </c>
      <c r="AC59" s="227">
        <f>Drivers!AB9*rNPV!AC60</f>
        <v>51997.445528719552</v>
      </c>
      <c r="AD59" s="227">
        <f>Drivers!AC9*rNPV!AD60</f>
        <v>52257.432756363152</v>
      </c>
      <c r="AE59" s="227">
        <f>Drivers!AD9*rNPV!AE60</f>
        <v>52518.719920144955</v>
      </c>
      <c r="AF59" s="227">
        <f>Drivers!AE9*rNPV!AF60</f>
        <v>54062.621070676047</v>
      </c>
    </row>
    <row r="60" spans="2:32">
      <c r="B60" s="203"/>
      <c r="C60" s="50" t="s">
        <v>303</v>
      </c>
      <c r="D60" s="121"/>
      <c r="E60" s="212" t="s">
        <v>15</v>
      </c>
      <c r="F60" s="205"/>
      <c r="G60" s="205"/>
      <c r="H60" s="242">
        <f t="shared" ref="H60:P60" si="17">H59/H69</f>
        <v>-0.20373846897122164</v>
      </c>
      <c r="I60" s="243">
        <f t="shared" si="17"/>
        <v>-0.3207123528919692</v>
      </c>
      <c r="J60" s="243">
        <f t="shared" si="17"/>
        <v>-0.1948351409811144</v>
      </c>
      <c r="K60" s="243">
        <f t="shared" si="17"/>
        <v>-0.13051168898200738</v>
      </c>
      <c r="L60" s="243">
        <f t="shared" si="17"/>
        <v>-7.7756152026262612E-2</v>
      </c>
      <c r="M60" s="243">
        <f t="shared" si="17"/>
        <v>5.1465582409240304E-2</v>
      </c>
      <c r="N60" s="243">
        <f t="shared" si="17"/>
        <v>0.21214070494739518</v>
      </c>
      <c r="O60" s="243">
        <f t="shared" si="17"/>
        <v>0.29001231271056893</v>
      </c>
      <c r="P60" s="243">
        <f t="shared" si="17"/>
        <v>0.31013783513593096</v>
      </c>
      <c r="Q60" s="243">
        <f>AVERAGE(M60:P60)</f>
        <v>0.21593910880078385</v>
      </c>
      <c r="R60" s="243">
        <f t="shared" ref="R60:U60" si="18">Q60-4%</f>
        <v>0.17593910880078384</v>
      </c>
      <c r="S60" s="243">
        <f t="shared" si="18"/>
        <v>0.13593910880078383</v>
      </c>
      <c r="T60" s="243">
        <f t="shared" si="18"/>
        <v>9.5939108800783823E-2</v>
      </c>
      <c r="U60" s="243">
        <f t="shared" si="18"/>
        <v>5.5939108800783822E-2</v>
      </c>
      <c r="V60" s="243">
        <v>0.05</v>
      </c>
      <c r="W60" s="243">
        <v>0.05</v>
      </c>
      <c r="X60" s="243">
        <v>0.05</v>
      </c>
      <c r="Y60" s="243">
        <v>0.05</v>
      </c>
      <c r="Z60" s="243">
        <v>0.05</v>
      </c>
      <c r="AA60" s="243">
        <v>0.05</v>
      </c>
      <c r="AB60" s="243">
        <v>0.05</v>
      </c>
      <c r="AC60" s="243">
        <v>0.05</v>
      </c>
      <c r="AD60" s="243">
        <v>0.05</v>
      </c>
      <c r="AE60" s="243">
        <v>0.05</v>
      </c>
      <c r="AF60" s="243">
        <v>0.05</v>
      </c>
    </row>
    <row r="61" spans="2:32">
      <c r="B61" s="203"/>
      <c r="C61" s="50"/>
      <c r="D61" s="121"/>
      <c r="E61" s="212"/>
      <c r="F61" s="205"/>
      <c r="G61" s="205"/>
      <c r="H61" s="228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</row>
    <row r="62" spans="2:32">
      <c r="B62" s="203"/>
      <c r="C62" s="44" t="s">
        <v>189</v>
      </c>
      <c r="D62" s="121"/>
      <c r="E62" s="212" t="s">
        <v>129</v>
      </c>
      <c r="F62" s="205"/>
      <c r="G62" s="205"/>
      <c r="H62" s="244">
        <f>-Drivers!G370</f>
        <v>-73093</v>
      </c>
      <c r="I62" s="244">
        <f>-Drivers!H370</f>
        <v>-116123</v>
      </c>
      <c r="J62" s="244">
        <f>-Drivers!I370</f>
        <v>-44267</v>
      </c>
      <c r="K62" s="244">
        <f>-Drivers!J370</f>
        <v>-7491</v>
      </c>
      <c r="L62" s="244">
        <f>-Drivers!K370</f>
        <v>-6980</v>
      </c>
      <c r="M62" s="244">
        <f>-Drivers!L370</f>
        <v>-6631</v>
      </c>
      <c r="N62" s="244">
        <f>-Drivers!M370</f>
        <v>-3150</v>
      </c>
      <c r="O62" s="244">
        <f>-Drivers!N370</f>
        <v>-2900</v>
      </c>
      <c r="P62" s="244">
        <f>-Drivers!O370</f>
        <v>-3200</v>
      </c>
      <c r="Q62" s="244">
        <f>-Drivers!P370</f>
        <v>-3040</v>
      </c>
      <c r="R62" s="244">
        <f>AVERAGE(H62:Q62)</f>
        <v>-26687.5</v>
      </c>
      <c r="S62" s="244">
        <f t="shared" ref="S62:AF62" si="19">AVERAGE(I62:R62)</f>
        <v>-22046.95</v>
      </c>
      <c r="T62" s="244">
        <f t="shared" si="19"/>
        <v>-12639.344999999999</v>
      </c>
      <c r="U62" s="244">
        <f t="shared" si="19"/>
        <v>-9476.5794999999998</v>
      </c>
      <c r="V62" s="244">
        <f t="shared" si="19"/>
        <v>-9675.1374500000002</v>
      </c>
      <c r="W62" s="244">
        <f t="shared" si="19"/>
        <v>-9944.6511950000004</v>
      </c>
      <c r="X62" s="244">
        <f t="shared" si="19"/>
        <v>-10276.016314500001</v>
      </c>
      <c r="Y62" s="244">
        <f t="shared" si="19"/>
        <v>-10988.61794595</v>
      </c>
      <c r="Z62" s="244">
        <f t="shared" si="19"/>
        <v>-11797.479740544999</v>
      </c>
      <c r="AA62" s="244">
        <f t="shared" si="19"/>
        <v>-12657.227714599499</v>
      </c>
      <c r="AB62" s="244">
        <f t="shared" si="19"/>
        <v>-13618.95048605945</v>
      </c>
      <c r="AC62" s="244">
        <f t="shared" si="19"/>
        <v>-12312.095534665394</v>
      </c>
      <c r="AD62" s="244">
        <f t="shared" si="19"/>
        <v>-11338.610088131933</v>
      </c>
      <c r="AE62" s="244">
        <f t="shared" si="19"/>
        <v>-11208.536596945127</v>
      </c>
      <c r="AF62" s="244">
        <f t="shared" si="19"/>
        <v>-11381.732306639638</v>
      </c>
    </row>
    <row r="63" spans="2:32">
      <c r="B63" s="203"/>
      <c r="C63" s="50"/>
      <c r="D63" s="121"/>
      <c r="E63" s="212"/>
      <c r="F63" s="205"/>
      <c r="G63" s="205"/>
      <c r="H63" s="228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</row>
    <row r="64" spans="2:32">
      <c r="B64" s="203"/>
      <c r="C64" s="44" t="s">
        <v>190</v>
      </c>
      <c r="D64" s="121"/>
      <c r="E64" s="212" t="s">
        <v>129</v>
      </c>
      <c r="F64" s="205"/>
      <c r="G64" s="205"/>
      <c r="H64" s="245">
        <f>-Drivers!G385</f>
        <v>-13239</v>
      </c>
      <c r="I64" s="245">
        <f>-Drivers!H385</f>
        <v>-18220</v>
      </c>
      <c r="J64" s="245">
        <f>-Drivers!I385</f>
        <v>-26006</v>
      </c>
      <c r="K64" s="245">
        <f>-Drivers!J385</f>
        <v>-35543</v>
      </c>
      <c r="L64" s="245">
        <f>-Drivers!K385</f>
        <v>-26778.119308354253</v>
      </c>
      <c r="M64" s="245">
        <f>-Drivers!L385</f>
        <v>-23395.807187943235</v>
      </c>
      <c r="N64" s="245">
        <f>-Drivers!M385</f>
        <v>-20120.142544616043</v>
      </c>
      <c r="O64" s="245">
        <f>-Drivers!N385</f>
        <v>-17128.565988465569</v>
      </c>
      <c r="P64" s="245">
        <f>-Drivers!O385</f>
        <v>-14677.002408388475</v>
      </c>
      <c r="Q64" s="245">
        <f>-Drivers!P385</f>
        <v>-12614.671494527185</v>
      </c>
      <c r="R64" s="246">
        <f>AVERAGE(H64:Q64)</f>
        <v>-20772.230893229476</v>
      </c>
      <c r="S64" s="246">
        <f t="shared" ref="S64:AF64" si="20">AVERAGE(I64:R64)</f>
        <v>-21525.553982552425</v>
      </c>
      <c r="T64" s="246">
        <f t="shared" si="20"/>
        <v>-21856.109380807669</v>
      </c>
      <c r="U64" s="246">
        <f t="shared" si="20"/>
        <v>-21441.120318888436</v>
      </c>
      <c r="V64" s="246">
        <f t="shared" si="20"/>
        <v>-20030.932350777275</v>
      </c>
      <c r="W64" s="246">
        <f t="shared" si="20"/>
        <v>-19356.213655019579</v>
      </c>
      <c r="X64" s="246">
        <f t="shared" si="20"/>
        <v>-18952.254301727211</v>
      </c>
      <c r="Y64" s="246">
        <f t="shared" si="20"/>
        <v>-18835.465477438331</v>
      </c>
      <c r="Z64" s="246">
        <f t="shared" si="20"/>
        <v>-19006.155426335605</v>
      </c>
      <c r="AA64" s="246">
        <f t="shared" si="20"/>
        <v>-19439.070728130318</v>
      </c>
      <c r="AB64" s="246">
        <f t="shared" si="20"/>
        <v>-20121.510651490629</v>
      </c>
      <c r="AC64" s="246">
        <f t="shared" si="20"/>
        <v>-20056.438627316747</v>
      </c>
      <c r="AD64" s="246">
        <f t="shared" si="20"/>
        <v>-19909.527091793181</v>
      </c>
      <c r="AE64" s="246">
        <f t="shared" si="20"/>
        <v>-19714.868862891733</v>
      </c>
      <c r="AF64" s="246">
        <f t="shared" si="20"/>
        <v>-19542.243717292062</v>
      </c>
    </row>
    <row r="65" spans="2:39">
      <c r="B65" s="203"/>
      <c r="C65" s="50" t="s">
        <v>303</v>
      </c>
      <c r="D65" s="121"/>
      <c r="E65" s="212" t="s">
        <v>15</v>
      </c>
      <c r="F65" s="205"/>
      <c r="G65" s="205"/>
      <c r="H65" s="228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  <c r="AD65" s="240"/>
      <c r="AE65" s="240"/>
      <c r="AF65" s="240"/>
    </row>
    <row r="66" spans="2:39">
      <c r="B66" s="203"/>
      <c r="C66" s="130"/>
      <c r="D66" s="121"/>
      <c r="E66" s="204"/>
      <c r="F66" s="205"/>
      <c r="G66" s="205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spans="2:39">
      <c r="B67" s="122" t="s">
        <v>220</v>
      </c>
      <c r="C67" s="122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26"/>
      <c r="R67" s="124"/>
      <c r="S67" s="124"/>
      <c r="T67" s="124"/>
      <c r="U67" s="124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</row>
    <row r="68" spans="2:39">
      <c r="B68" s="121"/>
      <c r="C68" s="125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R68" s="59"/>
      <c r="S68" s="59"/>
      <c r="T68" s="59"/>
      <c r="U68" s="59"/>
    </row>
    <row r="69" spans="2:39">
      <c r="B69" s="121"/>
      <c r="C69" s="126" t="s">
        <v>179</v>
      </c>
      <c r="D69" s="121"/>
      <c r="E69" s="127" t="s">
        <v>180</v>
      </c>
      <c r="F69" s="121"/>
      <c r="G69" s="121"/>
      <c r="H69" s="128">
        <f>SUM(Drivers!G24,Drivers!G77,Drivers!G108,Drivers!G154,Drivers!G157)</f>
        <v>264525.40000000002</v>
      </c>
      <c r="I69" s="128">
        <f>SUM(Drivers!H24,Drivers!H77,Drivers!H108,Drivers!H154,Drivers!H157)</f>
        <v>353257.3628</v>
      </c>
      <c r="J69" s="128">
        <f>SUM(Drivers!I24,Drivers!I77,Drivers!I108,Drivers!I154,Drivers!I157)</f>
        <v>429209.02039999998</v>
      </c>
      <c r="K69" s="128">
        <f>SUM(Drivers!J24,Drivers!J77,Drivers!J108,Drivers!J154,Drivers!J157)</f>
        <v>556509.54</v>
      </c>
      <c r="L69" s="128">
        <f>SUM(Drivers!K24,Drivers!K77,Drivers!K108,Drivers!K154,Drivers!K157)</f>
        <v>635797</v>
      </c>
      <c r="M69" s="128">
        <f>SUM(Drivers!L24,Drivers!L77,Drivers!L108,Drivers!L154,Drivers!L157)</f>
        <v>878192.53583240404</v>
      </c>
      <c r="N69" s="128">
        <f>SUM(Drivers!M24,Drivers!M77,Drivers!M108,Drivers!M154,Drivers!M157)</f>
        <v>1024067.7931663482</v>
      </c>
      <c r="O69" s="128">
        <f>SUM(Drivers!N24,Drivers!N77,Drivers!N108,Drivers!N154,Drivers!N157)</f>
        <v>1140294.6373163457</v>
      </c>
      <c r="P69" s="128">
        <f>SUM(Drivers!O24,Drivers!O77,Drivers!O108,Drivers!O154,Drivers!O157)</f>
        <v>1237535.9869563149</v>
      </c>
      <c r="Q69" s="128">
        <f>SUM(Drivers!P24,Drivers!P77,Drivers!P108,Drivers!P154,Drivers!P157)</f>
        <v>1330332.1982955951</v>
      </c>
      <c r="R69" s="128">
        <f>SUM(Drivers!Q24,Drivers!Q77,Drivers!Q108,Drivers!Q154,Drivers!Q157)</f>
        <v>1420219.8751306909</v>
      </c>
      <c r="S69" s="128">
        <f>SUM(Drivers!R24,Drivers!R77,Drivers!R108,Drivers!R154,Drivers!R157)</f>
        <v>1386671.4895035194</v>
      </c>
      <c r="T69" s="128">
        <f>SUM(Drivers!S24,Drivers!S77,Drivers!S108,Drivers!S154,Drivers!S157)</f>
        <v>1211915.2225566758</v>
      </c>
      <c r="U69" s="128">
        <f>SUM(Drivers!T24,Drivers!T77,Drivers!T108,Drivers!T154,Drivers!T157)</f>
        <v>893827.27044820646</v>
      </c>
      <c r="V69" s="128">
        <f>SUM(Drivers!U24,Drivers!U77,Drivers!U108,Drivers!U154,Drivers!U157)</f>
        <v>752443.56688097538</v>
      </c>
      <c r="W69" s="128">
        <f>SUM(Drivers!V24,Drivers!V77,Drivers!V108,Drivers!V154,Drivers!V157)</f>
        <v>600559.00285682909</v>
      </c>
      <c r="X69" s="128"/>
      <c r="Y69" s="128"/>
      <c r="Z69" s="128"/>
      <c r="AA69" s="128"/>
      <c r="AB69" s="128"/>
      <c r="AC69" s="128"/>
      <c r="AD69" s="128"/>
      <c r="AE69" s="128"/>
      <c r="AF69" s="128"/>
    </row>
    <row r="70" spans="2:39">
      <c r="B70" s="121"/>
      <c r="C70" s="129"/>
      <c r="D70" s="121"/>
      <c r="E70" s="121"/>
      <c r="F70" s="121"/>
      <c r="G70" s="121"/>
      <c r="H70" s="128"/>
      <c r="I70" s="128"/>
      <c r="J70" s="128"/>
      <c r="K70" s="128"/>
      <c r="P70" s="128"/>
      <c r="Q70" s="128"/>
      <c r="R70" s="128"/>
      <c r="S70" s="128"/>
      <c r="T70" s="128"/>
      <c r="U70" s="128"/>
      <c r="V70" s="128"/>
      <c r="W70" s="128"/>
      <c r="X70" s="128"/>
    </row>
    <row r="71" spans="2:39">
      <c r="B71" s="121"/>
      <c r="C71" s="130" t="s">
        <v>181</v>
      </c>
      <c r="D71" s="121"/>
      <c r="E71" s="131" t="s">
        <v>180</v>
      </c>
      <c r="F71" s="121"/>
      <c r="G71" s="121"/>
      <c r="H71" s="132">
        <f>-H69*0.09</f>
        <v>-23807.286</v>
      </c>
      <c r="I71" s="132">
        <f t="shared" ref="I71:W71" si="21">-I69*0.09</f>
        <v>-31793.162651999999</v>
      </c>
      <c r="J71" s="132">
        <f t="shared" si="21"/>
        <v>-38628.811835999993</v>
      </c>
      <c r="K71" s="132">
        <f t="shared" si="21"/>
        <v>-50085.8586</v>
      </c>
      <c r="L71" s="132">
        <f t="shared" si="21"/>
        <v>-57221.729999999996</v>
      </c>
      <c r="M71" s="132">
        <f t="shared" si="21"/>
        <v>-79037.32822491636</v>
      </c>
      <c r="N71" s="132">
        <f t="shared" si="21"/>
        <v>-92166.101384971334</v>
      </c>
      <c r="O71" s="132">
        <f t="shared" si="21"/>
        <v>-102626.51735847112</v>
      </c>
      <c r="P71" s="132">
        <f t="shared" si="21"/>
        <v>-111378.23882606834</v>
      </c>
      <c r="Q71" s="132">
        <f t="shared" si="21"/>
        <v>-119729.89784660356</v>
      </c>
      <c r="R71" s="132">
        <f t="shared" si="21"/>
        <v>-127819.78876176217</v>
      </c>
      <c r="S71" s="132">
        <f t="shared" si="21"/>
        <v>-124800.43405531674</v>
      </c>
      <c r="T71" s="132">
        <f t="shared" si="21"/>
        <v>-109072.37003010082</v>
      </c>
      <c r="U71" s="132">
        <f t="shared" si="21"/>
        <v>-80444.454340338576</v>
      </c>
      <c r="V71" s="132">
        <f t="shared" si="21"/>
        <v>-67719.92101928778</v>
      </c>
      <c r="W71" s="132">
        <f t="shared" si="21"/>
        <v>-54050.310257114616</v>
      </c>
      <c r="X71" s="132"/>
      <c r="Y71" s="132"/>
      <c r="Z71" s="132"/>
      <c r="AA71" s="132"/>
      <c r="AB71" s="132"/>
      <c r="AC71" s="132"/>
      <c r="AD71" s="132"/>
      <c r="AE71" s="132"/>
      <c r="AF71" s="132"/>
    </row>
    <row r="72" spans="2:39">
      <c r="B72" s="121"/>
      <c r="C72" s="130" t="s">
        <v>182</v>
      </c>
      <c r="D72" s="121"/>
      <c r="E72" s="131" t="s">
        <v>180</v>
      </c>
      <c r="F72" s="121"/>
      <c r="G72" s="121"/>
      <c r="H72" s="132">
        <f>H49-H55</f>
        <v>-219982</v>
      </c>
      <c r="I72" s="132">
        <f t="shared" ref="I72:W72" si="22">I49-I55</f>
        <v>-278139</v>
      </c>
      <c r="J72" s="132">
        <f t="shared" si="22"/>
        <v>-309799</v>
      </c>
      <c r="K72" s="132">
        <f t="shared" si="22"/>
        <v>-301610</v>
      </c>
      <c r="L72" s="132">
        <f t="shared" si="22"/>
        <v>-269000</v>
      </c>
      <c r="M72" s="132">
        <f t="shared" si="22"/>
        <v>-171550</v>
      </c>
      <c r="N72" s="132">
        <f t="shared" si="22"/>
        <v>-127857.46253750002</v>
      </c>
      <c r="O72" s="132">
        <f t="shared" si="22"/>
        <v>-163981.85502954814</v>
      </c>
      <c r="P72" s="132">
        <f t="shared" si="22"/>
        <v>-222359.99218838022</v>
      </c>
      <c r="Q72" s="132">
        <f t="shared" si="22"/>
        <v>-236305.64554775227</v>
      </c>
      <c r="R72" s="132">
        <f t="shared" si="22"/>
        <v>-233800</v>
      </c>
      <c r="S72" s="132">
        <f t="shared" si="22"/>
        <v>-229360</v>
      </c>
      <c r="T72" s="132">
        <f t="shared" si="22"/>
        <v>-220642</v>
      </c>
      <c r="U72" s="132">
        <f t="shared" si="22"/>
        <v>-207609.9</v>
      </c>
      <c r="V72" s="132">
        <f t="shared" si="22"/>
        <v>-195229.40499999997</v>
      </c>
      <c r="W72" s="132">
        <f t="shared" si="22"/>
        <v>-193467.93474999996</v>
      </c>
      <c r="X72" s="132"/>
      <c r="AA72" s="38"/>
      <c r="AB72" s="38"/>
      <c r="AD72" s="38"/>
      <c r="AE72" s="178"/>
      <c r="AI72" s="38"/>
      <c r="AJ72" s="38"/>
      <c r="AL72" s="38"/>
      <c r="AM72" s="178"/>
    </row>
    <row r="73" spans="2:39">
      <c r="B73" s="121"/>
      <c r="C73" s="133" t="s">
        <v>183</v>
      </c>
      <c r="D73" s="121"/>
      <c r="E73" s="131" t="s">
        <v>180</v>
      </c>
      <c r="F73" s="121"/>
      <c r="G73" s="121"/>
      <c r="H73" s="134">
        <f>H50-H56</f>
        <v>-497153</v>
      </c>
      <c r="I73" s="134">
        <f t="shared" ref="I73:W73" si="23">I50-I56</f>
        <v>-705789</v>
      </c>
      <c r="J73" s="134">
        <f t="shared" si="23"/>
        <v>-489374</v>
      </c>
      <c r="K73" s="134">
        <f t="shared" si="23"/>
        <v>-489614</v>
      </c>
      <c r="L73" s="134">
        <f t="shared" si="23"/>
        <v>-478840.93</v>
      </c>
      <c r="M73" s="134">
        <f t="shared" si="23"/>
        <v>-582500</v>
      </c>
      <c r="N73" s="134">
        <f t="shared" si="23"/>
        <v>-281750</v>
      </c>
      <c r="O73" s="134">
        <f t="shared" si="23"/>
        <v>-223885</v>
      </c>
      <c r="P73" s="134">
        <f t="shared" si="23"/>
        <v>-360000</v>
      </c>
      <c r="Q73" s="134">
        <f t="shared" si="23"/>
        <v>-264000</v>
      </c>
      <c r="R73" s="134">
        <f t="shared" si="23"/>
        <v>-248800</v>
      </c>
      <c r="S73" s="134">
        <f t="shared" si="23"/>
        <v>-234360</v>
      </c>
      <c r="T73" s="134">
        <f t="shared" si="23"/>
        <v>-220642</v>
      </c>
      <c r="U73" s="134">
        <f t="shared" si="23"/>
        <v>-207609.9</v>
      </c>
      <c r="V73" s="134">
        <f t="shared" si="23"/>
        <v>-195229.40499999997</v>
      </c>
      <c r="W73" s="134">
        <f t="shared" si="23"/>
        <v>-193467.93474999996</v>
      </c>
      <c r="X73" s="132"/>
      <c r="AA73" s="38"/>
      <c r="AB73" s="38"/>
      <c r="AD73" s="38"/>
      <c r="AE73" s="178"/>
      <c r="AI73" s="38"/>
      <c r="AJ73" s="38"/>
      <c r="AL73" s="38"/>
      <c r="AM73" s="178"/>
    </row>
    <row r="74" spans="2:39">
      <c r="B74" s="121"/>
      <c r="C74" s="126" t="s">
        <v>184</v>
      </c>
      <c r="D74" s="121"/>
      <c r="E74" s="127" t="s">
        <v>180</v>
      </c>
      <c r="F74" s="121"/>
      <c r="G74" s="121"/>
      <c r="H74" s="135">
        <f t="shared" ref="H74:L74" si="24">SUM(H69:H73)</f>
        <v>-476416.88599999994</v>
      </c>
      <c r="I74" s="135">
        <f t="shared" si="24"/>
        <v>-662463.79985199997</v>
      </c>
      <c r="J74" s="135">
        <f t="shared" si="24"/>
        <v>-408592.79143600003</v>
      </c>
      <c r="K74" s="135">
        <f t="shared" si="24"/>
        <v>-284800.31859999994</v>
      </c>
      <c r="L74" s="135">
        <f t="shared" si="24"/>
        <v>-169265.65999999997</v>
      </c>
      <c r="M74" s="135">
        <f t="shared" ref="M74:W74" si="25">SUM(M69:M73)</f>
        <v>45105.207607487682</v>
      </c>
      <c r="N74" s="135">
        <f t="shared" si="25"/>
        <v>522294.22924387688</v>
      </c>
      <c r="O74" s="135">
        <f t="shared" si="25"/>
        <v>649801.26492832636</v>
      </c>
      <c r="P74" s="135">
        <f t="shared" si="25"/>
        <v>543797.75594186631</v>
      </c>
      <c r="Q74" s="135">
        <f t="shared" si="25"/>
        <v>710296.65490123932</v>
      </c>
      <c r="R74" s="135">
        <f t="shared" si="25"/>
        <v>809800.08636892866</v>
      </c>
      <c r="S74" s="135">
        <f t="shared" si="25"/>
        <v>798151.05544820265</v>
      </c>
      <c r="T74" s="135">
        <f t="shared" si="25"/>
        <v>661558.85252657486</v>
      </c>
      <c r="U74" s="135">
        <f t="shared" si="25"/>
        <v>398163.01610786782</v>
      </c>
      <c r="V74" s="135">
        <f t="shared" si="25"/>
        <v>294264.83586168766</v>
      </c>
      <c r="W74" s="135">
        <f t="shared" si="25"/>
        <v>159572.82309971459</v>
      </c>
      <c r="X74" s="135"/>
      <c r="AA74" s="38"/>
      <c r="AB74" s="38"/>
      <c r="AD74" s="38"/>
      <c r="AE74" s="178"/>
      <c r="AI74" s="38"/>
      <c r="AJ74" s="38"/>
      <c r="AL74" s="38"/>
      <c r="AM74" s="178"/>
    </row>
    <row r="75" spans="2:39">
      <c r="B75" s="121"/>
      <c r="C75" s="129"/>
      <c r="D75" s="121"/>
      <c r="E75" s="121"/>
      <c r="F75" s="121"/>
      <c r="G75" s="121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AA75" s="38"/>
      <c r="AB75" s="38"/>
      <c r="AD75" s="38"/>
      <c r="AE75" s="178"/>
      <c r="AI75" s="38"/>
      <c r="AJ75" s="38"/>
      <c r="AL75" s="38"/>
      <c r="AM75" s="178"/>
    </row>
    <row r="76" spans="2:39">
      <c r="B76" s="121"/>
      <c r="C76" s="133" t="s">
        <v>185</v>
      </c>
      <c r="D76" s="121"/>
      <c r="E76" s="131" t="s">
        <v>180</v>
      </c>
      <c r="F76" s="121"/>
      <c r="G76" s="121"/>
      <c r="H76" s="134">
        <f>Model!G80</f>
        <v>-1044</v>
      </c>
      <c r="I76" s="134">
        <f>Model!H80</f>
        <v>-5696</v>
      </c>
      <c r="J76" s="134">
        <f>Model!I80</f>
        <v>1825</v>
      </c>
      <c r="K76" s="134">
        <f>Model!J80</f>
        <v>-1597</v>
      </c>
      <c r="L76" s="134">
        <f>(L69/Drivers!K$9)*Model!K$80</f>
        <v>0</v>
      </c>
      <c r="M76" s="134">
        <f>(M69/Drivers!L$9)*Model!L$80</f>
        <v>0</v>
      </c>
      <c r="N76" s="134">
        <f>(N69/Drivers!M$9)*Model!M$80</f>
        <v>-7938.5201570847721</v>
      </c>
      <c r="O76" s="134">
        <f>(O69/Drivers!N$9)*Model!N$80</f>
        <v>-24653.043376623304</v>
      </c>
      <c r="P76" s="134">
        <f>(P69/Drivers!O$9)*Model!O$80</f>
        <v>-27824.991031172918</v>
      </c>
      <c r="Q76" s="134">
        <f>(Q69/Drivers!P$9)*Model!P$80</f>
        <v>-42798.756656578953</v>
      </c>
      <c r="R76" s="134">
        <f t="shared" ref="R76:W76" si="26">R74*-Tax_Rate</f>
        <v>-170058.01813747501</v>
      </c>
      <c r="S76" s="134">
        <f t="shared" si="26"/>
        <v>-167611.72164412256</v>
      </c>
      <c r="T76" s="134">
        <f t="shared" si="26"/>
        <v>-138927.35903058073</v>
      </c>
      <c r="U76" s="134">
        <f t="shared" si="26"/>
        <v>-83614.233382652237</v>
      </c>
      <c r="V76" s="134">
        <f t="shared" si="26"/>
        <v>-61795.615530954405</v>
      </c>
      <c r="W76" s="134">
        <f t="shared" si="26"/>
        <v>-33510.292850940059</v>
      </c>
      <c r="X76" s="132"/>
      <c r="AA76" s="38"/>
      <c r="AB76" s="38"/>
      <c r="AD76" s="38"/>
      <c r="AE76" s="178"/>
      <c r="AI76" s="38"/>
      <c r="AJ76" s="38"/>
      <c r="AL76" s="38"/>
      <c r="AM76" s="178"/>
    </row>
    <row r="77" spans="2:39">
      <c r="B77" s="121"/>
      <c r="C77" s="126" t="s">
        <v>186</v>
      </c>
      <c r="D77" s="121"/>
      <c r="E77" s="127" t="s">
        <v>180</v>
      </c>
      <c r="F77" s="121"/>
      <c r="G77" s="121"/>
      <c r="H77" s="135">
        <f t="shared" ref="H77:K77" si="27">SUM(H74:H76)</f>
        <v>-477460.88599999994</v>
      </c>
      <c r="I77" s="135">
        <f t="shared" si="27"/>
        <v>-668159.79985199997</v>
      </c>
      <c r="J77" s="135">
        <f t="shared" si="27"/>
        <v>-406767.79143600003</v>
      </c>
      <c r="K77" s="135">
        <f t="shared" si="27"/>
        <v>-286397.31859999994</v>
      </c>
      <c r="L77" s="135">
        <f t="shared" ref="L77:W77" si="28">SUM(L74:L76)</f>
        <v>-169265.65999999997</v>
      </c>
      <c r="M77" s="135">
        <f t="shared" si="28"/>
        <v>45105.207607487682</v>
      </c>
      <c r="N77" s="135">
        <f t="shared" si="28"/>
        <v>514355.70908679208</v>
      </c>
      <c r="O77" s="135">
        <f t="shared" si="28"/>
        <v>625148.22155170306</v>
      </c>
      <c r="P77" s="135">
        <f t="shared" si="28"/>
        <v>515972.7649106934</v>
      </c>
      <c r="Q77" s="135">
        <f t="shared" si="28"/>
        <v>667497.89824466035</v>
      </c>
      <c r="R77" s="135">
        <f t="shared" si="28"/>
        <v>639742.06823145365</v>
      </c>
      <c r="S77" s="135">
        <f t="shared" si="28"/>
        <v>630539.33380408003</v>
      </c>
      <c r="T77" s="135">
        <f t="shared" si="28"/>
        <v>522631.49349599413</v>
      </c>
      <c r="U77" s="135">
        <f t="shared" si="28"/>
        <v>314548.7827252156</v>
      </c>
      <c r="V77" s="135">
        <f t="shared" si="28"/>
        <v>232469.22033073325</v>
      </c>
      <c r="W77" s="135">
        <f t="shared" si="28"/>
        <v>126062.53024877454</v>
      </c>
      <c r="X77" s="135"/>
      <c r="AA77" s="38"/>
      <c r="AB77" s="38"/>
      <c r="AD77" s="38"/>
      <c r="AE77" s="178"/>
      <c r="AI77" s="38"/>
      <c r="AJ77" s="38"/>
      <c r="AL77" s="38"/>
      <c r="AM77" s="178"/>
    </row>
    <row r="78" spans="2:39">
      <c r="B78" s="121"/>
      <c r="C78" s="129"/>
      <c r="D78" s="121"/>
      <c r="E78" s="121"/>
      <c r="F78" s="121"/>
      <c r="G78" s="121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AA78" s="38"/>
      <c r="AB78" s="38"/>
      <c r="AD78" s="38"/>
      <c r="AI78" s="38"/>
      <c r="AJ78" s="38"/>
      <c r="AL78" s="38"/>
    </row>
    <row r="79" spans="2:39">
      <c r="B79" s="121"/>
      <c r="C79" s="130" t="s">
        <v>188</v>
      </c>
      <c r="D79" s="121"/>
      <c r="E79" s="131" t="s">
        <v>180</v>
      </c>
      <c r="F79" s="121"/>
      <c r="G79" s="121"/>
      <c r="H79" s="144">
        <f>SUM(Drivers!G80,Drivers!G111,Drivers!G160)</f>
        <v>-179.52</v>
      </c>
      <c r="I79" s="144">
        <f>SUM(Drivers!H80,Drivers!H111,Drivers!H160)</f>
        <v>-231.54714000000001</v>
      </c>
      <c r="J79" s="144">
        <f>SUM(Drivers!I80,Drivers!I111,Drivers!I160)</f>
        <v>-1421.54802</v>
      </c>
      <c r="K79" s="144">
        <f>SUM(Drivers!J80,Drivers!J111,Drivers!J160)</f>
        <v>-9925.527</v>
      </c>
      <c r="L79" s="144">
        <f>SUM(Drivers!K80,Drivers!K111,Drivers!K160)</f>
        <v>-24403.95</v>
      </c>
      <c r="M79" s="144">
        <f>SUM(Drivers!L80,Drivers!L111,Drivers!L160)</f>
        <v>-30152.107800000005</v>
      </c>
      <c r="N79" s="144">
        <f>SUM(Drivers!M80,Drivers!M111,Drivers!M160)</f>
        <v>-40670.300481280006</v>
      </c>
      <c r="O79" s="144">
        <f>SUM(Drivers!N80,Drivers!N111,Drivers!N160)</f>
        <v>-52356.301387633612</v>
      </c>
      <c r="P79" s="144">
        <f>SUM(Drivers!O80,Drivers!O111,Drivers!O160)</f>
        <v>-60682.455678124323</v>
      </c>
      <c r="Q79" s="144">
        <f>SUM(Drivers!P80,Drivers!P111,Drivers!P160)</f>
        <v>-69507.941807723852</v>
      </c>
      <c r="R79" s="144">
        <f>SUM(Drivers!Q80,Drivers!Q111,Drivers!Q160)</f>
        <v>-79145.907552109289</v>
      </c>
      <c r="S79" s="144">
        <f>SUM(Drivers!R80,Drivers!R111,Drivers!R160)</f>
        <v>-51512.410379622263</v>
      </c>
      <c r="T79" s="144">
        <f>SUM(Drivers!S80,Drivers!S111,Drivers!S160)</f>
        <v>-57684.57416474924</v>
      </c>
      <c r="U79" s="144">
        <f>SUM(Drivers!T80,Drivers!T111,Drivers!T160)</f>
        <v>-46668.597000000002</v>
      </c>
      <c r="V79" s="144">
        <f>SUM(Drivers!U80,Drivers!U111,Drivers!U160)</f>
        <v>-40393.144800000002</v>
      </c>
      <c r="W79" s="144">
        <f>SUM(Drivers!V80,Drivers!V111,Drivers!V160)</f>
        <v>-31084.41738240001</v>
      </c>
      <c r="X79" s="144"/>
      <c r="AA79" s="38"/>
      <c r="AB79" s="38"/>
      <c r="AD79" s="38"/>
      <c r="AE79" s="178"/>
      <c r="AI79" s="38"/>
      <c r="AJ79" s="38"/>
      <c r="AL79" s="38"/>
      <c r="AM79" s="178"/>
    </row>
    <row r="80" spans="2:39">
      <c r="B80" s="121"/>
      <c r="C80" s="130" t="s">
        <v>187</v>
      </c>
      <c r="D80" s="121"/>
      <c r="E80" s="131" t="s">
        <v>180</v>
      </c>
      <c r="F80" s="121"/>
      <c r="G80" s="121"/>
      <c r="H80" s="144">
        <f>(G$59-H$59)*(H69/Drivers!G$9)</f>
        <v>53561.806946041201</v>
      </c>
      <c r="I80" s="144">
        <f>(H$59-I$59)*(I69/Drivers!H$9)</f>
        <v>55609.7031823711</v>
      </c>
      <c r="J80" s="144">
        <f>(I$59-J$59)*(J69/Drivers!I$9)</f>
        <v>-29424.873318962957</v>
      </c>
      <c r="K80" s="144">
        <f>(J$59-K$59)*(K69/Drivers!J$9)</f>
        <v>-10920.989384288596</v>
      </c>
      <c r="L80" s="144">
        <f>(K$59-L$59)*(L69/Drivers!K$9)</f>
        <v>-21960.16783273812</v>
      </c>
      <c r="M80" s="144">
        <f>(L$59-M$59)*(M69/Drivers!L$9)</f>
        <v>-111552.63497480383</v>
      </c>
      <c r="N80" s="144">
        <f>(M$59-N$59)*(N69/Drivers!M$9)</f>
        <v>-146764.70486726813</v>
      </c>
      <c r="O80" s="144">
        <f>(N$59-O$59)*(O69/Drivers!N$9)</f>
        <v>-80969.755546249158</v>
      </c>
      <c r="P80" s="144">
        <f>(O$59-P$59)*(P69/Drivers!O$9)</f>
        <v>-32491.516588143812</v>
      </c>
      <c r="Q80" s="144">
        <f>(P$59-Q$59)*(Q69/Drivers!P$9)</f>
        <v>-67025.56828733618</v>
      </c>
      <c r="R80" s="144">
        <f>(Q$59-R$59)*(R69/Drivers!Q$9)</f>
        <v>853.84780376079584</v>
      </c>
      <c r="S80" s="144">
        <f>(R$59-S$59)*(S69/Drivers!R$9)</f>
        <v>40809.161004168884</v>
      </c>
      <c r="T80" s="144">
        <f>(S$59-T$59)*(T69/Drivers!S$9)</f>
        <v>53127.90431600211</v>
      </c>
      <c r="U80" s="144">
        <f>(T$59-U$59)*(U69/Drivers!T$9)</f>
        <v>47441.806285666178</v>
      </c>
      <c r="V80" s="144">
        <f>(U$59-V$59)*(V69/Drivers!U$9)</f>
        <v>9125.766872380058</v>
      </c>
      <c r="W80" s="144">
        <f>(V$59-W$59)*(W69/Drivers!V$9)</f>
        <v>9457.100410550549</v>
      </c>
      <c r="X80" s="144"/>
      <c r="AA80" s="38"/>
      <c r="AB80" s="38"/>
      <c r="AD80" s="38"/>
      <c r="AE80" s="178"/>
      <c r="AI80" s="38"/>
      <c r="AJ80" s="38"/>
      <c r="AL80" s="38"/>
      <c r="AM80" s="178"/>
    </row>
    <row r="81" spans="2:39">
      <c r="B81" s="121"/>
      <c r="C81" s="130" t="s">
        <v>189</v>
      </c>
      <c r="D81" s="121"/>
      <c r="E81" s="131" t="s">
        <v>180</v>
      </c>
      <c r="F81" s="121"/>
      <c r="G81" s="121"/>
      <c r="H81" s="144">
        <f>H$62*(H69/Drivers!G$9)</f>
        <v>-72642.467716387531</v>
      </c>
      <c r="I81" s="144">
        <f>I$62*(I69/Drivers!H$9)</f>
        <v>-108713.22496037844</v>
      </c>
      <c r="J81" s="144">
        <f>J$62*(J69/Drivers!I$9)</f>
        <v>-43902.755981345283</v>
      </c>
      <c r="K81" s="144">
        <f>K$62*(K69/Drivers!J$9)</f>
        <v>-7441.2526357745928</v>
      </c>
      <c r="L81" s="144">
        <f>L$62*(L69/Drivers!K$9)</f>
        <v>-6608.7271985946991</v>
      </c>
      <c r="M81" s="144">
        <f>M$62*(M69/Drivers!L$9)</f>
        <v>-7816.5029598720412</v>
      </c>
      <c r="N81" s="144">
        <f>N$62*(N69/Drivers!M$9)</f>
        <v>-2687.0643979753386</v>
      </c>
      <c r="O81" s="144">
        <f>O$62*(O69/Drivers!N$9)</f>
        <v>-2069.6874197005977</v>
      </c>
      <c r="P81" s="144">
        <f>P$62*(P69/Drivers!O$9)</f>
        <v>-1957.7903024148291</v>
      </c>
      <c r="Q81" s="144">
        <f>Q$62*(Q69/Drivers!P$9)</f>
        <v>-1631.6398612422338</v>
      </c>
      <c r="R81" s="144">
        <f>R$62*(R69/Drivers!Q$9)</f>
        <v>-13153.996847464645</v>
      </c>
      <c r="S81" s="144">
        <f>S$62*(S69/Drivers!R$9)</f>
        <v>-9972.5737449604858</v>
      </c>
      <c r="T81" s="144">
        <f>T$62*(T69/Drivers!S$9)</f>
        <v>-5137.7563696869302</v>
      </c>
      <c r="U81" s="144">
        <f>U$62*(U69/Drivers!T$9)</f>
        <v>-3228.3269540943179</v>
      </c>
      <c r="V81" s="144">
        <f>V$62*(V69/Drivers!U$9)</f>
        <v>-3081.6011534451236</v>
      </c>
      <c r="W81" s="144">
        <f>W$62*(W69/Drivers!V$9)</f>
        <v>-3324.2800251285967</v>
      </c>
      <c r="X81" s="144"/>
      <c r="AA81" s="38"/>
      <c r="AB81" s="38"/>
      <c r="AD81" s="38"/>
      <c r="AE81" s="178"/>
      <c r="AI81" s="38"/>
      <c r="AJ81" s="38"/>
      <c r="AL81" s="38"/>
      <c r="AM81" s="178"/>
    </row>
    <row r="82" spans="2:39">
      <c r="B82" s="121"/>
      <c r="C82" s="133" t="s">
        <v>190</v>
      </c>
      <c r="D82" s="121"/>
      <c r="E82" s="131" t="s">
        <v>180</v>
      </c>
      <c r="F82" s="121"/>
      <c r="G82" s="121"/>
      <c r="H82" s="136">
        <f>-H64*(H69/Drivers!G9)</f>
        <v>13157.397152904579</v>
      </c>
      <c r="I82" s="136">
        <f>-I64*(I69/Drivers!H9)</f>
        <v>17057.387070417532</v>
      </c>
      <c r="J82" s="136">
        <f>-J64*(J69/Drivers!I9)</f>
        <v>25792.013735985394</v>
      </c>
      <c r="K82" s="136">
        <f>-K64*(K69/Drivers!J9)</f>
        <v>35306.960677257557</v>
      </c>
      <c r="L82" s="136">
        <f>-L64*(L69/Drivers!K9)</f>
        <v>25353.765816666852</v>
      </c>
      <c r="M82" s="136">
        <f>-M64*(M69/Drivers!L9)</f>
        <v>27578.554687551481</v>
      </c>
      <c r="N82" s="136">
        <f>-N64*(N69/Drivers!M9)</f>
        <v>17163.212290103715</v>
      </c>
      <c r="O82" s="136">
        <f>-O64*(O69/Drivers!N9)</f>
        <v>12224.406049599558</v>
      </c>
      <c r="P82" s="136">
        <f>-P64*(P69/Drivers!O9)</f>
        <v>8979.5290573943894</v>
      </c>
      <c r="Q82" s="136">
        <f>-Q64*(Q69/Drivers!P9)</f>
        <v>6770.5923838640456</v>
      </c>
      <c r="R82" s="136">
        <f>-R64*(R69/Drivers!Q9)</f>
        <v>10238.420971778856</v>
      </c>
      <c r="S82" s="136">
        <f>-S64*(S69/Drivers!R9)</f>
        <v>9736.7288669014051</v>
      </c>
      <c r="T82" s="136">
        <f>-T64*(T69/Drivers!S9)</f>
        <v>8884.2709165561082</v>
      </c>
      <c r="U82" s="136">
        <f>-U64*(U69/Drivers!T9)</f>
        <v>7304.212100098659</v>
      </c>
      <c r="V82" s="136">
        <f>-V64*(V69/Drivers!U9)</f>
        <v>6379.9966207959651</v>
      </c>
      <c r="W82" s="136">
        <f>-W64*(W69/Drivers!V9)</f>
        <v>6470.3601115597467</v>
      </c>
      <c r="X82" s="144"/>
      <c r="AA82" s="38"/>
      <c r="AB82" s="38"/>
      <c r="AD82" s="38"/>
      <c r="AE82" s="178"/>
      <c r="AI82" s="38"/>
      <c r="AJ82" s="38"/>
      <c r="AL82" s="38"/>
      <c r="AM82" s="178"/>
    </row>
    <row r="83" spans="2:39">
      <c r="B83" s="121"/>
      <c r="C83" s="126" t="s">
        <v>191</v>
      </c>
      <c r="D83" s="121"/>
      <c r="E83" s="127" t="s">
        <v>180</v>
      </c>
      <c r="F83" s="121"/>
      <c r="G83" s="121"/>
      <c r="H83" s="135">
        <f>SUM(H77:H82)</f>
        <v>-483563.66961744172</v>
      </c>
      <c r="I83" s="135">
        <f t="shared" ref="I83:K83" si="29">SUM(I77:I82)</f>
        <v>-704437.48169958987</v>
      </c>
      <c r="J83" s="135">
        <f t="shared" si="29"/>
        <v>-455724.95502032293</v>
      </c>
      <c r="K83" s="135">
        <f t="shared" si="29"/>
        <v>-279378.1269428056</v>
      </c>
      <c r="L83" s="135">
        <f t="shared" ref="L83:W83" si="30">SUM(L77:L82)</f>
        <v>-196884.73921466593</v>
      </c>
      <c r="M83" s="135">
        <f t="shared" si="30"/>
        <v>-76837.483439636708</v>
      </c>
      <c r="N83" s="135">
        <f t="shared" si="30"/>
        <v>341396.85163037229</v>
      </c>
      <c r="O83" s="135">
        <f t="shared" si="30"/>
        <v>501976.8832477192</v>
      </c>
      <c r="P83" s="135">
        <f t="shared" si="30"/>
        <v>429820.53139940475</v>
      </c>
      <c r="Q83" s="135">
        <f t="shared" si="30"/>
        <v>536103.3406722222</v>
      </c>
      <c r="R83" s="135">
        <f t="shared" si="30"/>
        <v>558534.43260741921</v>
      </c>
      <c r="S83" s="135">
        <f t="shared" si="30"/>
        <v>619600.23955056758</v>
      </c>
      <c r="T83" s="135">
        <f t="shared" si="30"/>
        <v>521821.33819411619</v>
      </c>
      <c r="U83" s="135">
        <f t="shared" si="30"/>
        <v>319397.8771568861</v>
      </c>
      <c r="V83" s="135">
        <f t="shared" si="30"/>
        <v>204500.23787046413</v>
      </c>
      <c r="W83" s="135">
        <f t="shared" si="30"/>
        <v>107581.29336335621</v>
      </c>
      <c r="X83" s="135"/>
      <c r="AA83" s="38"/>
      <c r="AB83" s="38"/>
      <c r="AD83" s="38"/>
      <c r="AE83" s="178"/>
      <c r="AI83" s="38"/>
      <c r="AJ83" s="38"/>
      <c r="AL83" s="38"/>
      <c r="AM83" s="178"/>
    </row>
    <row r="84" spans="2:39">
      <c r="B84" s="121"/>
      <c r="C84" s="137" t="s">
        <v>192</v>
      </c>
      <c r="D84" s="121"/>
      <c r="E84" s="131" t="s">
        <v>15</v>
      </c>
      <c r="F84" s="121"/>
      <c r="G84" s="121"/>
      <c r="H84" s="138">
        <f>H83/H69</f>
        <v>-1.8280424852110295</v>
      </c>
      <c r="I84" s="138">
        <f t="shared" ref="I84:W84" si="31">I83/I69</f>
        <v>-1.9941197435095326</v>
      </c>
      <c r="J84" s="138">
        <f t="shared" si="31"/>
        <v>-1.0617786052017535</v>
      </c>
      <c r="K84" s="138">
        <f t="shared" si="31"/>
        <v>-0.50201857625442603</v>
      </c>
      <c r="L84" s="138">
        <f t="shared" si="31"/>
        <v>-0.30966603996977954</v>
      </c>
      <c r="M84" s="138">
        <f t="shared" si="31"/>
        <v>-8.7495031333653384E-2</v>
      </c>
      <c r="N84" s="138">
        <f t="shared" si="31"/>
        <v>0.33337329218683498</v>
      </c>
      <c r="O84" s="138">
        <f t="shared" si="31"/>
        <v>0.4402168236352571</v>
      </c>
      <c r="P84" s="138">
        <f t="shared" si="31"/>
        <v>0.34731962216027051</v>
      </c>
      <c r="Q84" s="138">
        <f t="shared" si="31"/>
        <v>0.40298456382478831</v>
      </c>
      <c r="R84" s="138">
        <f t="shared" si="31"/>
        <v>0.39327321240031371</v>
      </c>
      <c r="S84" s="138">
        <f t="shared" si="31"/>
        <v>0.44682554176721972</v>
      </c>
      <c r="T84" s="138">
        <f t="shared" si="31"/>
        <v>0.43057577665645086</v>
      </c>
      <c r="U84" s="138">
        <f t="shared" si="31"/>
        <v>0.35733736004354083</v>
      </c>
      <c r="V84" s="138">
        <f t="shared" si="31"/>
        <v>0.2717814954789996</v>
      </c>
      <c r="W84" s="138">
        <f t="shared" si="31"/>
        <v>0.17913526040172137</v>
      </c>
      <c r="X84" s="143"/>
      <c r="AA84" s="38"/>
      <c r="AB84" s="38"/>
      <c r="AD84" s="38"/>
      <c r="AE84" s="178"/>
      <c r="AI84" s="38"/>
      <c r="AJ84" s="38"/>
      <c r="AL84" s="38"/>
      <c r="AM84" s="178"/>
    </row>
    <row r="85" spans="2:39">
      <c r="B85" s="121"/>
      <c r="C85" s="137"/>
      <c r="D85" s="121"/>
      <c r="E85" s="131"/>
      <c r="F85" s="121"/>
      <c r="G85" s="121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43"/>
      <c r="AA85" s="38"/>
      <c r="AB85" s="38"/>
      <c r="AD85" s="38"/>
      <c r="AE85" s="178"/>
      <c r="AI85" s="38"/>
      <c r="AJ85" s="38"/>
      <c r="AL85" s="38"/>
      <c r="AM85" s="178"/>
    </row>
    <row r="86" spans="2:39">
      <c r="B86" s="121"/>
      <c r="C86" s="126" t="s">
        <v>194</v>
      </c>
      <c r="D86" s="121"/>
      <c r="E86" s="127" t="s">
        <v>180</v>
      </c>
      <c r="F86" s="121"/>
      <c r="G86" s="121"/>
      <c r="H86" s="140">
        <f t="shared" ref="H86:W86" si="32">H74+H82</f>
        <v>-463259.48884709534</v>
      </c>
      <c r="I86" s="140">
        <f t="shared" si="32"/>
        <v>-645406.41278158245</v>
      </c>
      <c r="J86" s="140">
        <f t="shared" si="32"/>
        <v>-382800.77770001465</v>
      </c>
      <c r="K86" s="140">
        <f t="shared" si="32"/>
        <v>-249493.35792274238</v>
      </c>
      <c r="L86" s="140">
        <f t="shared" si="32"/>
        <v>-143911.89418333312</v>
      </c>
      <c r="M86" s="140">
        <f t="shared" si="32"/>
        <v>72683.762295039167</v>
      </c>
      <c r="N86" s="140">
        <f t="shared" si="32"/>
        <v>539457.44153398054</v>
      </c>
      <c r="O86" s="140">
        <f t="shared" si="32"/>
        <v>662025.67097792588</v>
      </c>
      <c r="P86" s="140">
        <f t="shared" si="32"/>
        <v>552777.28499926068</v>
      </c>
      <c r="Q86" s="140">
        <f t="shared" si="32"/>
        <v>717067.24728510343</v>
      </c>
      <c r="R86" s="140">
        <f t="shared" si="32"/>
        <v>820038.50734070747</v>
      </c>
      <c r="S86" s="140">
        <f t="shared" si="32"/>
        <v>807887.78431510401</v>
      </c>
      <c r="T86" s="140">
        <f t="shared" si="32"/>
        <v>670443.12344313099</v>
      </c>
      <c r="U86" s="140">
        <f t="shared" si="32"/>
        <v>405467.22820796649</v>
      </c>
      <c r="V86" s="140">
        <f t="shared" si="32"/>
        <v>300644.83248248365</v>
      </c>
      <c r="W86" s="140">
        <f t="shared" si="32"/>
        <v>166043.18321127433</v>
      </c>
      <c r="X86" s="256"/>
      <c r="AA86" s="38"/>
      <c r="AB86" s="38"/>
      <c r="AD86" s="38"/>
      <c r="AE86" s="178"/>
      <c r="AI86" s="38"/>
      <c r="AJ86" s="38"/>
      <c r="AL86" s="38"/>
      <c r="AM86" s="178"/>
    </row>
    <row r="87" spans="2:39">
      <c r="B87" s="203"/>
      <c r="C87" s="137" t="s">
        <v>192</v>
      </c>
      <c r="D87" s="121"/>
      <c r="E87" s="204"/>
      <c r="F87" s="205"/>
      <c r="G87" s="205"/>
      <c r="H87" s="250">
        <f t="shared" ref="H87:W87" si="33">H86/H69</f>
        <v>-1.7512854676605547</v>
      </c>
      <c r="I87" s="250">
        <f t="shared" si="33"/>
        <v>-1.8270147511319825</v>
      </c>
      <c r="J87" s="250">
        <f t="shared" si="33"/>
        <v>-0.89187495953198903</v>
      </c>
      <c r="K87" s="250">
        <f t="shared" si="33"/>
        <v>-0.44831820479257617</v>
      </c>
      <c r="L87" s="250">
        <f t="shared" si="33"/>
        <v>-0.22634880973539215</v>
      </c>
      <c r="M87" s="250">
        <f t="shared" si="33"/>
        <v>8.276517885243137E-2</v>
      </c>
      <c r="N87" s="250">
        <f t="shared" si="33"/>
        <v>0.52677903272986903</v>
      </c>
      <c r="O87" s="250">
        <f t="shared" si="33"/>
        <v>0.5805742211819801</v>
      </c>
      <c r="P87" s="250">
        <f t="shared" si="33"/>
        <v>0.44667572565610875</v>
      </c>
      <c r="Q87" s="250">
        <f t="shared" si="33"/>
        <v>0.53901367508341225</v>
      </c>
      <c r="R87" s="250">
        <f t="shared" si="33"/>
        <v>0.57740250062705689</v>
      </c>
      <c r="S87" s="250">
        <f t="shared" si="33"/>
        <v>0.58260935659992419</v>
      </c>
      <c r="T87" s="250">
        <f t="shared" si="33"/>
        <v>0.55320959004768788</v>
      </c>
      <c r="U87" s="250">
        <f t="shared" si="33"/>
        <v>0.45363040669440124</v>
      </c>
      <c r="V87" s="250">
        <f t="shared" si="33"/>
        <v>0.39955798111041713</v>
      </c>
      <c r="W87" s="250">
        <f t="shared" si="33"/>
        <v>0.27648104919152861</v>
      </c>
      <c r="X87" s="257"/>
      <c r="Y87" s="62"/>
      <c r="Z87" s="62"/>
      <c r="AA87" s="62"/>
      <c r="AB87" s="62"/>
      <c r="AC87" s="62"/>
      <c r="AD87" s="62"/>
      <c r="AE87" s="62"/>
      <c r="AF87" s="62"/>
    </row>
    <row r="88" spans="2:39">
      <c r="B88" s="203"/>
      <c r="C88" s="121"/>
      <c r="D88" s="121"/>
      <c r="E88" s="204"/>
      <c r="F88" s="205"/>
      <c r="G88" s="205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spans="2:39">
      <c r="B89" s="122" t="str">
        <f>Drivers!B169</f>
        <v>UX-111</v>
      </c>
      <c r="C89" s="122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26"/>
      <c r="R89" s="124"/>
      <c r="S89" s="209" t="s">
        <v>266</v>
      </c>
      <c r="T89" s="124"/>
      <c r="U89" s="124"/>
      <c r="V89" s="26"/>
      <c r="W89" s="26"/>
      <c r="X89" s="26"/>
    </row>
    <row r="90" spans="2:39">
      <c r="B90" s="121"/>
      <c r="C90" s="125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R90" s="59"/>
      <c r="S90" s="59"/>
      <c r="T90" s="59"/>
      <c r="U90" s="59"/>
    </row>
    <row r="91" spans="2:39">
      <c r="B91" s="121"/>
      <c r="C91" s="126" t="s">
        <v>179</v>
      </c>
      <c r="D91" s="121"/>
      <c r="E91" s="127" t="s">
        <v>180</v>
      </c>
      <c r="F91" s="121"/>
      <c r="G91" s="121"/>
      <c r="H91" s="128"/>
      <c r="I91" s="128"/>
      <c r="J91" s="128"/>
      <c r="K91" s="128"/>
      <c r="L91" s="128">
        <f>Drivers!K211</f>
        <v>0</v>
      </c>
      <c r="M91" s="128">
        <f>Drivers!L211</f>
        <v>31512.779999999995</v>
      </c>
      <c r="N91" s="128">
        <f>Drivers!M211</f>
        <v>96838.166924999954</v>
      </c>
      <c r="O91" s="128">
        <f>Drivers!N211</f>
        <v>198684.51150172495</v>
      </c>
      <c r="P91" s="128">
        <f>Drivers!O211</f>
        <v>305114.77293092984</v>
      </c>
      <c r="Q91" s="128">
        <f>Drivers!P211</f>
        <v>426267.17563620058</v>
      </c>
      <c r="R91" s="128">
        <f>Drivers!Q211</f>
        <v>531537.23944967857</v>
      </c>
      <c r="S91" s="128">
        <f>Drivers!R211</f>
        <v>586958.77277394652</v>
      </c>
      <c r="T91" s="128">
        <f>Drivers!S211</f>
        <v>582363.01046797168</v>
      </c>
      <c r="U91" s="128">
        <f>Drivers!T211</f>
        <v>510223.42009259923</v>
      </c>
      <c r="V91" s="128">
        <f>Drivers!U211</f>
        <v>406289.83725680201</v>
      </c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</row>
    <row r="92" spans="2:39">
      <c r="B92" s="121"/>
      <c r="C92" s="129"/>
      <c r="D92" s="121"/>
      <c r="E92" s="121"/>
      <c r="F92" s="121"/>
      <c r="G92" s="121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</row>
    <row r="93" spans="2:39">
      <c r="B93" s="121"/>
      <c r="C93" s="130" t="s">
        <v>181</v>
      </c>
      <c r="D93" s="121"/>
      <c r="E93" s="131" t="s">
        <v>180</v>
      </c>
      <c r="F93" s="121"/>
      <c r="G93" s="121"/>
      <c r="H93" s="132"/>
      <c r="I93" s="132"/>
      <c r="J93" s="132"/>
      <c r="K93" s="132"/>
      <c r="L93" s="132">
        <f>-L91*0.09</f>
        <v>0</v>
      </c>
      <c r="M93" s="132">
        <f t="shared" ref="M93:V93" si="34">-M91*COGS</f>
        <v>-3781.5335999999993</v>
      </c>
      <c r="N93" s="132">
        <f t="shared" si="34"/>
        <v>-11620.580030999994</v>
      </c>
      <c r="O93" s="132">
        <f t="shared" si="34"/>
        <v>-23842.141380206995</v>
      </c>
      <c r="P93" s="132">
        <f t="shared" si="34"/>
        <v>-36613.772751711578</v>
      </c>
      <c r="Q93" s="132">
        <f t="shared" si="34"/>
        <v>-51152.061076344071</v>
      </c>
      <c r="R93" s="132">
        <f t="shared" si="34"/>
        <v>-63784.468733961425</v>
      </c>
      <c r="S93" s="132">
        <f t="shared" si="34"/>
        <v>-70435.052732873577</v>
      </c>
      <c r="T93" s="132">
        <f t="shared" si="34"/>
        <v>-69883.561256156594</v>
      </c>
      <c r="U93" s="132">
        <f t="shared" si="34"/>
        <v>-61226.810411111903</v>
      </c>
      <c r="V93" s="132">
        <f t="shared" si="34"/>
        <v>-48754.780470816237</v>
      </c>
      <c r="W93" s="132"/>
      <c r="X93" s="132"/>
    </row>
    <row r="94" spans="2:39">
      <c r="B94" s="121"/>
      <c r="C94" s="130" t="s">
        <v>182</v>
      </c>
      <c r="D94" s="121"/>
      <c r="E94" s="131" t="s">
        <v>180</v>
      </c>
      <c r="F94" s="121"/>
      <c r="G94" s="121"/>
      <c r="H94" s="132"/>
      <c r="I94" s="132"/>
      <c r="J94" s="132"/>
      <c r="K94" s="132">
        <v>-10000</v>
      </c>
      <c r="L94" s="132">
        <v>-30000</v>
      </c>
      <c r="M94" s="132">
        <v>-50000</v>
      </c>
      <c r="N94" s="132">
        <f>-N91*0.5</f>
        <v>-48419.083462499977</v>
      </c>
      <c r="O94" s="132">
        <f>-O91*0.15</f>
        <v>-29802.676725258741</v>
      </c>
      <c r="P94" s="132">
        <v>-10000</v>
      </c>
      <c r="Q94" s="132">
        <v>-10000</v>
      </c>
      <c r="R94" s="132">
        <v>-10000</v>
      </c>
      <c r="S94" s="132">
        <v>-10000</v>
      </c>
      <c r="T94" s="132">
        <v>-10000</v>
      </c>
      <c r="U94" s="132">
        <v>-10000</v>
      </c>
      <c r="V94" s="132">
        <v>-10000</v>
      </c>
      <c r="W94" s="132"/>
      <c r="X94" s="132"/>
    </row>
    <row r="95" spans="2:39">
      <c r="B95" s="121"/>
      <c r="C95" s="133" t="s">
        <v>183</v>
      </c>
      <c r="D95" s="121"/>
      <c r="E95" s="131" t="s">
        <v>180</v>
      </c>
      <c r="F95" s="121"/>
      <c r="G95" s="121"/>
      <c r="H95" s="132"/>
      <c r="I95" s="132"/>
      <c r="J95" s="55">
        <v>-24412</v>
      </c>
      <c r="K95" s="55">
        <v>-41323</v>
      </c>
      <c r="L95" s="134">
        <v>-70700.14</v>
      </c>
      <c r="M95" s="134">
        <v>-15000</v>
      </c>
      <c r="N95" s="134">
        <v>-10000</v>
      </c>
      <c r="O95" s="134">
        <v>-10000</v>
      </c>
      <c r="P95" s="134">
        <v>-10000</v>
      </c>
      <c r="Q95" s="134">
        <v>-10000</v>
      </c>
      <c r="R95" s="134">
        <v>-10000</v>
      </c>
      <c r="S95" s="134">
        <v>-10000</v>
      </c>
      <c r="T95" s="134">
        <v>-10000</v>
      </c>
      <c r="U95" s="134">
        <v>-10000</v>
      </c>
      <c r="V95" s="134">
        <v>-10000</v>
      </c>
      <c r="W95" s="132"/>
      <c r="X95" s="132"/>
      <c r="Z95" s="57"/>
      <c r="AA95" s="57"/>
      <c r="AB95" s="57"/>
      <c r="AC95" s="57"/>
    </row>
    <row r="96" spans="2:39">
      <c r="B96" s="121"/>
      <c r="C96" s="126" t="s">
        <v>184</v>
      </c>
      <c r="D96" s="121"/>
      <c r="E96" s="127" t="s">
        <v>180</v>
      </c>
      <c r="F96" s="121"/>
      <c r="G96" s="121"/>
      <c r="H96" s="135"/>
      <c r="I96" s="135"/>
      <c r="J96" s="135">
        <f t="shared" ref="J96:V96" si="35">SUM(J91:J95)</f>
        <v>-24412</v>
      </c>
      <c r="K96" s="135">
        <f t="shared" si="35"/>
        <v>-51323</v>
      </c>
      <c r="L96" s="135">
        <f t="shared" si="35"/>
        <v>-100700.14</v>
      </c>
      <c r="M96" s="135">
        <f t="shared" si="35"/>
        <v>-37268.753600000004</v>
      </c>
      <c r="N96" s="135">
        <f t="shared" si="35"/>
        <v>26798.503431499987</v>
      </c>
      <c r="O96" s="135">
        <f t="shared" si="35"/>
        <v>135039.69339625922</v>
      </c>
      <c r="P96" s="135">
        <f t="shared" si="35"/>
        <v>248501.00017921824</v>
      </c>
      <c r="Q96" s="135">
        <f t="shared" si="35"/>
        <v>355115.11455985653</v>
      </c>
      <c r="R96" s="135">
        <f t="shared" si="35"/>
        <v>447752.77071571717</v>
      </c>
      <c r="S96" s="135">
        <f t="shared" si="35"/>
        <v>496523.72004107293</v>
      </c>
      <c r="T96" s="135">
        <f t="shared" si="35"/>
        <v>492479.44921181508</v>
      </c>
      <c r="U96" s="135">
        <f t="shared" si="35"/>
        <v>428996.60968148732</v>
      </c>
      <c r="V96" s="135">
        <f t="shared" si="35"/>
        <v>337535.05678598577</v>
      </c>
      <c r="W96" s="135"/>
      <c r="X96" s="135"/>
      <c r="Z96" s="57"/>
      <c r="AA96" s="57"/>
      <c r="AB96" s="57"/>
      <c r="AC96" s="57"/>
    </row>
    <row r="97" spans="2:33">
      <c r="B97" s="121"/>
      <c r="C97" s="129"/>
      <c r="D97" s="121"/>
      <c r="E97" s="121"/>
      <c r="F97" s="121"/>
      <c r="G97" s="121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Z97" s="57"/>
      <c r="AA97" s="57"/>
      <c r="AB97" s="57"/>
      <c r="AC97" s="57"/>
    </row>
    <row r="98" spans="2:33">
      <c r="B98" s="121"/>
      <c r="C98" s="133" t="s">
        <v>185</v>
      </c>
      <c r="D98" s="121"/>
      <c r="E98" s="131" t="s">
        <v>180</v>
      </c>
      <c r="F98" s="121"/>
      <c r="G98" s="121"/>
      <c r="H98" s="132"/>
      <c r="I98" s="132"/>
      <c r="J98" s="134"/>
      <c r="K98" s="134"/>
      <c r="L98" s="134">
        <f>(L91/Drivers!K$9)*Model!K$80</f>
        <v>0</v>
      </c>
      <c r="M98" s="134">
        <f>(M91/Drivers!L$9)*Model!L$80</f>
        <v>0</v>
      </c>
      <c r="N98" s="134">
        <f>(N91/Drivers!M$9)*Model!M$80</f>
        <v>-750.68442269073194</v>
      </c>
      <c r="O98" s="134">
        <f>(O91/Drivers!N$9)*Model!N$80</f>
        <v>-4295.5370656157547</v>
      </c>
      <c r="P98" s="134">
        <f>(P91/Drivers!O$9)*Model!O$80</f>
        <v>-6860.2577296858653</v>
      </c>
      <c r="Q98" s="134">
        <f>(Q91/Drivers!P$9)*Model!P$80</f>
        <v>-13713.646218677226</v>
      </c>
      <c r="R98" s="134">
        <f t="shared" ref="R98:V98" si="36">R96*-Tax_Rate</f>
        <v>-94028.081850300601</v>
      </c>
      <c r="S98" s="134">
        <f t="shared" si="36"/>
        <v>-104269.98120862531</v>
      </c>
      <c r="T98" s="134">
        <f t="shared" si="36"/>
        <v>-103420.68433448116</v>
      </c>
      <c r="U98" s="134">
        <f t="shared" si="36"/>
        <v>-90089.288033112331</v>
      </c>
      <c r="V98" s="134">
        <f t="shared" si="36"/>
        <v>-70882.361925057005</v>
      </c>
      <c r="W98" s="132"/>
      <c r="X98" s="132"/>
    </row>
    <row r="99" spans="2:33">
      <c r="B99" s="121"/>
      <c r="C99" s="126" t="s">
        <v>186</v>
      </c>
      <c r="D99" s="121"/>
      <c r="E99" s="127" t="s">
        <v>180</v>
      </c>
      <c r="F99" s="121"/>
      <c r="G99" s="121"/>
      <c r="H99" s="135"/>
      <c r="I99" s="135"/>
      <c r="J99" s="135">
        <f t="shared" ref="J99:K99" si="37">SUM(J96:J98)</f>
        <v>-24412</v>
      </c>
      <c r="K99" s="135">
        <f t="shared" si="37"/>
        <v>-51323</v>
      </c>
      <c r="L99" s="135">
        <f t="shared" ref="L99:V99" si="38">SUM(L96:L98)</f>
        <v>-100700.14</v>
      </c>
      <c r="M99" s="135">
        <f t="shared" si="38"/>
        <v>-37268.753600000004</v>
      </c>
      <c r="N99" s="135">
        <f t="shared" si="38"/>
        <v>26047.819008809256</v>
      </c>
      <c r="O99" s="135">
        <f t="shared" si="38"/>
        <v>130744.15633064345</v>
      </c>
      <c r="P99" s="135">
        <f t="shared" si="38"/>
        <v>241640.74244953238</v>
      </c>
      <c r="Q99" s="135">
        <f t="shared" si="38"/>
        <v>341401.46834117931</v>
      </c>
      <c r="R99" s="135">
        <f t="shared" si="38"/>
        <v>353724.68886541657</v>
      </c>
      <c r="S99" s="135">
        <f t="shared" si="38"/>
        <v>392253.73883244762</v>
      </c>
      <c r="T99" s="135">
        <f t="shared" si="38"/>
        <v>389058.76487733389</v>
      </c>
      <c r="U99" s="135">
        <f t="shared" si="38"/>
        <v>338907.32164837501</v>
      </c>
      <c r="V99" s="135">
        <f t="shared" si="38"/>
        <v>266652.69486092875</v>
      </c>
      <c r="W99" s="135"/>
      <c r="X99" s="135"/>
    </row>
    <row r="100" spans="2:33">
      <c r="B100" s="121"/>
      <c r="D100" s="121"/>
      <c r="E100" s="121"/>
      <c r="F100" s="121"/>
      <c r="G100" s="121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</row>
    <row r="101" spans="2:33">
      <c r="B101" s="121"/>
      <c r="C101" s="130" t="s">
        <v>188</v>
      </c>
      <c r="D101" s="121"/>
      <c r="E101" s="131" t="s">
        <v>180</v>
      </c>
      <c r="F101" s="121"/>
      <c r="G101" s="121"/>
      <c r="H101" s="135"/>
      <c r="I101" s="135"/>
      <c r="J101" s="144">
        <f>-SUM(Drivers!I239:I240)</f>
        <v>0</v>
      </c>
      <c r="K101" s="144">
        <f>-SUM(Drivers!J239:J240)</f>
        <v>0</v>
      </c>
      <c r="L101" s="144">
        <f>-SUM(Drivers!K214:K215)</f>
        <v>0</v>
      </c>
      <c r="M101" s="144">
        <f>-SUM(Drivers!L214:L215)</f>
        <v>2521.0223999999998</v>
      </c>
      <c r="N101" s="144">
        <f>-SUM(Drivers!M214:M215)</f>
        <v>7747.053353999996</v>
      </c>
      <c r="O101" s="144">
        <f>-SUM(Drivers!N214:N215)</f>
        <v>14223.754400114245</v>
      </c>
      <c r="P101" s="144">
        <f>-SUM(Drivers!O214:O215)</f>
        <v>20995.095161557732</v>
      </c>
      <c r="Q101" s="144">
        <f>-SUM(Drivers!P214:P215)</f>
        <v>27239.059838333571</v>
      </c>
      <c r="R101" s="144">
        <f>-SUM(Drivers!Q214:Q215)</f>
        <v>32178.040480536358</v>
      </c>
      <c r="S101" s="144">
        <f>-SUM(Drivers!R214:R215)</f>
        <v>33843.793068455212</v>
      </c>
      <c r="T101" s="144">
        <f>-SUM(Drivers!S214:S215)</f>
        <v>32532.002653728079</v>
      </c>
      <c r="U101" s="144">
        <f>-SUM(Drivers!T214:T215)</f>
        <v>27100.494884275635</v>
      </c>
      <c r="V101" s="144">
        <f>-SUM(Drivers!U214:U215)</f>
        <v>20555.350112695927</v>
      </c>
      <c r="W101" s="144"/>
      <c r="X101" s="144"/>
      <c r="AC101" s="57"/>
      <c r="AD101" s="57"/>
      <c r="AE101" s="57"/>
      <c r="AF101" s="57"/>
      <c r="AG101" s="57"/>
    </row>
    <row r="102" spans="2:33">
      <c r="B102" s="121"/>
      <c r="C102" s="130" t="s">
        <v>187</v>
      </c>
      <c r="D102" s="121"/>
      <c r="E102" s="131" t="s">
        <v>180</v>
      </c>
      <c r="F102" s="121"/>
      <c r="G102" s="121"/>
      <c r="H102" s="135"/>
      <c r="I102" s="135"/>
      <c r="J102" s="144">
        <f>(I$59-J$59)*(J91/Drivers!I$9)</f>
        <v>0</v>
      </c>
      <c r="K102" s="144">
        <f>(J$59-K$59)*(K91/Drivers!J$9)</f>
        <v>0</v>
      </c>
      <c r="L102" s="144">
        <f>(K$59-L$59)*(L91/Drivers!K$9)</f>
        <v>0</v>
      </c>
      <c r="M102" s="144">
        <f>(L$59-M$59)*(M91/Drivers!L$9)</f>
        <v>-4002.9190649511183</v>
      </c>
      <c r="N102" s="144">
        <f>(M$59-N$59)*(N91/Drivers!M$9)</f>
        <v>-13878.402468542643</v>
      </c>
      <c r="O102" s="144">
        <f>(N$59-O$59)*(O91/Drivers!N$9)</f>
        <v>-14108.139949672979</v>
      </c>
      <c r="P102" s="144">
        <f>(O$59-P$59)*(P91/Drivers!O$9)</f>
        <v>-8010.7906440404731</v>
      </c>
      <c r="Q102" s="144">
        <f>(P$59-Q$59)*(Q91/Drivers!P$9)</f>
        <v>-21476.440039456789</v>
      </c>
      <c r="R102" s="144">
        <f>(Q$59-R$59)*(R91/Drivers!Q$9)</f>
        <v>319.56453537127146</v>
      </c>
      <c r="S102" s="144">
        <f>(R$59-S$59)*(S91/Drivers!R$9)</f>
        <v>17273.95078232808</v>
      </c>
      <c r="T102" s="144">
        <f>(S$59-T$59)*(T91/Drivers!S$9)</f>
        <v>25529.612733183094</v>
      </c>
      <c r="U102" s="144">
        <f>(T$59-U$59)*(U91/Drivers!T$9)</f>
        <v>27081.206245033445</v>
      </c>
      <c r="V102" s="144">
        <f>(U$59-V$59)*(V91/Drivers!U$9)</f>
        <v>4927.5540394238087</v>
      </c>
      <c r="W102" s="144"/>
      <c r="X102" s="144"/>
      <c r="Z102" s="57"/>
      <c r="AA102" s="57"/>
      <c r="AB102" s="57"/>
      <c r="AC102" s="57"/>
    </row>
    <row r="103" spans="2:33">
      <c r="B103" s="121"/>
      <c r="C103" s="130" t="s">
        <v>189</v>
      </c>
      <c r="D103" s="121"/>
      <c r="E103" s="131" t="s">
        <v>180</v>
      </c>
      <c r="F103" s="121"/>
      <c r="G103" s="121"/>
      <c r="H103" s="135"/>
      <c r="I103" s="135"/>
      <c r="J103" s="144">
        <f>J$62*(J91/Drivers!I$9)</f>
        <v>0</v>
      </c>
      <c r="K103" s="144">
        <f>K$62*(K91/Drivers!J$9)</f>
        <v>0</v>
      </c>
      <c r="L103" s="144">
        <f>L$62*(L91/Drivers!K$9)</f>
        <v>0</v>
      </c>
      <c r="M103" s="144">
        <f>M$62*(M91/Drivers!L$9)</f>
        <v>-280.48489151677848</v>
      </c>
      <c r="N103" s="144">
        <f>N$62*(N91/Drivers!M$9)</f>
        <v>-254.09488751209275</v>
      </c>
      <c r="O103" s="144">
        <f>O$62*(O91/Drivers!N$9)</f>
        <v>-360.62156260969743</v>
      </c>
      <c r="P103" s="144">
        <f>P$62*(P91/Drivers!O$9)</f>
        <v>-482.69363466095604</v>
      </c>
      <c r="Q103" s="144">
        <f>Q$62*(Q91/Drivers!P$9)</f>
        <v>-522.81266002450639</v>
      </c>
      <c r="R103" s="144">
        <f>R$62*(R91/Drivers!Q$9)</f>
        <v>-4923.068106892767</v>
      </c>
      <c r="S103" s="144">
        <f>S$62*(S91/Drivers!R$9)</f>
        <v>-4221.2518906229589</v>
      </c>
      <c r="T103" s="144">
        <f>T$62*(T91/Drivers!S$9)</f>
        <v>-2468.8519549988187</v>
      </c>
      <c r="U103" s="144">
        <f>U$62*(U91/Drivers!T$9)</f>
        <v>-1842.8258726869678</v>
      </c>
      <c r="V103" s="144">
        <f>V$62*(V91/Drivers!U$9)</f>
        <v>-1663.9430333805255</v>
      </c>
      <c r="W103" s="144"/>
      <c r="X103" s="144"/>
    </row>
    <row r="104" spans="2:33">
      <c r="B104" s="121"/>
      <c r="C104" s="133" t="s">
        <v>190</v>
      </c>
      <c r="D104" s="121"/>
      <c r="E104" s="131" t="s">
        <v>180</v>
      </c>
      <c r="F104" s="121"/>
      <c r="G104" s="121"/>
      <c r="H104" s="144"/>
      <c r="I104" s="144"/>
      <c r="J104" s="136">
        <f>-J$64*(J91/Drivers!I$9)</f>
        <v>0</v>
      </c>
      <c r="K104" s="136">
        <f>-K$64*(K91/Drivers!J$9)</f>
        <v>0</v>
      </c>
      <c r="L104" s="136">
        <f>-L$64*(L91/Drivers!K$9)</f>
        <v>0</v>
      </c>
      <c r="M104" s="136">
        <f>-M$64*(M91/Drivers!L$9)</f>
        <v>989.62003333701159</v>
      </c>
      <c r="N104" s="136">
        <f>-N$64*(N91/Drivers!M$9)</f>
        <v>1622.9921766988841</v>
      </c>
      <c r="O104" s="136">
        <f>-O$64*(O91/Drivers!N$9)</f>
        <v>2129.975942077162</v>
      </c>
      <c r="P104" s="136">
        <f>-P$64*(P91/Drivers!O$9)</f>
        <v>2213.9048870101997</v>
      </c>
      <c r="Q104" s="136">
        <f>-Q$64*(Q91/Drivers!P$9)</f>
        <v>2169.444065588511</v>
      </c>
      <c r="R104" s="136">
        <f>-R$64*(R91/Drivers!Q$9)</f>
        <v>3831.8728775445693</v>
      </c>
      <c r="S104" s="136">
        <f>-S$64*(S91/Drivers!R$9)</f>
        <v>4121.4220309637385</v>
      </c>
      <c r="T104" s="136">
        <f>-T$64*(T91/Drivers!S$9)</f>
        <v>4269.16888283966</v>
      </c>
      <c r="U104" s="136">
        <f>-U$64*(U91/Drivers!T$9)</f>
        <v>4169.4633874006813</v>
      </c>
      <c r="V104" s="136">
        <f>-V$64*(V91/Drivers!U$9)</f>
        <v>3444.9464423053173</v>
      </c>
      <c r="W104" s="144"/>
      <c r="X104" s="144"/>
    </row>
    <row r="105" spans="2:33">
      <c r="B105" s="121"/>
      <c r="C105" s="126" t="s">
        <v>191</v>
      </c>
      <c r="D105" s="121"/>
      <c r="E105" s="127" t="s">
        <v>180</v>
      </c>
      <c r="F105" s="121"/>
      <c r="G105" s="121"/>
      <c r="H105" s="135"/>
      <c r="I105" s="135"/>
      <c r="J105" s="135">
        <f t="shared" ref="J105:K105" si="39">SUM(J99:J104)</f>
        <v>-24412</v>
      </c>
      <c r="K105" s="135">
        <f t="shared" si="39"/>
        <v>-51323</v>
      </c>
      <c r="L105" s="135">
        <f t="shared" ref="L105:V105" si="40">SUM(L99:L104)</f>
        <v>-100700.14</v>
      </c>
      <c r="M105" s="135">
        <f t="shared" si="40"/>
        <v>-38041.515123130885</v>
      </c>
      <c r="N105" s="135">
        <f t="shared" si="40"/>
        <v>21285.367183453407</v>
      </c>
      <c r="O105" s="135">
        <f t="shared" si="40"/>
        <v>132629.12516055218</v>
      </c>
      <c r="P105" s="135">
        <f t="shared" si="40"/>
        <v>256356.25821939888</v>
      </c>
      <c r="Q105" s="135">
        <f t="shared" si="40"/>
        <v>348810.71954562014</v>
      </c>
      <c r="R105" s="135">
        <f t="shared" si="40"/>
        <v>385131.09865197598</v>
      </c>
      <c r="S105" s="135">
        <f t="shared" si="40"/>
        <v>443271.65282357176</v>
      </c>
      <c r="T105" s="135">
        <f t="shared" si="40"/>
        <v>448920.69719208591</v>
      </c>
      <c r="U105" s="135">
        <f t="shared" si="40"/>
        <v>395415.66029239778</v>
      </c>
      <c r="V105" s="135">
        <f t="shared" si="40"/>
        <v>293916.60242197331</v>
      </c>
      <c r="W105" s="135"/>
      <c r="X105" s="135"/>
    </row>
    <row r="106" spans="2:33">
      <c r="B106" s="121"/>
      <c r="C106" s="137" t="s">
        <v>192</v>
      </c>
      <c r="D106" s="121"/>
      <c r="E106" s="131" t="s">
        <v>15</v>
      </c>
      <c r="F106" s="121"/>
      <c r="G106" s="121"/>
      <c r="H106" s="145"/>
      <c r="I106" s="145"/>
      <c r="J106" s="145"/>
      <c r="K106" s="145"/>
      <c r="L106" s="138" t="e">
        <f t="shared" ref="L106:V106" si="41">L105/L91</f>
        <v>#DIV/0!</v>
      </c>
      <c r="M106" s="138">
        <f t="shared" si="41"/>
        <v>-1.2071773776585528</v>
      </c>
      <c r="N106" s="138">
        <f t="shared" si="41"/>
        <v>0.21980349132319574</v>
      </c>
      <c r="O106" s="138">
        <f t="shared" si="41"/>
        <v>0.66753630747608994</v>
      </c>
      <c r="P106" s="138">
        <f t="shared" si="41"/>
        <v>0.84019615227687239</v>
      </c>
      <c r="Q106" s="138">
        <f t="shared" si="41"/>
        <v>0.81829129588742733</v>
      </c>
      <c r="R106" s="138">
        <f t="shared" si="41"/>
        <v>0.72456089633666565</v>
      </c>
      <c r="S106" s="138">
        <f t="shared" si="41"/>
        <v>0.75520066039508282</v>
      </c>
      <c r="T106" s="138">
        <f t="shared" si="41"/>
        <v>0.77086059574996868</v>
      </c>
      <c r="U106" s="138">
        <f t="shared" si="41"/>
        <v>0.77498531960887784</v>
      </c>
      <c r="V106" s="138">
        <f t="shared" si="41"/>
        <v>0.72341608248546618</v>
      </c>
      <c r="W106" s="145"/>
      <c r="X106" s="145"/>
    </row>
    <row r="107" spans="2:33">
      <c r="B107" s="121"/>
      <c r="C107" s="137"/>
      <c r="D107" s="121"/>
      <c r="E107" s="131"/>
      <c r="F107" s="121"/>
      <c r="G107" s="121"/>
      <c r="H107" s="145"/>
      <c r="I107" s="145"/>
      <c r="J107" s="145"/>
      <c r="K107" s="145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45"/>
      <c r="X107" s="145"/>
    </row>
    <row r="108" spans="2:33">
      <c r="B108" s="121"/>
      <c r="C108" s="133" t="s">
        <v>149</v>
      </c>
      <c r="D108" s="121"/>
      <c r="E108" s="131" t="s">
        <v>15</v>
      </c>
      <c r="F108" s="121"/>
      <c r="G108" s="121"/>
      <c r="H108" s="145"/>
      <c r="I108" s="145"/>
      <c r="J108" s="139">
        <v>0.8</v>
      </c>
      <c r="K108" s="139">
        <v>0.8</v>
      </c>
      <c r="L108" s="139">
        <v>0.8</v>
      </c>
      <c r="M108" s="139">
        <v>0.8</v>
      </c>
      <c r="N108" s="139">
        <v>0.8</v>
      </c>
      <c r="O108" s="139">
        <v>0.8</v>
      </c>
      <c r="P108" s="139">
        <v>0.8</v>
      </c>
      <c r="Q108" s="139">
        <v>0.8</v>
      </c>
      <c r="R108" s="139">
        <v>0.8</v>
      </c>
      <c r="S108" s="139">
        <v>0.8</v>
      </c>
      <c r="T108" s="139">
        <v>0.8</v>
      </c>
      <c r="U108" s="139">
        <v>0.8</v>
      </c>
      <c r="V108" s="139">
        <v>0.8</v>
      </c>
      <c r="W108" s="145"/>
      <c r="X108" s="145"/>
    </row>
    <row r="109" spans="2:33">
      <c r="B109" s="121"/>
      <c r="C109" s="126" t="s">
        <v>193</v>
      </c>
      <c r="D109" s="121"/>
      <c r="E109" s="127" t="s">
        <v>180</v>
      </c>
      <c r="F109" s="121"/>
      <c r="G109" s="121"/>
      <c r="H109" s="135"/>
      <c r="I109" s="135"/>
      <c r="J109" s="135">
        <f>J105*J108</f>
        <v>-19529.600000000002</v>
      </c>
      <c r="K109" s="135">
        <f>K105*K108</f>
        <v>-41058.400000000001</v>
      </c>
      <c r="L109" s="135">
        <f t="shared" ref="L109:V109" si="42">L105*L108</f>
        <v>-80560.112000000008</v>
      </c>
      <c r="M109" s="135">
        <f t="shared" si="42"/>
        <v>-30433.212098504708</v>
      </c>
      <c r="N109" s="135">
        <f t="shared" si="42"/>
        <v>17028.293746762727</v>
      </c>
      <c r="O109" s="135">
        <f t="shared" si="42"/>
        <v>106103.30012844176</v>
      </c>
      <c r="P109" s="135">
        <f t="shared" si="42"/>
        <v>205085.0065755191</v>
      </c>
      <c r="Q109" s="135">
        <f t="shared" si="42"/>
        <v>279048.57563649613</v>
      </c>
      <c r="R109" s="135">
        <f t="shared" si="42"/>
        <v>308104.87892158079</v>
      </c>
      <c r="S109" s="135">
        <f t="shared" si="42"/>
        <v>354617.32225885743</v>
      </c>
      <c r="T109" s="135">
        <f t="shared" si="42"/>
        <v>359136.55775366875</v>
      </c>
      <c r="U109" s="135">
        <f t="shared" si="42"/>
        <v>316332.52823391824</v>
      </c>
      <c r="V109" s="135">
        <f t="shared" si="42"/>
        <v>235133.28193757866</v>
      </c>
      <c r="W109" s="135"/>
      <c r="X109" s="135"/>
    </row>
    <row r="110" spans="2:33">
      <c r="B110" s="121"/>
      <c r="C110" s="137" t="s">
        <v>192</v>
      </c>
      <c r="D110" s="121"/>
      <c r="E110" s="131"/>
      <c r="F110" s="121"/>
      <c r="G110" s="121"/>
      <c r="H110" s="145"/>
      <c r="I110" s="145"/>
      <c r="J110" s="138"/>
      <c r="K110" s="138"/>
      <c r="L110" s="138"/>
      <c r="M110" s="138">
        <f t="shared" ref="M110:V110" si="43">M109/M91</f>
        <v>-0.9657419021268423</v>
      </c>
      <c r="N110" s="138">
        <f t="shared" si="43"/>
        <v>0.1758427930585566</v>
      </c>
      <c r="O110" s="138">
        <f t="shared" si="43"/>
        <v>0.53402904598087197</v>
      </c>
      <c r="P110" s="138">
        <f t="shared" si="43"/>
        <v>0.67215692182149789</v>
      </c>
      <c r="Q110" s="138">
        <f t="shared" si="43"/>
        <v>0.65463303670994188</v>
      </c>
      <c r="R110" s="138">
        <f t="shared" si="43"/>
        <v>0.57964871706933252</v>
      </c>
      <c r="S110" s="138">
        <f t="shared" si="43"/>
        <v>0.60416052831606626</v>
      </c>
      <c r="T110" s="138">
        <f t="shared" si="43"/>
        <v>0.61668847659997506</v>
      </c>
      <c r="U110" s="138">
        <f t="shared" si="43"/>
        <v>0.61998825568710236</v>
      </c>
      <c r="V110" s="138">
        <f t="shared" si="43"/>
        <v>0.57873286598837292</v>
      </c>
      <c r="W110" s="145"/>
      <c r="X110" s="145"/>
    </row>
    <row r="111" spans="2:33">
      <c r="B111" s="121"/>
      <c r="C111" s="141"/>
      <c r="D111" s="121"/>
      <c r="E111" s="127"/>
      <c r="F111" s="121"/>
      <c r="G111" s="121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</row>
    <row r="112" spans="2:33">
      <c r="B112" s="122" t="str">
        <f>Drivers!B218</f>
        <v>DTX - 401</v>
      </c>
      <c r="C112" s="122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26"/>
      <c r="R112" s="124"/>
      <c r="S112" s="124"/>
      <c r="T112" s="124"/>
      <c r="U112" s="209" t="s">
        <v>266</v>
      </c>
      <c r="V112" s="26"/>
      <c r="W112" s="26"/>
      <c r="X112" s="26"/>
    </row>
    <row r="113" spans="2:32">
      <c r="B113" s="121"/>
      <c r="C113" s="142"/>
      <c r="D113" s="121"/>
      <c r="E113" s="131"/>
      <c r="F113" s="121"/>
      <c r="G113" s="121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</row>
    <row r="114" spans="2:32">
      <c r="B114" s="121"/>
      <c r="C114" s="126" t="s">
        <v>179</v>
      </c>
      <c r="D114" s="121"/>
      <c r="E114" s="127" t="s">
        <v>180</v>
      </c>
      <c r="F114" s="121"/>
      <c r="G114" s="121"/>
      <c r="H114" s="128"/>
      <c r="I114" s="128"/>
      <c r="J114" s="128"/>
      <c r="K114" s="128"/>
      <c r="L114" s="128">
        <f>Drivers!K260</f>
        <v>0</v>
      </c>
      <c r="M114" s="128">
        <f>Drivers!L260</f>
        <v>258156.35999999996</v>
      </c>
      <c r="N114" s="128">
        <f>Drivers!M260</f>
        <v>363316.09274999995</v>
      </c>
      <c r="O114" s="128">
        <f>Drivers!N260</f>
        <v>424658.70869399986</v>
      </c>
      <c r="P114" s="128">
        <f>Drivers!O260</f>
        <v>452395.94100716227</v>
      </c>
      <c r="Q114" s="128">
        <f>Drivers!P260</f>
        <v>443023.36949170008</v>
      </c>
      <c r="R114" s="128">
        <f>Drivers!Q260</f>
        <v>437654.90787002037</v>
      </c>
      <c r="S114" s="128">
        <f>Drivers!R260</f>
        <v>419041.46788362495</v>
      </c>
      <c r="T114" s="128">
        <f>Drivers!S260</f>
        <v>410579.74296946346</v>
      </c>
      <c r="U114" s="128">
        <f>Drivers!T260</f>
        <v>394831.24362726178</v>
      </c>
      <c r="V114" s="128">
        <f>Drivers!U260</f>
        <v>389342.30490790843</v>
      </c>
      <c r="W114" s="128">
        <f>Drivers!V260</f>
        <v>380830.69768870808</v>
      </c>
      <c r="X114" s="128"/>
      <c r="Y114" s="128"/>
      <c r="Z114" s="128"/>
      <c r="AA114" s="128"/>
      <c r="AB114" s="128"/>
      <c r="AC114" s="128"/>
      <c r="AD114" s="128"/>
      <c r="AE114" s="128"/>
      <c r="AF114" s="128"/>
    </row>
    <row r="115" spans="2:32">
      <c r="B115" s="121"/>
      <c r="C115" s="129"/>
      <c r="D115" s="121"/>
      <c r="E115" s="121"/>
      <c r="F115" s="121"/>
      <c r="G115" s="121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</row>
    <row r="116" spans="2:32">
      <c r="B116" s="121"/>
      <c r="C116" s="130" t="s">
        <v>181</v>
      </c>
      <c r="D116" s="121"/>
      <c r="E116" s="131" t="s">
        <v>180</v>
      </c>
      <c r="F116" s="121"/>
      <c r="G116" s="121"/>
      <c r="H116" s="132"/>
      <c r="I116" s="132"/>
      <c r="J116" s="132"/>
      <c r="K116" s="132"/>
      <c r="L116" s="132">
        <f t="shared" ref="L116:W116" si="44">-L114*COGS</f>
        <v>0</v>
      </c>
      <c r="M116" s="132">
        <f t="shared" si="44"/>
        <v>-30978.763199999994</v>
      </c>
      <c r="N116" s="132">
        <f t="shared" si="44"/>
        <v>-43597.93112999999</v>
      </c>
      <c r="O116" s="132">
        <f t="shared" si="44"/>
        <v>-50959.045043279984</v>
      </c>
      <c r="P116" s="132">
        <f t="shared" si="44"/>
        <v>-54287.512920859474</v>
      </c>
      <c r="Q116" s="132">
        <f t="shared" si="44"/>
        <v>-53162.804339004011</v>
      </c>
      <c r="R116" s="132">
        <f t="shared" si="44"/>
        <v>-52518.588944402443</v>
      </c>
      <c r="S116" s="132">
        <f t="shared" si="44"/>
        <v>-50284.976146034991</v>
      </c>
      <c r="T116" s="132">
        <f t="shared" si="44"/>
        <v>-49269.569156335616</v>
      </c>
      <c r="U116" s="132">
        <f t="shared" si="44"/>
        <v>-47379.749235271411</v>
      </c>
      <c r="V116" s="132">
        <f t="shared" si="44"/>
        <v>-46721.076588949007</v>
      </c>
      <c r="W116" s="132">
        <f t="shared" si="44"/>
        <v>-45699.683722644972</v>
      </c>
      <c r="X116" s="132"/>
    </row>
    <row r="117" spans="2:32">
      <c r="B117" s="121"/>
      <c r="C117" s="130" t="s">
        <v>182</v>
      </c>
      <c r="D117" s="121"/>
      <c r="E117" s="131" t="s">
        <v>180</v>
      </c>
      <c r="F117" s="121"/>
      <c r="G117" s="121"/>
      <c r="H117" s="132"/>
      <c r="I117" s="132"/>
      <c r="J117" s="132">
        <v>0</v>
      </c>
      <c r="K117" s="132">
        <v>-10000</v>
      </c>
      <c r="L117" s="132">
        <v>-30000</v>
      </c>
      <c r="M117" s="132">
        <v>-50000</v>
      </c>
      <c r="N117" s="132">
        <f>-M114*0.15</f>
        <v>-38723.453999999991</v>
      </c>
      <c r="O117" s="132">
        <f>-N114*0.07</f>
        <v>-25432.1264925</v>
      </c>
      <c r="P117" s="132">
        <v>-20000</v>
      </c>
      <c r="Q117" s="132">
        <v>-15000</v>
      </c>
      <c r="R117" s="132">
        <v>-10000</v>
      </c>
      <c r="S117" s="132">
        <v>-10000</v>
      </c>
      <c r="T117" s="132">
        <v>-10000</v>
      </c>
      <c r="U117" s="132">
        <v>-10000</v>
      </c>
      <c r="V117" s="132">
        <v>-10000</v>
      </c>
      <c r="W117" s="132">
        <v>-10000</v>
      </c>
      <c r="X117" s="132"/>
    </row>
    <row r="118" spans="2:32">
      <c r="B118" s="121"/>
      <c r="C118" s="133" t="s">
        <v>183</v>
      </c>
      <c r="D118" s="121"/>
      <c r="E118" s="131" t="s">
        <v>180</v>
      </c>
      <c r="F118" s="121"/>
      <c r="G118" s="121"/>
      <c r="H118" s="132"/>
      <c r="I118" s="132"/>
      <c r="J118" s="55">
        <v>-72103</v>
      </c>
      <c r="K118" s="55">
        <v>-75340</v>
      </c>
      <c r="L118" s="134">
        <v>-85064.14</v>
      </c>
      <c r="M118" s="134">
        <v>-15000</v>
      </c>
      <c r="N118" s="134">
        <v>-10000</v>
      </c>
      <c r="O118" s="134">
        <v>-10000</v>
      </c>
      <c r="P118" s="134">
        <v>-10000</v>
      </c>
      <c r="Q118" s="134">
        <v>-10000</v>
      </c>
      <c r="R118" s="134">
        <v>-10000</v>
      </c>
      <c r="S118" s="134">
        <v>-10000</v>
      </c>
      <c r="T118" s="134">
        <v>-10000</v>
      </c>
      <c r="U118" s="134">
        <v>-10000</v>
      </c>
      <c r="V118" s="134">
        <v>-10000</v>
      </c>
      <c r="W118" s="134">
        <v>-10000</v>
      </c>
      <c r="X118" s="132"/>
    </row>
    <row r="119" spans="2:32">
      <c r="B119" s="121"/>
      <c r="C119" s="126" t="s">
        <v>184</v>
      </c>
      <c r="D119" s="121"/>
      <c r="E119" s="127" t="s">
        <v>180</v>
      </c>
      <c r="F119" s="121"/>
      <c r="G119" s="121"/>
      <c r="H119" s="135"/>
      <c r="I119" s="135"/>
      <c r="J119" s="135">
        <f t="shared" ref="J119:W119" si="45">SUM(J114:J118)</f>
        <v>-72103</v>
      </c>
      <c r="K119" s="135">
        <f t="shared" si="45"/>
        <v>-85340</v>
      </c>
      <c r="L119" s="135">
        <f t="shared" si="45"/>
        <v>-115064.14</v>
      </c>
      <c r="M119" s="135">
        <f t="shared" si="45"/>
        <v>162177.59679999997</v>
      </c>
      <c r="N119" s="135">
        <f t="shared" si="45"/>
        <v>270994.70762</v>
      </c>
      <c r="O119" s="135">
        <f t="shared" si="45"/>
        <v>338267.53715821984</v>
      </c>
      <c r="P119" s="135">
        <f t="shared" si="45"/>
        <v>368108.42808630283</v>
      </c>
      <c r="Q119" s="135">
        <f t="shared" si="45"/>
        <v>364860.5651526961</v>
      </c>
      <c r="R119" s="135">
        <f t="shared" si="45"/>
        <v>365136.3189256179</v>
      </c>
      <c r="S119" s="135">
        <f t="shared" si="45"/>
        <v>348756.49173758994</v>
      </c>
      <c r="T119" s="135">
        <f t="shared" si="45"/>
        <v>341310.17381312785</v>
      </c>
      <c r="U119" s="135">
        <f t="shared" si="45"/>
        <v>327451.49439199036</v>
      </c>
      <c r="V119" s="135">
        <f t="shared" si="45"/>
        <v>322621.22831895942</v>
      </c>
      <c r="W119" s="135">
        <f t="shared" si="45"/>
        <v>315131.0139660631</v>
      </c>
      <c r="X119" s="135"/>
      <c r="AA119" s="42"/>
      <c r="AB119" s="247"/>
      <c r="AC119" s="247"/>
      <c r="AD119" s="247"/>
      <c r="AE119" s="247"/>
    </row>
    <row r="120" spans="2:32">
      <c r="B120" s="121"/>
      <c r="C120" s="129"/>
      <c r="D120" s="121"/>
      <c r="E120" s="121"/>
      <c r="F120" s="121"/>
      <c r="G120" s="121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Z120" s="248"/>
      <c r="AA120" s="81"/>
      <c r="AB120" s="81"/>
      <c r="AC120" s="81"/>
      <c r="AD120" s="81"/>
      <c r="AE120" s="81"/>
      <c r="AF120" s="81"/>
    </row>
    <row r="121" spans="2:32">
      <c r="B121" s="121"/>
      <c r="C121" s="133" t="s">
        <v>185</v>
      </c>
      <c r="D121" s="121"/>
      <c r="E121" s="131" t="s">
        <v>180</v>
      </c>
      <c r="F121" s="121"/>
      <c r="G121" s="121"/>
      <c r="H121" s="132"/>
      <c r="I121" s="132"/>
      <c r="J121" s="134"/>
      <c r="K121" s="134"/>
      <c r="L121" s="134">
        <f>(L114/Drivers!K$9)*Model!K$80</f>
        <v>0</v>
      </c>
      <c r="M121" s="134">
        <f>(M114/Drivers!L$9)*Model!L$80</f>
        <v>0</v>
      </c>
      <c r="N121" s="134">
        <f>(N114/Drivers!M$9)*Model!M$80</f>
        <v>-2816.4074145632771</v>
      </c>
      <c r="O121" s="134">
        <f>(O114/Drivers!N$9)*Model!N$80</f>
        <v>-9181.0741040866833</v>
      </c>
      <c r="P121" s="134">
        <f>(P114/Drivers!O$9)*Model!O$80</f>
        <v>-10171.755111560791</v>
      </c>
      <c r="Q121" s="134">
        <f>(Q114/Drivers!P$9)*Model!P$80</f>
        <v>-14252.71778608782</v>
      </c>
      <c r="R121" s="134">
        <f t="shared" ref="R121:W121" si="46">R119*-Tax_Rate</f>
        <v>-76678.62697437976</v>
      </c>
      <c r="S121" s="134">
        <f t="shared" si="46"/>
        <v>-73238.86326489388</v>
      </c>
      <c r="T121" s="134">
        <f t="shared" si="46"/>
        <v>-71675.136500756853</v>
      </c>
      <c r="U121" s="134">
        <f t="shared" si="46"/>
        <v>-68764.81382231797</v>
      </c>
      <c r="V121" s="134">
        <f t="shared" si="46"/>
        <v>-67750.457946981478</v>
      </c>
      <c r="W121" s="134">
        <f t="shared" si="46"/>
        <v>-66177.512932873244</v>
      </c>
      <c r="X121" s="132"/>
      <c r="Z121" s="248"/>
    </row>
    <row r="122" spans="2:32">
      <c r="B122" s="121"/>
      <c r="C122" s="126" t="s">
        <v>186</v>
      </c>
      <c r="D122" s="121"/>
      <c r="E122" s="127" t="s">
        <v>180</v>
      </c>
      <c r="F122" s="121"/>
      <c r="G122" s="121"/>
      <c r="H122" s="135"/>
      <c r="I122" s="135"/>
      <c r="J122" s="135">
        <f t="shared" ref="J122:M122" si="47">SUM(J119:J121)</f>
        <v>-72103</v>
      </c>
      <c r="K122" s="135">
        <f t="shared" si="47"/>
        <v>-85340</v>
      </c>
      <c r="L122" s="135">
        <f t="shared" si="47"/>
        <v>-115064.14</v>
      </c>
      <c r="M122" s="135">
        <f t="shared" si="47"/>
        <v>162177.59679999997</v>
      </c>
      <c r="N122" s="135">
        <f t="shared" ref="N122:W122" si="48">SUM(N119:N121)</f>
        <v>268178.30020543671</v>
      </c>
      <c r="O122" s="135">
        <f t="shared" si="48"/>
        <v>329086.46305413317</v>
      </c>
      <c r="P122" s="135">
        <f t="shared" si="48"/>
        <v>357936.67297474202</v>
      </c>
      <c r="Q122" s="135">
        <f t="shared" si="48"/>
        <v>350607.84736660827</v>
      </c>
      <c r="R122" s="135">
        <f t="shared" si="48"/>
        <v>288457.69195123814</v>
      </c>
      <c r="S122" s="135">
        <f t="shared" si="48"/>
        <v>275517.62847269606</v>
      </c>
      <c r="T122" s="135">
        <f t="shared" si="48"/>
        <v>269635.03731237102</v>
      </c>
      <c r="U122" s="135">
        <f t="shared" si="48"/>
        <v>258686.68056967237</v>
      </c>
      <c r="V122" s="135">
        <f t="shared" si="48"/>
        <v>254870.77037197794</v>
      </c>
      <c r="W122" s="135">
        <f t="shared" si="48"/>
        <v>248953.50103318985</v>
      </c>
      <c r="X122" s="135"/>
      <c r="Z122" s="248"/>
    </row>
    <row r="123" spans="2:32">
      <c r="B123" s="121"/>
      <c r="C123" s="129"/>
      <c r="D123" s="121"/>
      <c r="E123" s="121"/>
      <c r="F123" s="121"/>
      <c r="G123" s="121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Z123" s="248"/>
    </row>
    <row r="124" spans="2:32">
      <c r="B124" s="121"/>
      <c r="C124" s="130" t="s">
        <v>188</v>
      </c>
      <c r="D124" s="121"/>
      <c r="E124" s="121"/>
      <c r="F124" s="121"/>
      <c r="G124" s="121"/>
      <c r="H124" s="135"/>
      <c r="I124" s="135"/>
      <c r="J124" s="144">
        <v>0</v>
      </c>
      <c r="K124" s="144">
        <v>0</v>
      </c>
      <c r="L124" s="144">
        <v>0</v>
      </c>
      <c r="M124" s="144">
        <f>-Drivers!K263</f>
        <v>0</v>
      </c>
      <c r="N124" s="144">
        <f>-Drivers!L263</f>
        <v>-2760</v>
      </c>
      <c r="O124" s="144">
        <f>-Drivers!M263</f>
        <v>-11349</v>
      </c>
      <c r="P124" s="144">
        <f>-Drivers!N263</f>
        <v>-23268</v>
      </c>
      <c r="Q124" s="144">
        <f>-Drivers!O263</f>
        <v>-35594</v>
      </c>
      <c r="R124" s="144">
        <f>-Drivers!P263</f>
        <v>-42702</v>
      </c>
      <c r="S124" s="144">
        <f>-Drivers!Q263</f>
        <v>-43535</v>
      </c>
      <c r="T124" s="144">
        <f>-Drivers!R263</f>
        <v>-38180</v>
      </c>
      <c r="U124" s="144">
        <f>-Drivers!S263</f>
        <v>-32490</v>
      </c>
      <c r="V124" s="144">
        <f>-Drivers!T263</f>
        <v>-26510</v>
      </c>
      <c r="W124" s="144">
        <f>-Drivers!U263</f>
        <v>-20394</v>
      </c>
      <c r="X124" s="144"/>
      <c r="Z124" s="248"/>
    </row>
    <row r="125" spans="2:32">
      <c r="B125" s="121"/>
      <c r="C125" s="130" t="s">
        <v>187</v>
      </c>
      <c r="D125" s="121"/>
      <c r="E125" s="131" t="s">
        <v>180</v>
      </c>
      <c r="F125" s="121"/>
      <c r="G125" s="121"/>
      <c r="H125" s="135"/>
      <c r="I125" s="135"/>
      <c r="J125" s="144">
        <f>(I$59-J$59)*(J114/Drivers!I$9)</f>
        <v>0</v>
      </c>
      <c r="K125" s="144">
        <f>(J$59-K$59)*(K114/Drivers!J$9)</f>
        <v>0</v>
      </c>
      <c r="L125" s="144">
        <f>(K$59-L$59)*(L114/Drivers!K$9)</f>
        <v>0</v>
      </c>
      <c r="M125" s="144">
        <f>(L$59-M$59)*(M114/Drivers!L$9)</f>
        <v>-32792.378685167867</v>
      </c>
      <c r="N125" s="144">
        <f>(M$59-N$59)*(N114/Drivers!M$9)</f>
        <v>-52068.798063763737</v>
      </c>
      <c r="O125" s="144">
        <f>(N$59-O$59)*(O114/Drivers!N$9)</f>
        <v>-30154.059054826452</v>
      </c>
      <c r="P125" s="144">
        <f>(O$59-P$59)*(P114/Drivers!O$9)</f>
        <v>-11877.658812811573</v>
      </c>
      <c r="Q125" s="144">
        <f>(P$59-Q$59)*(Q114/Drivers!P$9)</f>
        <v>-22320.660315367211</v>
      </c>
      <c r="R125" s="144">
        <f>(Q$59-R$59)*(R114/Drivers!Q$9)</f>
        <v>263.12170983775508</v>
      </c>
      <c r="S125" s="144">
        <f>(R$59-S$59)*(S114/Drivers!R$9)</f>
        <v>12332.214846653276</v>
      </c>
      <c r="T125" s="144">
        <f>(S$59-T$59)*(T114/Drivers!S$9)</f>
        <v>17998.982843496949</v>
      </c>
      <c r="U125" s="144">
        <f>(T$59-U$59)*(U114/Drivers!T$9)</f>
        <v>20956.51810477921</v>
      </c>
      <c r="V125" s="144">
        <f>(U$59-V$59)*(V114/Drivers!U$9)</f>
        <v>4722.0114099357061</v>
      </c>
      <c r="W125" s="144">
        <f>(V$59-W$59)*(W114/Drivers!V$9)</f>
        <v>5997.0030094124322</v>
      </c>
      <c r="X125" s="144"/>
      <c r="Z125" s="248"/>
    </row>
    <row r="126" spans="2:32">
      <c r="B126" s="121"/>
      <c r="C126" s="130" t="s">
        <v>189</v>
      </c>
      <c r="D126" s="121"/>
      <c r="E126" s="131" t="s">
        <v>180</v>
      </c>
      <c r="F126" s="121"/>
      <c r="G126" s="121"/>
      <c r="H126" s="135"/>
      <c r="I126" s="135"/>
      <c r="J126" s="144">
        <f>J$62*(J114/Drivers!I$9)</f>
        <v>0</v>
      </c>
      <c r="K126" s="144">
        <f>K$62*(K114/Drivers!J$9)</f>
        <v>0</v>
      </c>
      <c r="L126" s="144">
        <f>L$62*(L114/Drivers!K$9)</f>
        <v>0</v>
      </c>
      <c r="M126" s="144">
        <f>M$62*(M114/Drivers!L$9)</f>
        <v>-2297.7648633020131</v>
      </c>
      <c r="N126" s="144">
        <f>N$62*(N114/Drivers!M$9)</f>
        <v>-953.30967788911755</v>
      </c>
      <c r="O126" s="144">
        <f>O$62*(O114/Drivers!N$9)</f>
        <v>-770.77516484578609</v>
      </c>
      <c r="P126" s="144">
        <f>P$62*(P114/Drivers!O$9)</f>
        <v>-715.69343880980693</v>
      </c>
      <c r="Q126" s="144">
        <f>Q$62*(Q114/Drivers!P$9)</f>
        <v>-543.36397333734885</v>
      </c>
      <c r="R126" s="144">
        <f>R$62*(R114/Drivers!Q$9)</f>
        <v>-4053.5352160663979</v>
      </c>
      <c r="S126" s="144">
        <f>S$62*(S114/Drivers!R$9)</f>
        <v>-3013.6351488427531</v>
      </c>
      <c r="T126" s="144">
        <f>T$62*(T114/Drivers!S$9)</f>
        <v>-1740.5992188592495</v>
      </c>
      <c r="U126" s="144">
        <f>U$62*(U114/Drivers!T$9)</f>
        <v>-1426.0522007583231</v>
      </c>
      <c r="V126" s="144">
        <f>V$62*(V114/Drivers!U$9)</f>
        <v>-1594.5351235609439</v>
      </c>
      <c r="W126" s="144">
        <f>W$62*(W114/Drivers!V$9)</f>
        <v>-2108.0158240241485</v>
      </c>
      <c r="X126" s="144"/>
      <c r="Z126" s="248"/>
    </row>
    <row r="127" spans="2:32">
      <c r="B127" s="121"/>
      <c r="C127" s="133" t="s">
        <v>190</v>
      </c>
      <c r="D127" s="121"/>
      <c r="E127" s="131" t="s">
        <v>180</v>
      </c>
      <c r="F127" s="121"/>
      <c r="G127" s="121"/>
      <c r="H127" s="144"/>
      <c r="I127" s="144"/>
      <c r="J127" s="136">
        <f>-J$64*(J114/Drivers!I$9)</f>
        <v>0</v>
      </c>
      <c r="K127" s="136">
        <f>-K$64*(K114/Drivers!J$9)</f>
        <v>0</v>
      </c>
      <c r="L127" s="136">
        <f>-L$64*(L114/Drivers!K$9)</f>
        <v>0</v>
      </c>
      <c r="M127" s="136">
        <f>-M$64*(M114/Drivers!L$9)</f>
        <v>8107.0824468473302</v>
      </c>
      <c r="N127" s="136">
        <f>-N$64*(N114/Drivers!M$9)</f>
        <v>6089.1195581876345</v>
      </c>
      <c r="O127" s="136">
        <f>-O$64*(O114/Drivers!N$9)</f>
        <v>4552.5080252867156</v>
      </c>
      <c r="P127" s="136">
        <f>-P$64*(P114/Drivers!O$9)</f>
        <v>3282.5732265873021</v>
      </c>
      <c r="Q127" s="136">
        <f>-Q$64*(Q114/Drivers!P$9)</f>
        <v>2254.7230347406858</v>
      </c>
      <c r="R127" s="136">
        <f>-R$64*(R114/Drivers!Q$9)</f>
        <v>3155.0714544999737</v>
      </c>
      <c r="S127" s="136">
        <f>-S$64*(S114/Drivers!R$9)</f>
        <v>2942.3646391057309</v>
      </c>
      <c r="T127" s="136">
        <f>-T$64*(T114/Drivers!S$9)</f>
        <v>3009.8653779555939</v>
      </c>
      <c r="U127" s="136">
        <f>-U$64*(U114/Drivers!T$9)</f>
        <v>3226.4971572786208</v>
      </c>
      <c r="V127" s="136">
        <f>-V$64*(V114/Drivers!U$9)</f>
        <v>3301.2476934875535</v>
      </c>
      <c r="W127" s="136">
        <f>-W$64*(W114/Drivers!V$9)</f>
        <v>4103.0302499185418</v>
      </c>
      <c r="X127" s="144"/>
      <c r="Z127" s="42"/>
      <c r="AA127" s="249"/>
      <c r="AB127" s="249"/>
      <c r="AC127" s="249"/>
      <c r="AD127" s="249"/>
      <c r="AE127" s="247"/>
    </row>
    <row r="128" spans="2:32">
      <c r="B128" s="121"/>
      <c r="C128" s="126" t="s">
        <v>191</v>
      </c>
      <c r="D128" s="121"/>
      <c r="E128" s="127" t="s">
        <v>180</v>
      </c>
      <c r="F128" s="121"/>
      <c r="G128" s="121"/>
      <c r="H128" s="135"/>
      <c r="I128" s="135"/>
      <c r="J128" s="135">
        <f t="shared" ref="J128:K128" si="49">SUM(J122:J127)</f>
        <v>-72103</v>
      </c>
      <c r="K128" s="135">
        <f t="shared" si="49"/>
        <v>-85340</v>
      </c>
      <c r="L128" s="135">
        <f t="shared" ref="L128:W128" si="50">SUM(L122:L127)</f>
        <v>-115064.14</v>
      </c>
      <c r="M128" s="135">
        <f t="shared" si="50"/>
        <v>135194.53569837741</v>
      </c>
      <c r="N128" s="135">
        <f t="shared" si="50"/>
        <v>218485.31202197151</v>
      </c>
      <c r="O128" s="135">
        <f t="shared" si="50"/>
        <v>291365.13685974764</v>
      </c>
      <c r="P128" s="135">
        <f t="shared" si="50"/>
        <v>325357.89394970791</v>
      </c>
      <c r="Q128" s="135">
        <f t="shared" si="50"/>
        <v>294404.54611264437</v>
      </c>
      <c r="R128" s="135">
        <f t="shared" si="50"/>
        <v>245120.34989950946</v>
      </c>
      <c r="S128" s="135">
        <f t="shared" si="50"/>
        <v>244243.57280961232</v>
      </c>
      <c r="T128" s="135">
        <f t="shared" si="50"/>
        <v>250723.28631496432</v>
      </c>
      <c r="U128" s="135">
        <f t="shared" si="50"/>
        <v>248953.64363097187</v>
      </c>
      <c r="V128" s="135">
        <f t="shared" si="50"/>
        <v>234789.49435184026</v>
      </c>
      <c r="W128" s="135">
        <f t="shared" si="50"/>
        <v>236551.51846849668</v>
      </c>
      <c r="X128" s="135"/>
      <c r="Z128" s="42"/>
      <c r="AA128" s="249"/>
      <c r="AB128" s="249"/>
      <c r="AC128" s="249"/>
      <c r="AD128" s="249"/>
      <c r="AE128" s="247"/>
    </row>
    <row r="129" spans="2:31">
      <c r="C129" s="137" t="s">
        <v>192</v>
      </c>
      <c r="D129" s="121"/>
      <c r="E129" s="131" t="s">
        <v>15</v>
      </c>
      <c r="F129" s="121"/>
      <c r="G129" s="121"/>
      <c r="H129" s="145"/>
      <c r="I129" s="145"/>
      <c r="J129" s="145"/>
      <c r="K129" s="145"/>
      <c r="L129" s="138"/>
      <c r="M129" s="138">
        <f t="shared" ref="M129:W129" si="51">M128/M114</f>
        <v>0.5236924463080338</v>
      </c>
      <c r="N129" s="138">
        <f t="shared" si="51"/>
        <v>0.60136425658500237</v>
      </c>
      <c r="O129" s="138">
        <f t="shared" si="51"/>
        <v>0.68611600538186357</v>
      </c>
      <c r="P129" s="138">
        <f t="shared" si="51"/>
        <v>0.71918835793568026</v>
      </c>
      <c r="Q129" s="138">
        <f t="shared" si="51"/>
        <v>0.66453502543314469</v>
      </c>
      <c r="R129" s="138">
        <f t="shared" si="51"/>
        <v>0.5600767762264145</v>
      </c>
      <c r="S129" s="138">
        <f t="shared" si="51"/>
        <v>0.58286253635748286</v>
      </c>
      <c r="T129" s="138">
        <f t="shared" si="51"/>
        <v>0.61065673747477522</v>
      </c>
      <c r="U129" s="138">
        <f t="shared" si="51"/>
        <v>0.6305317718625002</v>
      </c>
      <c r="V129" s="138">
        <f t="shared" si="51"/>
        <v>0.60304131195651933</v>
      </c>
      <c r="W129" s="138">
        <f t="shared" si="51"/>
        <v>0.62114614159033588</v>
      </c>
      <c r="X129" s="145"/>
      <c r="AA129" s="42"/>
      <c r="AB129" s="247"/>
      <c r="AC129" s="247"/>
      <c r="AD129" s="247"/>
      <c r="AE129" s="247"/>
    </row>
    <row r="130" spans="2:31">
      <c r="C130" s="137"/>
      <c r="D130" s="121"/>
      <c r="E130" s="131"/>
      <c r="F130" s="121"/>
      <c r="G130" s="121"/>
      <c r="H130" s="145"/>
      <c r="I130" s="145"/>
      <c r="J130" s="145"/>
      <c r="K130" s="145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45"/>
      <c r="AA130" s="42"/>
      <c r="AB130" s="247"/>
      <c r="AC130" s="247"/>
      <c r="AD130" s="247"/>
      <c r="AE130" s="247"/>
    </row>
    <row r="131" spans="2:31">
      <c r="C131" s="133" t="s">
        <v>149</v>
      </c>
      <c r="D131" s="121"/>
      <c r="E131" s="131" t="s">
        <v>15</v>
      </c>
      <c r="F131" s="121"/>
      <c r="G131" s="121"/>
      <c r="H131" s="145"/>
      <c r="I131" s="145"/>
      <c r="J131" s="139">
        <v>0.8</v>
      </c>
      <c r="K131" s="139">
        <v>0.8</v>
      </c>
      <c r="L131" s="139">
        <v>0.8</v>
      </c>
      <c r="M131" s="139">
        <v>0.8</v>
      </c>
      <c r="N131" s="139">
        <v>0.8</v>
      </c>
      <c r="O131" s="139">
        <v>0.8</v>
      </c>
      <c r="P131" s="139">
        <v>0.8</v>
      </c>
      <c r="Q131" s="139">
        <v>0.8</v>
      </c>
      <c r="R131" s="139">
        <v>0.8</v>
      </c>
      <c r="S131" s="139">
        <v>0.8</v>
      </c>
      <c r="T131" s="139">
        <v>0.8</v>
      </c>
      <c r="U131" s="139">
        <v>0.8</v>
      </c>
      <c r="V131" s="139">
        <v>0.8</v>
      </c>
      <c r="W131" s="139">
        <v>0.8</v>
      </c>
      <c r="X131" s="139">
        <v>0.8</v>
      </c>
      <c r="AA131" s="42"/>
      <c r="AB131" s="247"/>
      <c r="AC131" s="247"/>
      <c r="AD131" s="247"/>
      <c r="AE131" s="247"/>
    </row>
    <row r="132" spans="2:31">
      <c r="C132" s="126" t="s">
        <v>193</v>
      </c>
      <c r="D132" s="121"/>
      <c r="E132" s="127" t="s">
        <v>180</v>
      </c>
      <c r="F132" s="121"/>
      <c r="G132" s="121"/>
      <c r="H132" s="145"/>
      <c r="I132" s="145"/>
      <c r="J132" s="135">
        <f>J128*J131</f>
        <v>-57682.400000000001</v>
      </c>
      <c r="K132" s="135">
        <f>K128*K131</f>
        <v>-68272</v>
      </c>
      <c r="L132" s="135">
        <f>L128*L131</f>
        <v>-92051.312000000005</v>
      </c>
      <c r="M132" s="135">
        <f t="shared" ref="M132:X132" si="52">M128*M131</f>
        <v>108155.62855870194</v>
      </c>
      <c r="N132" s="135">
        <f t="shared" si="52"/>
        <v>174788.24961757721</v>
      </c>
      <c r="O132" s="135">
        <f t="shared" si="52"/>
        <v>233092.10948779812</v>
      </c>
      <c r="P132" s="135">
        <f t="shared" si="52"/>
        <v>260286.31515976635</v>
      </c>
      <c r="Q132" s="135">
        <f t="shared" si="52"/>
        <v>235523.63689011551</v>
      </c>
      <c r="R132" s="135">
        <f t="shared" si="52"/>
        <v>196096.27991960756</v>
      </c>
      <c r="S132" s="135">
        <f t="shared" si="52"/>
        <v>195394.85824768987</v>
      </c>
      <c r="T132" s="135">
        <f t="shared" si="52"/>
        <v>200578.62905197148</v>
      </c>
      <c r="U132" s="135">
        <f t="shared" si="52"/>
        <v>199162.91490477751</v>
      </c>
      <c r="V132" s="135">
        <f t="shared" si="52"/>
        <v>187831.59548147221</v>
      </c>
      <c r="W132" s="135">
        <f t="shared" si="52"/>
        <v>189241.21477479735</v>
      </c>
      <c r="X132" s="135">
        <f t="shared" si="52"/>
        <v>0</v>
      </c>
      <c r="AA132" s="42"/>
      <c r="AB132" s="247"/>
      <c r="AC132" s="247"/>
      <c r="AD132" s="247"/>
      <c r="AE132" s="247"/>
    </row>
    <row r="133" spans="2:31">
      <c r="C133" s="137"/>
      <c r="D133" s="121"/>
      <c r="E133" s="131"/>
      <c r="F133" s="121"/>
      <c r="G133" s="121"/>
      <c r="H133" s="145"/>
      <c r="I133" s="145"/>
      <c r="J133" s="145"/>
      <c r="K133" s="145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45"/>
      <c r="AA133" s="42"/>
      <c r="AB133" s="247"/>
      <c r="AC133" s="247"/>
      <c r="AD133" s="247"/>
      <c r="AE133" s="247"/>
    </row>
    <row r="134" spans="2:31">
      <c r="B134" s="122" t="str">
        <f>Drivers!B266</f>
        <v>DTX - 301</v>
      </c>
      <c r="C134" s="122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26"/>
      <c r="R134" s="124"/>
      <c r="S134" s="124"/>
      <c r="T134" s="124"/>
      <c r="U134" s="124"/>
      <c r="V134" s="209" t="s">
        <v>266</v>
      </c>
      <c r="W134" s="26"/>
      <c r="X134" s="26"/>
    </row>
    <row r="135" spans="2:31">
      <c r="B135" s="64"/>
      <c r="C135" s="142"/>
      <c r="D135" s="121"/>
      <c r="E135" s="131"/>
      <c r="F135" s="121"/>
      <c r="G135" s="121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</row>
    <row r="136" spans="2:31">
      <c r="B136" s="64"/>
      <c r="C136" s="126" t="s">
        <v>179</v>
      </c>
      <c r="D136" s="121"/>
      <c r="E136" s="127" t="s">
        <v>180</v>
      </c>
      <c r="F136" s="121"/>
      <c r="G136" s="121"/>
      <c r="H136" s="128"/>
      <c r="I136" s="128"/>
      <c r="J136" s="128"/>
      <c r="K136" s="128"/>
      <c r="L136" s="128">
        <f>[2]Drivers!N65</f>
        <v>0</v>
      </c>
      <c r="M136" s="128">
        <f>[2]Drivers!O65</f>
        <v>0</v>
      </c>
      <c r="N136" s="128">
        <f>[2]Drivers!P65</f>
        <v>68832.922972922213</v>
      </c>
      <c r="O136" s="128">
        <f>[2]Drivers!Q65</f>
        <v>195418.69530927253</v>
      </c>
      <c r="P136" s="128">
        <f>[2]Drivers!R65</f>
        <v>284266.71874413185</v>
      </c>
      <c r="Q136" s="128">
        <f>[2]Drivers!S65</f>
        <v>326943.54452247714</v>
      </c>
      <c r="R136" s="128">
        <f>[2]Drivers!T65</f>
        <v>351859.30311338109</v>
      </c>
      <c r="S136" s="128">
        <f>[2]Drivers!U65</f>
        <v>362548.91951778263</v>
      </c>
      <c r="T136" s="128">
        <f>[2]Drivers!V65</f>
        <v>369699.34217148001</v>
      </c>
      <c r="U136" s="128">
        <f>[2]Drivers!W65</f>
        <v>373296.16877516627</v>
      </c>
      <c r="V136" s="128">
        <f>[2]Drivers!X65</f>
        <v>373338.19874350278</v>
      </c>
      <c r="W136" s="128">
        <f>[2]Drivers!Y65</f>
        <v>369824.23122077889</v>
      </c>
      <c r="X136" s="128">
        <f>[2]Drivers!Z65</f>
        <v>366309.46767969371</v>
      </c>
    </row>
    <row r="137" spans="2:31">
      <c r="B137" s="64"/>
      <c r="C137" s="129"/>
      <c r="D137" s="121"/>
      <c r="E137" s="121"/>
      <c r="F137" s="121"/>
      <c r="G137" s="121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</row>
    <row r="138" spans="2:31">
      <c r="B138" s="64"/>
      <c r="C138" s="130" t="s">
        <v>181</v>
      </c>
      <c r="D138" s="121"/>
      <c r="E138" s="131" t="s">
        <v>180</v>
      </c>
      <c r="F138" s="121"/>
      <c r="G138" s="121"/>
      <c r="H138" s="132"/>
      <c r="I138" s="132"/>
      <c r="J138" s="132"/>
      <c r="K138" s="132"/>
      <c r="L138" s="132">
        <f t="shared" ref="L138:X138" si="53">-L136*COGS</f>
        <v>0</v>
      </c>
      <c r="M138" s="132">
        <f t="shared" si="53"/>
        <v>0</v>
      </c>
      <c r="N138" s="132">
        <f t="shared" si="53"/>
        <v>-8259.9507567506662</v>
      </c>
      <c r="O138" s="132">
        <f t="shared" si="53"/>
        <v>-23450.243437112702</v>
      </c>
      <c r="P138" s="132">
        <f t="shared" si="53"/>
        <v>-34112.006249295824</v>
      </c>
      <c r="Q138" s="132">
        <f t="shared" si="53"/>
        <v>-39233.225342697253</v>
      </c>
      <c r="R138" s="132">
        <f t="shared" si="53"/>
        <v>-42223.116373605728</v>
      </c>
      <c r="S138" s="132">
        <f t="shared" si="53"/>
        <v>-43505.870342133916</v>
      </c>
      <c r="T138" s="132">
        <f t="shared" si="53"/>
        <v>-44363.921060577602</v>
      </c>
      <c r="U138" s="132">
        <f t="shared" si="53"/>
        <v>-44795.54025301995</v>
      </c>
      <c r="V138" s="132">
        <f t="shared" si="53"/>
        <v>-44800.583849220333</v>
      </c>
      <c r="W138" s="132">
        <f t="shared" si="53"/>
        <v>-44378.907746493467</v>
      </c>
      <c r="X138" s="132">
        <f t="shared" si="53"/>
        <v>-43957.136121563242</v>
      </c>
    </row>
    <row r="139" spans="2:31">
      <c r="B139" s="64"/>
      <c r="C139" s="130" t="s">
        <v>182</v>
      </c>
      <c r="D139" s="121"/>
      <c r="E139" s="131" t="s">
        <v>180</v>
      </c>
      <c r="F139" s="121"/>
      <c r="G139" s="121"/>
      <c r="H139" s="132"/>
      <c r="I139" s="132"/>
      <c r="J139" s="132"/>
      <c r="K139" s="132"/>
      <c r="L139" s="132">
        <v>-10000</v>
      </c>
      <c r="M139" s="132">
        <v>-30000</v>
      </c>
      <c r="N139" s="132">
        <v>-50000</v>
      </c>
      <c r="O139" s="132">
        <f>-O136*0.25</f>
        <v>-48854.673827318133</v>
      </c>
      <c r="P139" s="132">
        <f>-P136*0.15</f>
        <v>-42640.007811619776</v>
      </c>
      <c r="Q139" s="132">
        <f>-Q136*0.1</f>
        <v>-32694.354452247717</v>
      </c>
      <c r="R139" s="132">
        <v>-25000</v>
      </c>
      <c r="S139" s="132">
        <v>-15000</v>
      </c>
      <c r="T139" s="132">
        <v>-10000</v>
      </c>
      <c r="U139" s="132">
        <v>-10000</v>
      </c>
      <c r="V139" s="132">
        <v>-10000</v>
      </c>
      <c r="W139" s="132">
        <v>-10000</v>
      </c>
      <c r="X139" s="132">
        <v>-10000</v>
      </c>
    </row>
    <row r="140" spans="2:31">
      <c r="B140" s="64"/>
      <c r="C140" s="133" t="s">
        <v>183</v>
      </c>
      <c r="D140" s="121"/>
      <c r="E140" s="131" t="s">
        <v>180</v>
      </c>
      <c r="F140" s="121"/>
      <c r="G140" s="121"/>
      <c r="H140" s="132"/>
      <c r="I140" s="132"/>
      <c r="J140" s="55">
        <v>-31439</v>
      </c>
      <c r="K140" s="55">
        <v>-40831</v>
      </c>
      <c r="L140" s="55">
        <v>-29774.71</v>
      </c>
      <c r="M140" s="134">
        <v>-40000</v>
      </c>
      <c r="N140" s="134">
        <v>-50000</v>
      </c>
      <c r="O140" s="134">
        <v>-15000</v>
      </c>
      <c r="P140" s="134">
        <v>-10000</v>
      </c>
      <c r="Q140" s="134">
        <v>-10000</v>
      </c>
      <c r="R140" s="134">
        <v>-10000</v>
      </c>
      <c r="S140" s="134">
        <v>-10000</v>
      </c>
      <c r="T140" s="134">
        <v>-10000</v>
      </c>
      <c r="U140" s="134">
        <v>-10000</v>
      </c>
      <c r="V140" s="134">
        <v>-10000</v>
      </c>
      <c r="W140" s="134">
        <v>-10000</v>
      </c>
      <c r="X140" s="134">
        <v>-10000</v>
      </c>
    </row>
    <row r="141" spans="2:31">
      <c r="B141" s="64"/>
      <c r="C141" s="126" t="s">
        <v>184</v>
      </c>
      <c r="D141" s="121"/>
      <c r="E141" s="127" t="s">
        <v>180</v>
      </c>
      <c r="F141" s="121"/>
      <c r="G141" s="121"/>
      <c r="H141" s="135"/>
      <c r="I141" s="135"/>
      <c r="J141" s="135">
        <f t="shared" ref="J141:K141" si="54">SUM(J136:J140)</f>
        <v>-31439</v>
      </c>
      <c r="K141" s="135">
        <f t="shared" si="54"/>
        <v>-40831</v>
      </c>
      <c r="L141" s="135">
        <f t="shared" ref="L141:X141" si="55">SUM(L136:L140)</f>
        <v>-39774.71</v>
      </c>
      <c r="M141" s="135">
        <f t="shared" si="55"/>
        <v>-70000</v>
      </c>
      <c r="N141" s="135">
        <f t="shared" si="55"/>
        <v>-39427.027783828453</v>
      </c>
      <c r="O141" s="135">
        <f t="shared" si="55"/>
        <v>108113.77804484172</v>
      </c>
      <c r="P141" s="135">
        <f t="shared" si="55"/>
        <v>197514.70468321623</v>
      </c>
      <c r="Q141" s="135">
        <f t="shared" si="55"/>
        <v>245015.96472753218</v>
      </c>
      <c r="R141" s="135">
        <f t="shared" si="55"/>
        <v>274636.18673977535</v>
      </c>
      <c r="S141" s="135">
        <f t="shared" si="55"/>
        <v>294043.04917564872</v>
      </c>
      <c r="T141" s="135">
        <f t="shared" si="55"/>
        <v>305335.42111090239</v>
      </c>
      <c r="U141" s="135">
        <f t="shared" si="55"/>
        <v>308500.62852214632</v>
      </c>
      <c r="V141" s="135">
        <f t="shared" si="55"/>
        <v>308537.61489428242</v>
      </c>
      <c r="W141" s="135">
        <f t="shared" si="55"/>
        <v>305445.32347428543</v>
      </c>
      <c r="X141" s="135">
        <f t="shared" si="55"/>
        <v>302352.33155813045</v>
      </c>
    </row>
    <row r="142" spans="2:31">
      <c r="B142" s="64"/>
      <c r="C142" s="129"/>
      <c r="D142" s="121"/>
      <c r="E142" s="121"/>
      <c r="F142" s="121"/>
      <c r="G142" s="121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</row>
    <row r="143" spans="2:31">
      <c r="B143" s="64"/>
      <c r="C143" s="133" t="s">
        <v>185</v>
      </c>
      <c r="D143" s="121"/>
      <c r="E143" s="131" t="s">
        <v>180</v>
      </c>
      <c r="F143" s="121"/>
      <c r="G143" s="121"/>
      <c r="H143" s="132"/>
      <c r="I143" s="132"/>
      <c r="J143" s="134"/>
      <c r="K143" s="134"/>
      <c r="L143" s="134">
        <f>(L136/Drivers!K$9)*Model!K$80</f>
        <v>0</v>
      </c>
      <c r="M143" s="134">
        <f>(M136/Drivers!L$9)*Model!L$80</f>
        <v>0</v>
      </c>
      <c r="N143" s="134">
        <f>(N136/Drivers!M$9)*Model!M$80</f>
        <v>-533.58923123837064</v>
      </c>
      <c r="O143" s="134">
        <f>(O136/Drivers!N$9)*Model!N$80</f>
        <v>-4224.9304823540006</v>
      </c>
      <c r="P143" s="134">
        <f>(P136/Drivers!O$9)*Model!O$80</f>
        <v>-6391.506172656972</v>
      </c>
      <c r="Q143" s="134">
        <f>(Q136/Drivers!P$9)*Model!P$80</f>
        <v>-10518.257936163807</v>
      </c>
      <c r="R143" s="134">
        <f t="shared" ref="R143:X143" si="56">R141*-Tax_Rate</f>
        <v>-57673.59921535282</v>
      </c>
      <c r="S143" s="134">
        <f t="shared" si="56"/>
        <v>-61749.040326886228</v>
      </c>
      <c r="T143" s="134">
        <f t="shared" si="56"/>
        <v>-64120.438433289499</v>
      </c>
      <c r="U143" s="134">
        <f t="shared" si="56"/>
        <v>-64785.131989650727</v>
      </c>
      <c r="V143" s="134">
        <f t="shared" si="56"/>
        <v>-64792.899127799305</v>
      </c>
      <c r="W143" s="134">
        <f t="shared" si="56"/>
        <v>-64143.517929599941</v>
      </c>
      <c r="X143" s="134">
        <f t="shared" si="56"/>
        <v>-63493.989627207389</v>
      </c>
    </row>
    <row r="144" spans="2:31">
      <c r="B144" s="64"/>
      <c r="C144" s="126" t="s">
        <v>186</v>
      </c>
      <c r="D144" s="121"/>
      <c r="E144" s="127" t="s">
        <v>180</v>
      </c>
      <c r="F144" s="121"/>
      <c r="G144" s="121"/>
      <c r="H144" s="135"/>
      <c r="I144" s="135"/>
      <c r="J144" s="135">
        <f t="shared" ref="J144:K144" si="57">SUM(J141:J143)</f>
        <v>-31439</v>
      </c>
      <c r="K144" s="135">
        <f t="shared" si="57"/>
        <v>-40831</v>
      </c>
      <c r="L144" s="135">
        <f t="shared" ref="L144:M144" si="58">SUM(L141:L143)</f>
        <v>-39774.71</v>
      </c>
      <c r="M144" s="135">
        <f t="shared" si="58"/>
        <v>-70000</v>
      </c>
      <c r="N144" s="135">
        <f t="shared" ref="N144:X144" si="59">SUM(N141:N143)</f>
        <v>-39960.617015066826</v>
      </c>
      <c r="O144" s="135">
        <f t="shared" si="59"/>
        <v>103888.84756248772</v>
      </c>
      <c r="P144" s="135">
        <f t="shared" si="59"/>
        <v>191123.19851055925</v>
      </c>
      <c r="Q144" s="135">
        <f t="shared" si="59"/>
        <v>234497.70679136837</v>
      </c>
      <c r="R144" s="135">
        <f t="shared" si="59"/>
        <v>216962.58752442253</v>
      </c>
      <c r="S144" s="135">
        <f t="shared" si="59"/>
        <v>232294.00884876249</v>
      </c>
      <c r="T144" s="135">
        <f t="shared" si="59"/>
        <v>241214.98267761289</v>
      </c>
      <c r="U144" s="135">
        <f t="shared" si="59"/>
        <v>243715.4965324956</v>
      </c>
      <c r="V144" s="135">
        <f t="shared" si="59"/>
        <v>243744.7157664831</v>
      </c>
      <c r="W144" s="135">
        <f t="shared" si="59"/>
        <v>241301.80554468549</v>
      </c>
      <c r="X144" s="135">
        <f t="shared" si="59"/>
        <v>238858.34193092305</v>
      </c>
    </row>
    <row r="145" spans="2:32">
      <c r="B145" s="64"/>
      <c r="C145" s="129"/>
      <c r="D145" s="121"/>
      <c r="E145" s="121"/>
      <c r="F145" s="121"/>
      <c r="G145" s="121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</row>
    <row r="146" spans="2:32">
      <c r="B146" s="64"/>
      <c r="C146" s="130" t="s">
        <v>188</v>
      </c>
      <c r="D146" s="121"/>
      <c r="E146" s="131" t="s">
        <v>180</v>
      </c>
      <c r="F146" s="121"/>
      <c r="G146" s="121"/>
      <c r="H146" s="135"/>
      <c r="I146" s="135"/>
      <c r="J146" s="144">
        <f>-SUM(Drivers!I282:I283)</f>
        <v>0</v>
      </c>
      <c r="K146" s="144">
        <f>-SUM(Drivers!J282:J283)</f>
        <v>0</v>
      </c>
      <c r="L146" s="144">
        <f>-SUM(Drivers!K311:K312)</f>
        <v>0</v>
      </c>
      <c r="M146" s="144">
        <f>-SUM(Drivers!L311:L312)</f>
        <v>0</v>
      </c>
      <c r="N146" s="144">
        <f>-SUM(Drivers!M311:M312)</f>
        <v>0</v>
      </c>
      <c r="O146" s="144">
        <f>-SUM(Drivers!N311:N312)</f>
        <v>-20490</v>
      </c>
      <c r="P146" s="144">
        <f>-SUM(Drivers!O311:O312)</f>
        <v>-62508</v>
      </c>
      <c r="Q146" s="144">
        <f>-SUM(Drivers!P311:P312)</f>
        <v>-130013</v>
      </c>
      <c r="R146" s="144">
        <f>-SUM(Drivers!Q311:Q312)</f>
        <v>-191957</v>
      </c>
      <c r="S146" s="144">
        <f>-SUM(Drivers!R311:R312)</f>
        <v>-244184</v>
      </c>
      <c r="T146" s="144">
        <f>-SUM(Drivers!S311:S312)</f>
        <v>-252441</v>
      </c>
      <c r="U146" s="144">
        <f>-SUM(Drivers!T311:T312)</f>
        <v>-236493</v>
      </c>
      <c r="V146" s="144">
        <f>-SUM(Drivers!U311:U312)</f>
        <v>-192319</v>
      </c>
      <c r="W146" s="144">
        <f>-SUM(Drivers!V311:V312)</f>
        <v>-148376</v>
      </c>
      <c r="X146" s="144">
        <f>-SUM(Drivers!W311:W312)</f>
        <v>-99978</v>
      </c>
    </row>
    <row r="147" spans="2:32">
      <c r="B147" s="64"/>
      <c r="C147" s="130" t="s">
        <v>187</v>
      </c>
      <c r="D147" s="121"/>
      <c r="E147" s="131" t="s">
        <v>180</v>
      </c>
      <c r="F147" s="121"/>
      <c r="G147" s="121"/>
      <c r="H147" s="135"/>
      <c r="I147" s="135"/>
      <c r="J147" s="144">
        <f>(I$59-J$59)*(J136/Drivers!I$9)</f>
        <v>0</v>
      </c>
      <c r="K147" s="144">
        <f>(J$59-K$59)*(K136/Drivers!J$9)</f>
        <v>0</v>
      </c>
      <c r="L147" s="144">
        <f>(K$59-L$59)*(L136/Drivers!K$9)</f>
        <v>0</v>
      </c>
      <c r="M147" s="144">
        <f>(L$59-M$59)*(M136/Drivers!L$9)</f>
        <v>0</v>
      </c>
      <c r="N147" s="144">
        <f>(M$59-N$59)*(N136/Drivers!M$9)</f>
        <v>-9864.8191972104469</v>
      </c>
      <c r="O147" s="144">
        <f>(N$59-O$59)*(O136/Drivers!N$9)</f>
        <v>-13876.241692759144</v>
      </c>
      <c r="P147" s="144">
        <f>(O$59-P$59)*(P136/Drivers!O$9)</f>
        <v>-7463.4248255264774</v>
      </c>
      <c r="Q147" s="144">
        <f>(P$59-Q$59)*(Q136/Drivers!P$9)</f>
        <v>-16472.259257928526</v>
      </c>
      <c r="R147" s="144">
        <f>(Q$59-R$59)*(R136/Drivers!Q$9)</f>
        <v>211.54069060505029</v>
      </c>
      <c r="S147" s="144">
        <f>(R$59-S$59)*(S136/Drivers!R$9)</f>
        <v>10669.662815225211</v>
      </c>
      <c r="T147" s="144">
        <f>(S$59-T$59)*(T136/Drivers!S$9)</f>
        <v>16206.869021035651</v>
      </c>
      <c r="U147" s="144">
        <f>(T$59-U$59)*(U136/Drivers!T$9)</f>
        <v>19813.497654118619</v>
      </c>
      <c r="V147" s="144">
        <f>(U$59-V$59)*(V136/Drivers!U$9)</f>
        <v>4527.9108178307179</v>
      </c>
      <c r="W147" s="144">
        <f>(V$59-W$59)*(W136/Drivers!V$9)</f>
        <v>5823.6823896941078</v>
      </c>
      <c r="X147" s="144">
        <f>(W$59-X$59)*(X136/Drivers!W$9)</f>
        <v>9431.6574466619804</v>
      </c>
    </row>
    <row r="148" spans="2:32">
      <c r="B148" s="64"/>
      <c r="C148" s="130" t="s">
        <v>189</v>
      </c>
      <c r="D148" s="121"/>
      <c r="E148" s="131" t="s">
        <v>180</v>
      </c>
      <c r="F148" s="121"/>
      <c r="G148" s="121"/>
      <c r="H148" s="135"/>
      <c r="I148" s="135"/>
      <c r="J148" s="144">
        <f>J$62*(J136/Drivers!I$9)</f>
        <v>0</v>
      </c>
      <c r="K148" s="144">
        <f>K$62*(K136/Drivers!J$9)</f>
        <v>0</v>
      </c>
      <c r="L148" s="135">
        <f>L$62*(L136/Drivers!K$9)</f>
        <v>0</v>
      </c>
      <c r="M148" s="135">
        <f>M$62*(M136/Drivers!L$9)</f>
        <v>0</v>
      </c>
      <c r="N148" s="144">
        <f>N$62*(N136/Drivers!M$9)</f>
        <v>-180.61157470565394</v>
      </c>
      <c r="O148" s="144">
        <f>O$62*(O136/Drivers!N$9)</f>
        <v>-354.69395542171583</v>
      </c>
      <c r="P148" s="144">
        <f>P$62*(P136/Drivers!O$9)</f>
        <v>-449.71187191519692</v>
      </c>
      <c r="Q148" s="144">
        <f>Q$62*(Q136/Drivers!P$9)</f>
        <v>-400.9931656936165</v>
      </c>
      <c r="R148" s="144">
        <f>R$62*(R136/Drivers!Q$9)</f>
        <v>-3258.9011356277583</v>
      </c>
      <c r="S148" s="144">
        <f>S$62*(S136/Drivers!R$9)</f>
        <v>-2607.3557172083579</v>
      </c>
      <c r="T148" s="144">
        <f>T$62*(T136/Drivers!S$9)</f>
        <v>-1567.2920966398387</v>
      </c>
      <c r="U148" s="144">
        <f>U$62*(U136/Drivers!T$9)</f>
        <v>-1348.2717784082679</v>
      </c>
      <c r="V148" s="144">
        <f>V$62*(V136/Drivers!U$9)</f>
        <v>-1528.9909762164134</v>
      </c>
      <c r="W148" s="144">
        <f>W$62*(W136/Drivers!V$9)</f>
        <v>-2047.0916243159854</v>
      </c>
      <c r="X148" s="144">
        <f>X$62*(X136/Drivers!W$9)</f>
        <v>-3174.133772174051</v>
      </c>
    </row>
    <row r="149" spans="2:32">
      <c r="B149" s="64"/>
      <c r="C149" s="133" t="s">
        <v>190</v>
      </c>
      <c r="D149" s="121"/>
      <c r="E149" s="131" t="s">
        <v>180</v>
      </c>
      <c r="F149" s="121"/>
      <c r="G149" s="121"/>
      <c r="H149" s="144"/>
      <c r="I149" s="144"/>
      <c r="J149" s="136">
        <f>-J$64*(J136/Drivers!I$9)</f>
        <v>0</v>
      </c>
      <c r="K149" s="136">
        <f>-K$64*(K136/Drivers!J$9)</f>
        <v>0</v>
      </c>
      <c r="L149" s="136">
        <f>-L$64*(L136/Drivers!K$9)</f>
        <v>0</v>
      </c>
      <c r="M149" s="136">
        <f>-M$64*(M136/Drivers!L$9)</f>
        <v>0</v>
      </c>
      <c r="N149" s="136">
        <f>-N$64*(N136/Drivers!M$9)</f>
        <v>1153.6287708842306</v>
      </c>
      <c r="O149" s="136">
        <f>-O$64*(O136/Drivers!N$9)</f>
        <v>2094.9651107416289</v>
      </c>
      <c r="P149" s="136">
        <f>-P$64*(P136/Drivers!O$9)</f>
        <v>2062.6319459938236</v>
      </c>
      <c r="Q149" s="136">
        <f>-Q$64*(Q136/Drivers!P$9)</f>
        <v>1663.9464002550924</v>
      </c>
      <c r="R149" s="136">
        <f>-R$64*(R136/Drivers!Q$9)</f>
        <v>2536.5675633711494</v>
      </c>
      <c r="S149" s="136">
        <f>-S$64*(S136/Drivers!R$9)</f>
        <v>2545.6934515878706</v>
      </c>
      <c r="T149" s="136">
        <f>-T$64*(T136/Drivers!S$9)</f>
        <v>2710.1805905160199</v>
      </c>
      <c r="U149" s="136">
        <f>-U$64*(U136/Drivers!T$9)</f>
        <v>3050.5160035235667</v>
      </c>
      <c r="V149" s="136">
        <f>-V$64*(V136/Drivers!U$9)</f>
        <v>3165.5482899149802</v>
      </c>
      <c r="W149" s="136">
        <f>-W$64*(W136/Drivers!V$9)</f>
        <v>3984.4477271946475</v>
      </c>
      <c r="X149" s="136">
        <f>-X$64*(X136/Drivers!W$9)</f>
        <v>5854.1158944112021</v>
      </c>
    </row>
    <row r="150" spans="2:32">
      <c r="B150" s="64"/>
      <c r="C150" s="126" t="s">
        <v>191</v>
      </c>
      <c r="D150" s="121"/>
      <c r="E150" s="127" t="s">
        <v>180</v>
      </c>
      <c r="F150" s="121"/>
      <c r="G150" s="121"/>
      <c r="H150" s="135"/>
      <c r="I150" s="135"/>
      <c r="J150" s="135">
        <f t="shared" ref="J150:K150" si="60">SUM(J144:J149)</f>
        <v>-31439</v>
      </c>
      <c r="K150" s="135">
        <f t="shared" si="60"/>
        <v>-40831</v>
      </c>
      <c r="L150" s="135">
        <f t="shared" ref="L150" si="61">SUM(L144:L149)</f>
        <v>-39774.71</v>
      </c>
      <c r="M150" s="135">
        <f t="shared" ref="M150:X150" si="62">SUM(M144:M149)</f>
        <v>-70000</v>
      </c>
      <c r="N150" s="135">
        <f t="shared" si="62"/>
        <v>-48852.419016098698</v>
      </c>
      <c r="O150" s="135">
        <f t="shared" si="62"/>
        <v>71262.877025048496</v>
      </c>
      <c r="P150" s="135">
        <f t="shared" si="62"/>
        <v>122764.6937591114</v>
      </c>
      <c r="Q150" s="135">
        <f t="shared" si="62"/>
        <v>89275.400768001331</v>
      </c>
      <c r="R150" s="135">
        <f t="shared" si="62"/>
        <v>24494.794642770976</v>
      </c>
      <c r="S150" s="135">
        <f t="shared" si="62"/>
        <v>-1281.9906016327877</v>
      </c>
      <c r="T150" s="135">
        <f t="shared" si="62"/>
        <v>6123.7401925247223</v>
      </c>
      <c r="U150" s="135">
        <f t="shared" si="62"/>
        <v>28738.238411729519</v>
      </c>
      <c r="V150" s="135">
        <f t="shared" si="62"/>
        <v>57590.183898012387</v>
      </c>
      <c r="W150" s="135">
        <f t="shared" si="62"/>
        <v>100686.84403725826</v>
      </c>
      <c r="X150" s="135">
        <f t="shared" si="62"/>
        <v>150991.9814998222</v>
      </c>
    </row>
    <row r="151" spans="2:32">
      <c r="B151" s="64"/>
      <c r="C151" s="137" t="s">
        <v>192</v>
      </c>
      <c r="D151" s="121"/>
      <c r="E151" s="131" t="s">
        <v>15</v>
      </c>
      <c r="F151" s="121"/>
      <c r="G151" s="121"/>
      <c r="H151" s="145"/>
      <c r="I151" s="145"/>
      <c r="J151" s="145"/>
      <c r="K151" s="145"/>
      <c r="L151" s="138" t="e">
        <f t="shared" ref="L151:X151" si="63">L150/L136</f>
        <v>#DIV/0!</v>
      </c>
      <c r="M151" s="138" t="e">
        <f t="shared" si="63"/>
        <v>#DIV/0!</v>
      </c>
      <c r="N151" s="138">
        <f t="shared" si="63"/>
        <v>-0.70972460424666939</v>
      </c>
      <c r="O151" s="138">
        <f t="shared" si="63"/>
        <v>0.36466765327783407</v>
      </c>
      <c r="P151" s="138">
        <f t="shared" si="63"/>
        <v>0.43186446271823947</v>
      </c>
      <c r="Q151" s="138">
        <f t="shared" si="63"/>
        <v>0.27306060102331736</v>
      </c>
      <c r="R151" s="138">
        <f t="shared" si="63"/>
        <v>6.9615310511991546E-2</v>
      </c>
      <c r="S151" s="138">
        <f t="shared" si="63"/>
        <v>-3.5360486064554592E-3</v>
      </c>
      <c r="T151" s="138">
        <f t="shared" si="63"/>
        <v>1.6564108977192359E-2</v>
      </c>
      <c r="U151" s="138">
        <f t="shared" si="63"/>
        <v>7.6985088022798229E-2</v>
      </c>
      <c r="V151" s="138">
        <f t="shared" si="63"/>
        <v>0.15425741081902788</v>
      </c>
      <c r="W151" s="138">
        <f t="shared" si="63"/>
        <v>0.27225594089628458</v>
      </c>
      <c r="X151" s="138">
        <f t="shared" si="63"/>
        <v>0.41219786771072969</v>
      </c>
    </row>
    <row r="152" spans="2:32">
      <c r="B152" s="64"/>
      <c r="C152" s="137"/>
      <c r="D152" s="121"/>
      <c r="E152" s="131"/>
      <c r="F152" s="121"/>
      <c r="G152" s="121"/>
      <c r="H152" s="145"/>
      <c r="I152" s="145"/>
      <c r="J152" s="145"/>
      <c r="K152" s="145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</row>
    <row r="153" spans="2:32">
      <c r="B153" s="64"/>
      <c r="C153" s="133" t="s">
        <v>149</v>
      </c>
      <c r="D153" s="121"/>
      <c r="E153" s="131" t="s">
        <v>15</v>
      </c>
      <c r="F153" s="121"/>
      <c r="G153" s="121"/>
      <c r="H153" s="145"/>
      <c r="I153" s="145"/>
      <c r="J153" s="139">
        <v>0.6</v>
      </c>
      <c r="K153" s="139">
        <v>0.6</v>
      </c>
      <c r="L153" s="139">
        <v>0.6</v>
      </c>
      <c r="M153" s="139">
        <v>0.6</v>
      </c>
      <c r="N153" s="139">
        <v>0.6</v>
      </c>
      <c r="O153" s="139">
        <v>0.6</v>
      </c>
      <c r="P153" s="139">
        <v>0.6</v>
      </c>
      <c r="Q153" s="139">
        <v>0.6</v>
      </c>
      <c r="R153" s="139">
        <v>0.6</v>
      </c>
      <c r="S153" s="139">
        <v>0.6</v>
      </c>
      <c r="T153" s="139">
        <v>0.6</v>
      </c>
      <c r="U153" s="139">
        <v>0.6</v>
      </c>
      <c r="V153" s="139">
        <v>0.6</v>
      </c>
      <c r="W153" s="139">
        <v>0.6</v>
      </c>
      <c r="X153" s="139">
        <v>0.6</v>
      </c>
    </row>
    <row r="154" spans="2:32">
      <c r="B154" s="64"/>
      <c r="C154" s="126" t="s">
        <v>193</v>
      </c>
      <c r="D154" s="121"/>
      <c r="E154" s="127" t="s">
        <v>180</v>
      </c>
      <c r="F154" s="121"/>
      <c r="G154" s="121"/>
      <c r="H154" s="145"/>
      <c r="I154" s="145"/>
      <c r="J154" s="135">
        <f>J150*J153</f>
        <v>-18863.399999999998</v>
      </c>
      <c r="K154" s="135">
        <f>K150*K153</f>
        <v>-24498.6</v>
      </c>
      <c r="L154" s="135">
        <f>L150*L153</f>
        <v>-23864.825999999997</v>
      </c>
      <c r="M154" s="135">
        <f t="shared" ref="M154:X154" si="64">M150*M153</f>
        <v>-42000</v>
      </c>
      <c r="N154" s="135">
        <f t="shared" si="64"/>
        <v>-29311.451409659217</v>
      </c>
      <c r="O154" s="135">
        <f t="shared" si="64"/>
        <v>42757.726215029099</v>
      </c>
      <c r="P154" s="135">
        <f t="shared" si="64"/>
        <v>73658.816255466838</v>
      </c>
      <c r="Q154" s="135">
        <f t="shared" si="64"/>
        <v>53565.2404608008</v>
      </c>
      <c r="R154" s="135">
        <f t="shared" si="64"/>
        <v>14696.876785662585</v>
      </c>
      <c r="S154" s="135">
        <f t="shared" si="64"/>
        <v>-769.19436097967264</v>
      </c>
      <c r="T154" s="135">
        <f t="shared" si="64"/>
        <v>3674.2441155148331</v>
      </c>
      <c r="U154" s="135">
        <f t="shared" si="64"/>
        <v>17242.943047037712</v>
      </c>
      <c r="V154" s="135">
        <f t="shared" si="64"/>
        <v>34554.110338807433</v>
      </c>
      <c r="W154" s="135">
        <f t="shared" si="64"/>
        <v>60412.106422354947</v>
      </c>
      <c r="X154" s="135">
        <f t="shared" si="64"/>
        <v>90595.188899893314</v>
      </c>
    </row>
    <row r="155" spans="2:32">
      <c r="B155" s="64"/>
      <c r="C155" s="137" t="s">
        <v>192</v>
      </c>
      <c r="D155" s="121"/>
      <c r="E155" s="131" t="s">
        <v>15</v>
      </c>
      <c r="F155" s="121"/>
      <c r="G155" s="121"/>
      <c r="H155" s="145"/>
      <c r="I155" s="145"/>
      <c r="J155" s="135"/>
      <c r="K155" s="135"/>
      <c r="L155" s="135"/>
      <c r="M155" s="135"/>
      <c r="N155" s="138">
        <f>N154/N136</f>
        <v>-0.42583476254800162</v>
      </c>
      <c r="O155" s="138">
        <f t="shared" ref="O155:X155" si="65">O154/O136</f>
        <v>0.21880059196670046</v>
      </c>
      <c r="P155" s="138">
        <f t="shared" si="65"/>
        <v>0.25911867763094371</v>
      </c>
      <c r="Q155" s="138">
        <f t="shared" si="65"/>
        <v>0.16383636061399043</v>
      </c>
      <c r="R155" s="138">
        <f t="shared" si="65"/>
        <v>4.1769186307194922E-2</v>
      </c>
      <c r="S155" s="138">
        <f t="shared" si="65"/>
        <v>-2.1216291638732755E-3</v>
      </c>
      <c r="T155" s="138">
        <f t="shared" si="65"/>
        <v>9.9384653863154159E-3</v>
      </c>
      <c r="U155" s="138">
        <f t="shared" si="65"/>
        <v>4.619105281367894E-2</v>
      </c>
      <c r="V155" s="138">
        <f t="shared" si="65"/>
        <v>9.2554446491416725E-2</v>
      </c>
      <c r="W155" s="138">
        <f t="shared" si="65"/>
        <v>0.16335356453777072</v>
      </c>
      <c r="X155" s="138">
        <f t="shared" si="65"/>
        <v>0.24731872062643778</v>
      </c>
    </row>
    <row r="156" spans="2:32">
      <c r="B156" s="64"/>
      <c r="C156" s="126"/>
      <c r="D156" s="121"/>
      <c r="E156" s="127"/>
      <c r="F156" s="121"/>
      <c r="G156" s="121"/>
      <c r="H156" s="145"/>
      <c r="I156" s="145"/>
      <c r="J156" s="145"/>
      <c r="K156" s="14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</row>
    <row r="157" spans="2:32">
      <c r="B157" s="122" t="str">
        <f>Drivers!B314</f>
        <v>GTX - 102</v>
      </c>
      <c r="C157" s="122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26"/>
      <c r="R157" s="124"/>
      <c r="S157" s="124"/>
      <c r="T157" s="124"/>
      <c r="U157" s="124"/>
      <c r="V157" s="26"/>
      <c r="W157" s="26"/>
      <c r="X157" s="26"/>
      <c r="Y157" s="209" t="s">
        <v>266</v>
      </c>
      <c r="Z157" s="26"/>
      <c r="AA157" s="26"/>
      <c r="AB157" s="26"/>
      <c r="AC157" s="26"/>
      <c r="AD157" s="26"/>
      <c r="AE157" s="26"/>
      <c r="AF157" s="26"/>
    </row>
    <row r="158" spans="2:32">
      <c r="B158" s="64"/>
      <c r="C158" s="142"/>
      <c r="D158" s="121"/>
      <c r="E158" s="131"/>
      <c r="F158" s="121"/>
      <c r="G158" s="121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</row>
    <row r="159" spans="2:32">
      <c r="B159" s="64"/>
      <c r="C159" s="126" t="s">
        <v>179</v>
      </c>
      <c r="D159" s="121"/>
      <c r="E159" s="127" t="s">
        <v>180</v>
      </c>
      <c r="F159" s="121"/>
      <c r="G159" s="121"/>
      <c r="H159" s="128"/>
      <c r="I159" s="128"/>
      <c r="J159" s="128"/>
      <c r="K159" s="128"/>
      <c r="L159" s="128">
        <f>Drivers!K356</f>
        <v>0</v>
      </c>
      <c r="M159" s="128">
        <f>Drivers!L356</f>
        <v>0</v>
      </c>
      <c r="N159" s="128">
        <f>Drivers!M356</f>
        <v>29088.71999999999</v>
      </c>
      <c r="O159" s="128">
        <f>Drivers!N356</f>
        <v>109643.33962687495</v>
      </c>
      <c r="P159" s="128">
        <f>Drivers!O356</f>
        <v>208222.91868256865</v>
      </c>
      <c r="Q159" s="128">
        <f>Drivers!P356</f>
        <v>356956.60254535341</v>
      </c>
      <c r="R159" s="128">
        <f>Drivers!Q356</f>
        <v>535729.33034664707</v>
      </c>
      <c r="S159" s="128">
        <f>Drivers!R356</f>
        <v>690382.27129340242</v>
      </c>
      <c r="T159" s="128">
        <f>Drivers!S356</f>
        <v>852104.90989004972</v>
      </c>
      <c r="U159" s="128">
        <f>Drivers!T356</f>
        <v>946915.14282898384</v>
      </c>
      <c r="V159" s="128">
        <f>Drivers!U356</f>
        <v>1021056.501461782</v>
      </c>
      <c r="W159" s="128">
        <f>Drivers!V356</f>
        <v>1090992.7962219508</v>
      </c>
      <c r="X159" s="128">
        <f>Drivers!W356</f>
        <v>1119141.1234316642</v>
      </c>
      <c r="Y159" s="128">
        <f>Drivers!X356</f>
        <v>1139141.1427612938</v>
      </c>
      <c r="Z159" s="128">
        <f>Drivers!Y356</f>
        <v>1152075.0161156172</v>
      </c>
      <c r="AA159" s="128">
        <f>Drivers!Z356</f>
        <v>1157835.3911961953</v>
      </c>
      <c r="AB159" s="128">
        <f>Drivers!AA356</f>
        <v>1163624.568152176</v>
      </c>
      <c r="AC159" s="128">
        <f>Drivers!AB356</f>
        <v>1169442.690992937</v>
      </c>
      <c r="AD159" s="128">
        <f>Drivers!AC356</f>
        <v>1175289.9044479015</v>
      </c>
      <c r="AE159" s="128">
        <f>Drivers!AD356</f>
        <v>1181166.3539701409</v>
      </c>
      <c r="AF159" s="128">
        <f>Drivers!AE356</f>
        <v>1215889.2888709898</v>
      </c>
    </row>
    <row r="160" spans="2:32">
      <c r="B160" s="64"/>
      <c r="C160" s="129"/>
      <c r="D160" s="121"/>
      <c r="E160" s="121"/>
      <c r="F160" s="121"/>
      <c r="G160" s="121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</row>
    <row r="161" spans="2:32">
      <c r="B161" s="64"/>
      <c r="C161" s="130" t="s">
        <v>181</v>
      </c>
      <c r="D161" s="121"/>
      <c r="E161" s="131" t="s">
        <v>180</v>
      </c>
      <c r="F161" s="121"/>
      <c r="G161" s="121"/>
      <c r="H161" s="132"/>
      <c r="I161" s="132"/>
      <c r="J161" s="132"/>
      <c r="K161" s="132"/>
      <c r="L161" s="132">
        <f t="shared" ref="L161:AF161" si="66">-L159*COGS</f>
        <v>0</v>
      </c>
      <c r="M161" s="132">
        <f t="shared" si="66"/>
        <v>0</v>
      </c>
      <c r="N161" s="132">
        <f t="shared" si="66"/>
        <v>-3490.6463999999987</v>
      </c>
      <c r="O161" s="132">
        <f t="shared" si="66"/>
        <v>-13157.200755224994</v>
      </c>
      <c r="P161" s="132">
        <f t="shared" si="66"/>
        <v>-24986.750241908238</v>
      </c>
      <c r="Q161" s="132">
        <f t="shared" si="66"/>
        <v>-42834.79230544241</v>
      </c>
      <c r="R161" s="132">
        <f t="shared" si="66"/>
        <v>-64287.519641597646</v>
      </c>
      <c r="S161" s="132">
        <f t="shared" si="66"/>
        <v>-82845.872555208291</v>
      </c>
      <c r="T161" s="132">
        <f t="shared" si="66"/>
        <v>-102252.58918680597</v>
      </c>
      <c r="U161" s="132">
        <f t="shared" si="66"/>
        <v>-113629.81713947805</v>
      </c>
      <c r="V161" s="132">
        <f t="shared" si="66"/>
        <v>-122526.78017541383</v>
      </c>
      <c r="W161" s="132">
        <f t="shared" si="66"/>
        <v>-130919.13554663409</v>
      </c>
      <c r="X161" s="132">
        <f t="shared" si="66"/>
        <v>-134296.9348117997</v>
      </c>
      <c r="Y161" s="132">
        <f t="shared" si="66"/>
        <v>-136696.93713135525</v>
      </c>
      <c r="Z161" s="132">
        <f t="shared" si="66"/>
        <v>-138249.00193387407</v>
      </c>
      <c r="AA161" s="132">
        <f t="shared" si="66"/>
        <v>-138940.24694354343</v>
      </c>
      <c r="AB161" s="132">
        <f t="shared" si="66"/>
        <v>-139634.94817826111</v>
      </c>
      <c r="AC161" s="132">
        <f t="shared" si="66"/>
        <v>-140333.12291915243</v>
      </c>
      <c r="AD161" s="132">
        <f t="shared" si="66"/>
        <v>-141034.78853374819</v>
      </c>
      <c r="AE161" s="132">
        <f t="shared" si="66"/>
        <v>-141739.9624764169</v>
      </c>
      <c r="AF161" s="132">
        <f t="shared" si="66"/>
        <v>-145906.71466451877</v>
      </c>
    </row>
    <row r="162" spans="2:32">
      <c r="B162" s="64"/>
      <c r="C162" s="130" t="s">
        <v>182</v>
      </c>
      <c r="D162" s="121"/>
      <c r="E162" s="131" t="s">
        <v>180</v>
      </c>
      <c r="F162" s="121"/>
      <c r="G162" s="121"/>
      <c r="H162" s="132"/>
      <c r="I162" s="132"/>
      <c r="J162" s="132"/>
      <c r="K162" s="132"/>
      <c r="L162" s="132">
        <v>-10000</v>
      </c>
      <c r="M162" s="132">
        <v>-30000</v>
      </c>
      <c r="N162" s="132">
        <v>-50000</v>
      </c>
      <c r="O162" s="132">
        <f>-O159*0.2</f>
        <v>-21928.66792537499</v>
      </c>
      <c r="P162" s="132">
        <v>-25000</v>
      </c>
      <c r="Q162" s="132">
        <v>-10000</v>
      </c>
      <c r="R162" s="132">
        <v>-10000</v>
      </c>
      <c r="S162" s="132">
        <v>-10000</v>
      </c>
      <c r="T162" s="132">
        <v>-10000</v>
      </c>
      <c r="U162" s="132">
        <v>-10000</v>
      </c>
      <c r="V162" s="132">
        <v>-10000</v>
      </c>
      <c r="W162" s="132">
        <v>-10000</v>
      </c>
      <c r="X162" s="132">
        <v>-10000</v>
      </c>
      <c r="Y162" s="132">
        <v>-10000</v>
      </c>
      <c r="Z162" s="132">
        <v>-10000</v>
      </c>
      <c r="AA162" s="132">
        <v>-10000</v>
      </c>
      <c r="AB162" s="132">
        <v>-10000</v>
      </c>
      <c r="AC162" s="132">
        <v>-10000</v>
      </c>
      <c r="AD162" s="132">
        <v>-10000</v>
      </c>
      <c r="AE162" s="132">
        <v>-10000</v>
      </c>
      <c r="AF162" s="132">
        <v>-10000</v>
      </c>
    </row>
    <row r="163" spans="2:32">
      <c r="B163" s="64"/>
      <c r="C163" s="133" t="s">
        <v>183</v>
      </c>
      <c r="D163" s="121"/>
      <c r="E163" s="131" t="s">
        <v>180</v>
      </c>
      <c r="F163" s="121"/>
      <c r="G163" s="121"/>
      <c r="H163" s="132"/>
      <c r="I163" s="132"/>
      <c r="J163" s="55">
        <v>-31121</v>
      </c>
      <c r="K163" s="55">
        <v>-50757</v>
      </c>
      <c r="L163" s="134">
        <v>-85620.08</v>
      </c>
      <c r="M163" s="134">
        <v>-60000</v>
      </c>
      <c r="N163" s="134">
        <v>-90000</v>
      </c>
      <c r="O163" s="134">
        <v>-15000</v>
      </c>
      <c r="P163" s="134">
        <v>-10000</v>
      </c>
      <c r="Q163" s="134">
        <v>-10000</v>
      </c>
      <c r="R163" s="134">
        <v>-10000</v>
      </c>
      <c r="S163" s="134">
        <v>-10000</v>
      </c>
      <c r="T163" s="134">
        <v>-10000</v>
      </c>
      <c r="U163" s="134">
        <v>-10000</v>
      </c>
      <c r="V163" s="134">
        <v>-10000</v>
      </c>
      <c r="W163" s="134">
        <v>-10000</v>
      </c>
      <c r="X163" s="134">
        <v>-10000</v>
      </c>
      <c r="Y163" s="134">
        <v>-10000</v>
      </c>
      <c r="Z163" s="134">
        <v>-10000</v>
      </c>
      <c r="AA163" s="134">
        <v>-10000</v>
      </c>
      <c r="AB163" s="134">
        <v>-10000</v>
      </c>
      <c r="AC163" s="134">
        <v>-10000</v>
      </c>
      <c r="AD163" s="134">
        <v>-10000</v>
      </c>
      <c r="AE163" s="134">
        <v>-10000</v>
      </c>
      <c r="AF163" s="134">
        <v>-10000</v>
      </c>
    </row>
    <row r="164" spans="2:32">
      <c r="B164" s="64"/>
      <c r="C164" s="126" t="s">
        <v>184</v>
      </c>
      <c r="D164" s="121"/>
      <c r="E164" s="127" t="s">
        <v>180</v>
      </c>
      <c r="F164" s="121"/>
      <c r="G164" s="121"/>
      <c r="H164" s="135"/>
      <c r="I164" s="135"/>
      <c r="J164" s="135">
        <f t="shared" ref="J164:K164" si="67">SUM(J159:J163)</f>
        <v>-31121</v>
      </c>
      <c r="K164" s="135">
        <f t="shared" si="67"/>
        <v>-50757</v>
      </c>
      <c r="L164" s="135">
        <f t="shared" ref="L164:AF164" si="68">SUM(L159:L163)</f>
        <v>-95620.08</v>
      </c>
      <c r="M164" s="135">
        <f t="shared" si="68"/>
        <v>-90000</v>
      </c>
      <c r="N164" s="135">
        <f t="shared" si="68"/>
        <v>-114401.92640000001</v>
      </c>
      <c r="O164" s="135">
        <f t="shared" si="68"/>
        <v>59557.47094627496</v>
      </c>
      <c r="P164" s="135">
        <f t="shared" si="68"/>
        <v>148236.1684406604</v>
      </c>
      <c r="Q164" s="135">
        <f t="shared" si="68"/>
        <v>294121.81023991102</v>
      </c>
      <c r="R164" s="135">
        <f t="shared" si="68"/>
        <v>451441.81070504943</v>
      </c>
      <c r="S164" s="135">
        <f t="shared" si="68"/>
        <v>587536.39873819414</v>
      </c>
      <c r="T164" s="135">
        <f t="shared" si="68"/>
        <v>729852.32070324372</v>
      </c>
      <c r="U164" s="135">
        <f t="shared" si="68"/>
        <v>813285.32568950579</v>
      </c>
      <c r="V164" s="135">
        <f t="shared" si="68"/>
        <v>878529.72128636821</v>
      </c>
      <c r="W164" s="135">
        <f t="shared" si="68"/>
        <v>940073.6606753167</v>
      </c>
      <c r="X164" s="135">
        <f t="shared" si="68"/>
        <v>964844.18861986452</v>
      </c>
      <c r="Y164" s="135">
        <f t="shared" si="68"/>
        <v>982444.20562993851</v>
      </c>
      <c r="Z164" s="135">
        <f t="shared" si="68"/>
        <v>993826.01418174314</v>
      </c>
      <c r="AA164" s="135">
        <f t="shared" si="68"/>
        <v>998895.14425265184</v>
      </c>
      <c r="AB164" s="135">
        <f t="shared" si="68"/>
        <v>1003989.6199739149</v>
      </c>
      <c r="AC164" s="135">
        <f t="shared" si="68"/>
        <v>1009109.5680737845</v>
      </c>
      <c r="AD164" s="135">
        <f t="shared" si="68"/>
        <v>1014255.1159141534</v>
      </c>
      <c r="AE164" s="135">
        <f t="shared" si="68"/>
        <v>1019426.391493724</v>
      </c>
      <c r="AF164" s="135">
        <f t="shared" si="68"/>
        <v>1049982.574206471</v>
      </c>
    </row>
    <row r="165" spans="2:32">
      <c r="B165" s="64"/>
      <c r="C165" s="129"/>
      <c r="D165" s="121"/>
      <c r="E165" s="121"/>
      <c r="F165" s="121"/>
      <c r="G165" s="121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</row>
    <row r="166" spans="2:32">
      <c r="B166" s="64"/>
      <c r="C166" s="133" t="s">
        <v>185</v>
      </c>
      <c r="D166" s="121"/>
      <c r="E166" s="131" t="s">
        <v>180</v>
      </c>
      <c r="F166" s="121"/>
      <c r="G166" s="121"/>
      <c r="H166" s="132"/>
      <c r="I166" s="132"/>
      <c r="J166" s="134"/>
      <c r="K166" s="134"/>
      <c r="L166" s="134">
        <f>(L159/Drivers!K$9)*Model!K$80</f>
        <v>0</v>
      </c>
      <c r="M166" s="134">
        <f>(M159/Drivers!L$9)*Model!L$80</f>
        <v>0</v>
      </c>
      <c r="N166" s="134">
        <f>(N159/Drivers!M$9)*Model!M$80</f>
        <v>-225.49424130389022</v>
      </c>
      <c r="O166" s="134">
        <f>(O159/Drivers!N$9)*Model!N$80</f>
        <v>-2370.4768217982059</v>
      </c>
      <c r="P166" s="134">
        <f>(P159/Drivers!O$9)*Model!O$80</f>
        <v>-4681.7231223124363</v>
      </c>
      <c r="Q166" s="134">
        <f>(Q159/Drivers!P$9)*Model!P$80</f>
        <v>-11483.822453422414</v>
      </c>
      <c r="R166" s="134">
        <f t="shared" ref="R166:AF166" si="69">R164*-Tax_Rate</f>
        <v>-94802.780248060371</v>
      </c>
      <c r="S166" s="134">
        <f t="shared" si="69"/>
        <v>-123382.64373502077</v>
      </c>
      <c r="T166" s="134">
        <f t="shared" si="69"/>
        <v>-153268.98734768116</v>
      </c>
      <c r="U166" s="134">
        <f t="shared" si="69"/>
        <v>-170789.9183947962</v>
      </c>
      <c r="V166" s="134">
        <f t="shared" si="69"/>
        <v>-184491.24147013732</v>
      </c>
      <c r="W166" s="134">
        <f t="shared" si="69"/>
        <v>-197415.4687418165</v>
      </c>
      <c r="X166" s="134">
        <f t="shared" si="69"/>
        <v>-202617.27961017154</v>
      </c>
      <c r="Y166" s="134">
        <f t="shared" si="69"/>
        <v>-206313.28318228709</v>
      </c>
      <c r="Z166" s="134">
        <f t="shared" si="69"/>
        <v>-208703.46297816606</v>
      </c>
      <c r="AA166" s="134">
        <f t="shared" si="69"/>
        <v>-209767.98029305687</v>
      </c>
      <c r="AB166" s="134">
        <f t="shared" si="69"/>
        <v>-210837.82019452212</v>
      </c>
      <c r="AC166" s="134">
        <f t="shared" si="69"/>
        <v>-211913.00929549473</v>
      </c>
      <c r="AD166" s="134">
        <f t="shared" si="69"/>
        <v>-212993.57434197221</v>
      </c>
      <c r="AE166" s="134">
        <f t="shared" si="69"/>
        <v>-214079.54221368203</v>
      </c>
      <c r="AF166" s="134">
        <f t="shared" si="69"/>
        <v>-220496.34058335889</v>
      </c>
    </row>
    <row r="167" spans="2:32">
      <c r="B167" s="64"/>
      <c r="C167" s="126" t="s">
        <v>186</v>
      </c>
      <c r="D167" s="121"/>
      <c r="E167" s="127" t="s">
        <v>180</v>
      </c>
      <c r="F167" s="121"/>
      <c r="G167" s="121"/>
      <c r="H167" s="135"/>
      <c r="I167" s="135"/>
      <c r="J167" s="135">
        <f t="shared" ref="J167:K167" si="70">SUM(J164:J166)</f>
        <v>-31121</v>
      </c>
      <c r="K167" s="135">
        <f t="shared" si="70"/>
        <v>-50757</v>
      </c>
      <c r="L167" s="135">
        <f t="shared" ref="L167:M167" si="71">SUM(L164:L166)</f>
        <v>-95620.08</v>
      </c>
      <c r="M167" s="135">
        <f t="shared" si="71"/>
        <v>-90000</v>
      </c>
      <c r="N167" s="135">
        <f t="shared" ref="N167:AF167" si="72">SUM(N164:N166)</f>
        <v>-114627.42064130391</v>
      </c>
      <c r="O167" s="135">
        <f t="shared" si="72"/>
        <v>57186.994124476754</v>
      </c>
      <c r="P167" s="135">
        <f t="shared" si="72"/>
        <v>143554.44531834798</v>
      </c>
      <c r="Q167" s="135">
        <f t="shared" si="72"/>
        <v>282637.98778648861</v>
      </c>
      <c r="R167" s="135">
        <f t="shared" si="72"/>
        <v>356639.03045698907</v>
      </c>
      <c r="S167" s="135">
        <f t="shared" si="72"/>
        <v>464153.75500317337</v>
      </c>
      <c r="T167" s="135">
        <f t="shared" si="72"/>
        <v>576583.33335556253</v>
      </c>
      <c r="U167" s="135">
        <f t="shared" si="72"/>
        <v>642495.40729470958</v>
      </c>
      <c r="V167" s="135">
        <f t="shared" si="72"/>
        <v>694038.47981623095</v>
      </c>
      <c r="W167" s="135">
        <f t="shared" si="72"/>
        <v>742658.19193350023</v>
      </c>
      <c r="X167" s="135">
        <f t="shared" si="72"/>
        <v>762226.90900969296</v>
      </c>
      <c r="Y167" s="135">
        <f t="shared" si="72"/>
        <v>776130.92244765139</v>
      </c>
      <c r="Z167" s="135">
        <f t="shared" si="72"/>
        <v>785122.55120357708</v>
      </c>
      <c r="AA167" s="135">
        <f t="shared" si="72"/>
        <v>789127.16395959491</v>
      </c>
      <c r="AB167" s="135">
        <f t="shared" si="72"/>
        <v>793151.79977939278</v>
      </c>
      <c r="AC167" s="135">
        <f t="shared" si="72"/>
        <v>797196.55877828971</v>
      </c>
      <c r="AD167" s="135">
        <f t="shared" si="72"/>
        <v>801261.54157218116</v>
      </c>
      <c r="AE167" s="135">
        <f t="shared" si="72"/>
        <v>805346.84928004188</v>
      </c>
      <c r="AF167" s="135">
        <f t="shared" si="72"/>
        <v>829486.23362311209</v>
      </c>
    </row>
    <row r="168" spans="2:32">
      <c r="B168" s="64"/>
      <c r="C168" s="129"/>
      <c r="D168" s="121"/>
      <c r="E168" s="121"/>
      <c r="F168" s="121"/>
      <c r="G168" s="121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</row>
    <row r="169" spans="2:32">
      <c r="B169" s="64"/>
      <c r="C169" s="130" t="s">
        <v>188</v>
      </c>
      <c r="D169" s="121"/>
      <c r="E169" s="121"/>
      <c r="F169" s="121"/>
      <c r="G169" s="121"/>
      <c r="H169" s="135"/>
      <c r="I169" s="135"/>
      <c r="J169" s="144">
        <f>-SUM(Drivers!I308:I309)</f>
        <v>0</v>
      </c>
      <c r="K169" s="144">
        <f>-SUM(Drivers!J308:J309)</f>
        <v>0</v>
      </c>
      <c r="L169" s="144">
        <f>SUM(Drivers!K359:K360)</f>
        <v>0</v>
      </c>
      <c r="M169" s="144">
        <f>SUM(Drivers!L359:L360)</f>
        <v>0</v>
      </c>
      <c r="N169" s="144">
        <f>SUM(Drivers!M359:M360)</f>
        <v>-3221.0285714285715</v>
      </c>
      <c r="O169" s="144">
        <f>SUM(Drivers!N359:N360)</f>
        <v>-12140.937435714284</v>
      </c>
      <c r="P169" s="144">
        <f>SUM(Drivers!O359:O360)</f>
        <v>-23056.771501214283</v>
      </c>
      <c r="Q169" s="144">
        <f>SUM(Drivers!P359:P360)</f>
        <v>-39526.229258580526</v>
      </c>
      <c r="R169" s="144">
        <f>SUM(Drivers!Q359:Q360)</f>
        <v>-59321.946087653443</v>
      </c>
      <c r="S169" s="144">
        <f>SUM(Drivers!R359:R360)</f>
        <v>-76446.850223860005</v>
      </c>
      <c r="T169" s="144">
        <f>SUM(Drivers!S359:S360)</f>
        <v>-94354.590391410107</v>
      </c>
      <c r="U169" s="144">
        <f>SUM(Drivers!T359:T360)</f>
        <v>-104853.04027714263</v>
      </c>
      <c r="V169" s="144">
        <f>SUM(Drivers!U359:U360)</f>
        <v>-113062.80112192285</v>
      </c>
      <c r="W169" s="144">
        <f>SUM(Drivers!V359:V360)</f>
        <v>-120806.93024147002</v>
      </c>
      <c r="X169" s="144">
        <f>SUM(Drivers!W359:W360)</f>
        <v>-123923.82800047789</v>
      </c>
      <c r="Y169" s="144">
        <f>SUM(Drivers!X359:X360)</f>
        <v>-126138.45393416836</v>
      </c>
      <c r="Z169" s="144">
        <f>SUM(Drivers!Y359:Y360)</f>
        <v>-127570.63711766747</v>
      </c>
      <c r="AA169" s="144">
        <f>SUM(Drivers!Z359:Z360)</f>
        <v>-128208.49030325581</v>
      </c>
      <c r="AB169" s="144">
        <f>SUM(Drivers!AA359:AA360)</f>
        <v>-128849.53275477205</v>
      </c>
      <c r="AC169" s="144">
        <f>SUM(Drivers!AB359:AB360)</f>
        <v>-129493.78041854594</v>
      </c>
      <c r="AD169" s="144">
        <f>SUM(Drivers!AC359:AC360)</f>
        <v>-130141.24932063864</v>
      </c>
      <c r="AE169" s="144">
        <f>SUM(Drivers!AD359:AD360)</f>
        <v>-130791.95556724182</v>
      </c>
      <c r="AF169" s="144">
        <f>SUM(Drivers!AE359:AE360)</f>
        <v>-134636.86745746899</v>
      </c>
    </row>
    <row r="170" spans="2:32">
      <c r="B170" s="64"/>
      <c r="C170" s="130" t="s">
        <v>187</v>
      </c>
      <c r="D170" s="121"/>
      <c r="E170" s="131" t="s">
        <v>180</v>
      </c>
      <c r="F170" s="121"/>
      <c r="G170" s="121"/>
      <c r="H170" s="135"/>
      <c r="I170" s="135"/>
      <c r="J170" s="144">
        <f>(I$59-J$59)*(J159/Drivers!I$9)</f>
        <v>0</v>
      </c>
      <c r="K170" s="144">
        <f>(J$59-K$59)*(K159/Drivers!J$9)</f>
        <v>0</v>
      </c>
      <c r="L170" s="144">
        <f>(K$59-L$59)*(L159/Drivers!K$9)</f>
        <v>0</v>
      </c>
      <c r="M170" s="144">
        <f>(L$59-M$59)*(M159/Drivers!L$9)</f>
        <v>0</v>
      </c>
      <c r="N170" s="144">
        <f>(M$59-N$59)*(N159/Drivers!M$9)</f>
        <v>-4168.8620951221683</v>
      </c>
      <c r="O170" s="144">
        <f>(N$59-O$59)*(O159/Drivers!N$9)</f>
        <v>-7785.5267545203051</v>
      </c>
      <c r="P170" s="144">
        <f>(O$59-P$59)*(P159/Drivers!O$9)</f>
        <v>-5466.8942864812398</v>
      </c>
      <c r="Q170" s="144">
        <f>(P$59-Q$59)*(Q159/Drivers!P$9)</f>
        <v>-17984.394552106456</v>
      </c>
      <c r="R170" s="144">
        <f>(Q$59-R$59)*(R159/Drivers!Q$9)</f>
        <v>322.08485470225725</v>
      </c>
      <c r="S170" s="144">
        <f>(R$59-S$59)*(S159/Drivers!R$9)</f>
        <v>20317.661015532656</v>
      </c>
      <c r="T170" s="144">
        <f>(S$59-T$59)*(T159/Drivers!S$9)</f>
        <v>37354.550283088851</v>
      </c>
      <c r="U170" s="144">
        <f>(T$59-U$59)*(U159/Drivers!T$9)</f>
        <v>50259.559380561201</v>
      </c>
      <c r="V170" s="144">
        <f>(U$59-V$59)*(V159/Drivers!U$9)</f>
        <v>12383.551413021993</v>
      </c>
      <c r="W170" s="144">
        <f>(V$59-W$59)*(W159/Drivers!V$9)</f>
        <v>17180.041214897887</v>
      </c>
      <c r="X170" s="144">
        <f>(W$59-X$59)*(X159/Drivers!W$9)</f>
        <v>28815.405120540498</v>
      </c>
      <c r="Y170" s="144">
        <f>(X$59-Y$59)*(Y159/Drivers!X$9)</f>
        <v>5429.7051593163042</v>
      </c>
      <c r="Z170" s="144">
        <f>(Y$59-Z$59)*(Z159/Drivers!Y$9)</f>
        <v>3271.3567119963318</v>
      </c>
      <c r="AA170" s="144">
        <f>(Z$59-AA$59)*(AA159/Drivers!Z$9)</f>
        <v>-288.01875402889721</v>
      </c>
      <c r="AB170" s="144">
        <f>(AA$59-AB$59)*(AB159/Drivers!AA$9)</f>
        <v>-289.45884779904009</v>
      </c>
      <c r="AC170" s="144">
        <f>(AB$59-AC$59)*(AC159/Drivers!AB$9)</f>
        <v>-290.90614203804614</v>
      </c>
      <c r="AD170" s="144">
        <f>(AC$59-AD$59)*(AD159/Drivers!AC$9)</f>
        <v>-292.36067274823665</v>
      </c>
      <c r="AE170" s="144">
        <f>(AD$59-AE$59)*(AE159/Drivers!AD$9)</f>
        <v>-293.82247611196055</v>
      </c>
      <c r="AF170" s="144">
        <f>(AE$59-AF$59)*(AF159/Drivers!AE$9)</f>
        <v>-1736.1467450424507</v>
      </c>
    </row>
    <row r="171" spans="2:32">
      <c r="B171" s="64"/>
      <c r="C171" s="130" t="s">
        <v>189</v>
      </c>
      <c r="D171" s="121"/>
      <c r="E171" s="131" t="s">
        <v>180</v>
      </c>
      <c r="F171" s="121"/>
      <c r="G171" s="121"/>
      <c r="H171" s="135"/>
      <c r="I171" s="135"/>
      <c r="J171" s="144">
        <f>J$62*(J159/Drivers!I$9)</f>
        <v>0</v>
      </c>
      <c r="K171" s="144">
        <f>K$62*(K159/Drivers!J$9)</f>
        <v>0</v>
      </c>
      <c r="L171" s="144">
        <f>L$62*(L159/Drivers!K$9)</f>
        <v>0</v>
      </c>
      <c r="M171" s="144">
        <f>M$62*(M159/Drivers!L$9)</f>
        <v>0</v>
      </c>
      <c r="N171" s="144">
        <f>N$62*(N159/Drivers!M$9)</f>
        <v>-76.326259273321782</v>
      </c>
      <c r="O171" s="144">
        <f>O$62*(O159/Drivers!N$9)</f>
        <v>-199.00772419115381</v>
      </c>
      <c r="P171" s="144">
        <f>P$62*(P159/Drivers!O$9)</f>
        <v>-329.41006583563279</v>
      </c>
      <c r="Q171" s="144">
        <f>Q$62*(Q159/Drivers!P$9)</f>
        <v>-437.80389754739059</v>
      </c>
      <c r="R171" s="144">
        <f>R$62*(R159/Drivers!Q$9)</f>
        <v>-4961.8950177173565</v>
      </c>
      <c r="S171" s="144">
        <f>S$62*(S159/Drivers!R$9)</f>
        <v>-4965.0462743355465</v>
      </c>
      <c r="T171" s="144">
        <f>T$62*(T159/Drivers!S$9)</f>
        <v>-3612.3875226135096</v>
      </c>
      <c r="U171" s="144">
        <f>U$62*(U159/Drivers!T$9)</f>
        <v>-3420.0698276994635</v>
      </c>
      <c r="V171" s="144">
        <f>V$62*(V159/Drivers!U$9)</f>
        <v>-4181.6941909412244</v>
      </c>
      <c r="W171" s="144">
        <f>W$62*(W159/Drivers!V$9)</f>
        <v>-6038.9829188930353</v>
      </c>
      <c r="X171" s="144">
        <f>X$62*(X159/Drivers!W$9)</f>
        <v>-9697.5479727961574</v>
      </c>
      <c r="Y171" s="144">
        <f>Y$62*(Y159/Drivers!X$9)</f>
        <v>-11561.596659027042</v>
      </c>
      <c r="Z171" s="144">
        <f>Z$62*(Z159/Drivers!Y$9)</f>
        <v>-13266.494454133755</v>
      </c>
      <c r="AA171" s="144">
        <f>AA$62*(AA159/Drivers!Z$9)</f>
        <v>-14233.297701995902</v>
      </c>
      <c r="AB171" s="144">
        <f>AB$62*(AB159/Drivers!AA$9)</f>
        <v>-15314.773584521821</v>
      </c>
      <c r="AC171" s="144">
        <f>AC$62*(AC159/Drivers!AB$9)</f>
        <v>-13845.189881365102</v>
      </c>
      <c r="AD171" s="144">
        <f>AD$62*(AD159/Drivers!AC$9)</f>
        <v>-12750.486642907203</v>
      </c>
      <c r="AE171" s="144">
        <f>AE$62*(AE159/Drivers!AD$9)</f>
        <v>-12604.216482889122</v>
      </c>
      <c r="AF171" s="144">
        <f>AF$62*(AF159/Drivers!AE$9)</f>
        <v>-12798.978412782113</v>
      </c>
    </row>
    <row r="172" spans="2:32">
      <c r="B172" s="64"/>
      <c r="C172" s="133" t="s">
        <v>190</v>
      </c>
      <c r="D172" s="121"/>
      <c r="E172" s="131" t="s">
        <v>180</v>
      </c>
      <c r="F172" s="121"/>
      <c r="G172" s="121"/>
      <c r="H172" s="144"/>
      <c r="I172" s="144"/>
      <c r="J172" s="136">
        <f>-J$64*(J159/Drivers!I$9)</f>
        <v>0</v>
      </c>
      <c r="K172" s="136">
        <f>-K$64*(K159/Drivers!J$9)</f>
        <v>0</v>
      </c>
      <c r="L172" s="136">
        <f>-L$64*(L159/Drivers!K$9)</f>
        <v>0</v>
      </c>
      <c r="M172" s="136">
        <f>-M$64*(M159/Drivers!L$9)</f>
        <v>0</v>
      </c>
      <c r="N172" s="136">
        <f>-N$64*(N159/Drivers!M$9)</f>
        <v>487.5222909449385</v>
      </c>
      <c r="O172" s="136">
        <f>-O$64*(O159/Drivers!N$9)</f>
        <v>1175.4196331112184</v>
      </c>
      <c r="P172" s="136">
        <f>-P$64*(P159/Drivers!O$9)</f>
        <v>1510.8601030053089</v>
      </c>
      <c r="Q172" s="136">
        <f>-Q$64*(Q159/Drivers!P$9)</f>
        <v>1816.6948508499897</v>
      </c>
      <c r="R172" s="136">
        <f>-R$64*(R159/Drivers!Q$9)</f>
        <v>3862.0938257982161</v>
      </c>
      <c r="S172" s="136">
        <f>-S$64*(S159/Drivers!R$9)</f>
        <v>4847.6261616269185</v>
      </c>
      <c r="T172" s="136">
        <f>-T$64*(T159/Drivers!S$9)</f>
        <v>6246.584520013158</v>
      </c>
      <c r="U172" s="136">
        <f>-U$64*(U159/Drivers!T$9)</f>
        <v>7738.037619449532</v>
      </c>
      <c r="V172" s="136">
        <f>-V$64*(V159/Drivers!U$9)</f>
        <v>8657.5755521056672</v>
      </c>
      <c r="W172" s="136">
        <f>-W$64*(W159/Drivers!V$9)</f>
        <v>11754.242692381064</v>
      </c>
      <c r="X172" s="136">
        <f>-X$64*(X159/Drivers!W$9)</f>
        <v>17885.374026148056</v>
      </c>
      <c r="Y172" s="136">
        <f>-Y$64*(Y159/Drivers!X$9)</f>
        <v>19817.601795449762</v>
      </c>
      <c r="Z172" s="136">
        <f>-Z$64*(Z159/Drivers!Y$9)</f>
        <v>21372.789875733011</v>
      </c>
      <c r="AA172" s="136">
        <f>-AA$64*(AA159/Drivers!Z$9)</f>
        <v>21859.611517022298</v>
      </c>
      <c r="AB172" s="136">
        <f>-AB$64*(AB159/Drivers!AA$9)</f>
        <v>22627.028427892179</v>
      </c>
      <c r="AC172" s="136">
        <f>-AC$64*(AC159/Drivers!AB$9)</f>
        <v>22553.853676436138</v>
      </c>
      <c r="AD172" s="136">
        <f>-AD$64*(AD159/Drivers!AC$9)</f>
        <v>22388.648809453112</v>
      </c>
      <c r="AE172" s="136">
        <f>-AE$64*(AE159/Drivers!AD$9)</f>
        <v>22169.751861039851</v>
      </c>
      <c r="AF172" s="136">
        <f>-AF$64*(AF159/Drivers!AE$9)</f>
        <v>21975.631541521823</v>
      </c>
    </row>
    <row r="173" spans="2:32">
      <c r="B173" s="64"/>
      <c r="C173" s="126" t="s">
        <v>191</v>
      </c>
      <c r="D173" s="121"/>
      <c r="E173" s="127" t="s">
        <v>180</v>
      </c>
      <c r="F173" s="121"/>
      <c r="G173" s="121"/>
      <c r="H173" s="135"/>
      <c r="I173" s="135"/>
      <c r="J173" s="135">
        <f t="shared" ref="J173:K173" si="73">SUM(J167:J172)</f>
        <v>-31121</v>
      </c>
      <c r="K173" s="135">
        <f t="shared" si="73"/>
        <v>-50757</v>
      </c>
      <c r="L173" s="135">
        <f t="shared" ref="L173:X173" si="74">SUM(L167:L172)</f>
        <v>-95620.08</v>
      </c>
      <c r="M173" s="135">
        <f t="shared" si="74"/>
        <v>-90000</v>
      </c>
      <c r="N173" s="135">
        <f t="shared" si="74"/>
        <v>-121606.11527618303</v>
      </c>
      <c r="O173" s="135">
        <f t="shared" si="74"/>
        <v>38236.941843162233</v>
      </c>
      <c r="P173" s="135">
        <f t="shared" si="74"/>
        <v>116212.22956782213</v>
      </c>
      <c r="Q173" s="135">
        <f t="shared" si="74"/>
        <v>226506.25492910421</v>
      </c>
      <c r="R173" s="135">
        <f t="shared" si="74"/>
        <v>296539.36803211865</v>
      </c>
      <c r="S173" s="135">
        <f t="shared" si="74"/>
        <v>407907.14568213746</v>
      </c>
      <c r="T173" s="135">
        <f t="shared" si="74"/>
        <v>522217.49024464091</v>
      </c>
      <c r="U173" s="135">
        <f t="shared" si="74"/>
        <v>592219.89418987825</v>
      </c>
      <c r="V173" s="135">
        <f t="shared" si="74"/>
        <v>597835.11146849452</v>
      </c>
      <c r="W173" s="135">
        <f t="shared" si="74"/>
        <v>644746.56268041616</v>
      </c>
      <c r="X173" s="135">
        <f t="shared" si="74"/>
        <v>675306.31218310748</v>
      </c>
      <c r="Y173" s="135">
        <f t="shared" ref="Y173:AF173" si="75">SUM(Y167:Y172)</f>
        <v>663678.17880922207</v>
      </c>
      <c r="Z173" s="135">
        <f t="shared" si="75"/>
        <v>668929.56621950516</v>
      </c>
      <c r="AA173" s="135">
        <f t="shared" si="75"/>
        <v>668256.96871733642</v>
      </c>
      <c r="AB173" s="135">
        <f t="shared" si="75"/>
        <v>671325.06302019197</v>
      </c>
      <c r="AC173" s="135">
        <f t="shared" si="75"/>
        <v>676120.53601277678</v>
      </c>
      <c r="AD173" s="135">
        <f t="shared" si="75"/>
        <v>680466.09374534024</v>
      </c>
      <c r="AE173" s="135">
        <f t="shared" si="75"/>
        <v>683826.60661483882</v>
      </c>
      <c r="AF173" s="135">
        <f t="shared" si="75"/>
        <v>702289.87254934048</v>
      </c>
    </row>
    <row r="174" spans="2:32">
      <c r="B174" s="64"/>
      <c r="C174" s="137" t="s">
        <v>192</v>
      </c>
      <c r="D174" s="121"/>
      <c r="E174" s="131" t="s">
        <v>15</v>
      </c>
      <c r="F174" s="121"/>
      <c r="G174" s="121"/>
      <c r="H174" s="145"/>
      <c r="I174" s="145"/>
      <c r="J174" s="145"/>
      <c r="K174" s="145"/>
      <c r="L174" s="138"/>
      <c r="M174" s="138"/>
      <c r="N174" s="138">
        <f t="shared" ref="N174:X174" si="76">N173/N159</f>
        <v>-4.1805247971097756</v>
      </c>
      <c r="O174" s="138">
        <f t="shared" si="76"/>
        <v>0.34873930302821499</v>
      </c>
      <c r="P174" s="138">
        <f t="shared" si="76"/>
        <v>0.55811449720856698</v>
      </c>
      <c r="Q174" s="138">
        <f t="shared" si="76"/>
        <v>0.63454843898096902</v>
      </c>
      <c r="R174" s="138">
        <f t="shared" si="76"/>
        <v>0.55352460885470089</v>
      </c>
      <c r="S174" s="138">
        <f t="shared" si="76"/>
        <v>0.59084243996871533</v>
      </c>
      <c r="T174" s="138">
        <f t="shared" si="76"/>
        <v>0.61285586338426867</v>
      </c>
      <c r="U174" s="138">
        <f t="shared" si="76"/>
        <v>0.62542023820695747</v>
      </c>
      <c r="V174" s="138">
        <f t="shared" si="76"/>
        <v>0.58550639520204006</v>
      </c>
      <c r="W174" s="138">
        <f t="shared" si="76"/>
        <v>0.59097233722636733</v>
      </c>
      <c r="X174" s="138">
        <f t="shared" si="76"/>
        <v>0.60341479554641919</v>
      </c>
    </row>
    <row r="175" spans="2:32">
      <c r="B175" s="64"/>
      <c r="C175" s="137"/>
      <c r="D175" s="121"/>
      <c r="E175" s="131"/>
      <c r="F175" s="121"/>
      <c r="G175" s="121"/>
      <c r="H175" s="145"/>
      <c r="I175" s="145"/>
      <c r="J175" s="145"/>
      <c r="K175" s="145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</row>
    <row r="176" spans="2:32">
      <c r="B176" s="64"/>
      <c r="C176" s="133" t="s">
        <v>149</v>
      </c>
      <c r="D176" s="121"/>
      <c r="E176" s="131" t="s">
        <v>15</v>
      </c>
      <c r="F176" s="121"/>
      <c r="G176" s="121"/>
      <c r="H176" s="145"/>
      <c r="I176" s="145"/>
      <c r="J176" s="139">
        <v>1</v>
      </c>
      <c r="K176" s="139">
        <v>1</v>
      </c>
      <c r="L176" s="139">
        <v>1</v>
      </c>
      <c r="M176" s="139">
        <v>1</v>
      </c>
      <c r="N176" s="139">
        <v>0.6</v>
      </c>
      <c r="O176" s="139">
        <v>0.6</v>
      </c>
      <c r="P176" s="139">
        <v>0.6</v>
      </c>
      <c r="Q176" s="139">
        <v>0.6</v>
      </c>
      <c r="R176" s="139">
        <v>0.6</v>
      </c>
      <c r="S176" s="139">
        <v>0.6</v>
      </c>
      <c r="T176" s="139">
        <v>0.6</v>
      </c>
      <c r="U176" s="139">
        <v>0.6</v>
      </c>
      <c r="V176" s="139">
        <v>0.6</v>
      </c>
      <c r="W176" s="139">
        <v>0.6</v>
      </c>
      <c r="X176" s="139">
        <v>0.6</v>
      </c>
      <c r="Y176" s="139">
        <v>0.6</v>
      </c>
      <c r="Z176" s="139">
        <v>0.6</v>
      </c>
      <c r="AA176" s="139">
        <v>0.6</v>
      </c>
      <c r="AB176" s="139">
        <v>0.6</v>
      </c>
      <c r="AC176" s="139">
        <v>0.6</v>
      </c>
      <c r="AD176" s="139">
        <v>0.6</v>
      </c>
      <c r="AE176" s="139">
        <v>0.6</v>
      </c>
      <c r="AF176" s="139">
        <v>0.6</v>
      </c>
    </row>
    <row r="177" spans="2:32">
      <c r="B177" s="64"/>
      <c r="C177" s="126" t="s">
        <v>193</v>
      </c>
      <c r="D177" s="121"/>
      <c r="E177" s="127" t="s">
        <v>180</v>
      </c>
      <c r="F177" s="121"/>
      <c r="G177" s="121"/>
      <c r="H177" s="145"/>
      <c r="I177" s="145"/>
      <c r="J177" s="135">
        <f>J173*J176</f>
        <v>-31121</v>
      </c>
      <c r="K177" s="135">
        <f>K173*K176</f>
        <v>-50757</v>
      </c>
      <c r="L177" s="135">
        <f>L173*L176</f>
        <v>-95620.08</v>
      </c>
      <c r="M177" s="135">
        <f t="shared" ref="M177:X177" si="77">M173*M176</f>
        <v>-90000</v>
      </c>
      <c r="N177" s="135">
        <f t="shared" si="77"/>
        <v>-72963.669165709813</v>
      </c>
      <c r="O177" s="135">
        <f t="shared" si="77"/>
        <v>22942.16510589734</v>
      </c>
      <c r="P177" s="135">
        <f t="shared" si="77"/>
        <v>69727.33774069327</v>
      </c>
      <c r="Q177" s="135">
        <f t="shared" si="77"/>
        <v>135903.75295746251</v>
      </c>
      <c r="R177" s="135">
        <f t="shared" si="77"/>
        <v>177923.62081927119</v>
      </c>
      <c r="S177" s="135">
        <f t="shared" si="77"/>
        <v>244744.28740928246</v>
      </c>
      <c r="T177" s="135">
        <f t="shared" si="77"/>
        <v>313330.49414678453</v>
      </c>
      <c r="U177" s="135">
        <f t="shared" si="77"/>
        <v>355331.93651392695</v>
      </c>
      <c r="V177" s="135">
        <f t="shared" si="77"/>
        <v>358701.06688109669</v>
      </c>
      <c r="W177" s="135">
        <f t="shared" si="77"/>
        <v>386847.93760824966</v>
      </c>
      <c r="X177" s="135">
        <f t="shared" si="77"/>
        <v>405183.78730986448</v>
      </c>
      <c r="Y177" s="135">
        <f t="shared" ref="Y177:AF177" si="78">Y173*Y176</f>
        <v>398206.90728553321</v>
      </c>
      <c r="Z177" s="135">
        <f t="shared" si="78"/>
        <v>401357.73973170307</v>
      </c>
      <c r="AA177" s="135">
        <f t="shared" si="78"/>
        <v>400954.18123040185</v>
      </c>
      <c r="AB177" s="135">
        <f t="shared" si="78"/>
        <v>402795.03781211516</v>
      </c>
      <c r="AC177" s="135">
        <f t="shared" si="78"/>
        <v>405672.32160766603</v>
      </c>
      <c r="AD177" s="135">
        <f t="shared" si="78"/>
        <v>408279.65624720411</v>
      </c>
      <c r="AE177" s="135">
        <f t="shared" si="78"/>
        <v>410295.96396890329</v>
      </c>
      <c r="AF177" s="135">
        <f t="shared" si="78"/>
        <v>421373.92352960428</v>
      </c>
    </row>
    <row r="178" spans="2:32">
      <c r="B178" s="64"/>
      <c r="C178" s="137" t="s">
        <v>192</v>
      </c>
      <c r="D178" s="121"/>
      <c r="E178" s="131" t="s">
        <v>15</v>
      </c>
      <c r="F178" s="121"/>
      <c r="G178" s="121"/>
      <c r="H178" s="145"/>
      <c r="I178" s="145"/>
      <c r="J178" s="135"/>
      <c r="K178" s="135"/>
      <c r="L178" s="135"/>
      <c r="M178" s="135"/>
      <c r="N178" s="138">
        <f>N177/N159</f>
        <v>-2.5083148782658653</v>
      </c>
      <c r="O178" s="138">
        <f t="shared" ref="O178" si="79">O177/O159</f>
        <v>0.20924358181692898</v>
      </c>
      <c r="P178" s="138">
        <f t="shared" ref="P178" si="80">P177/P159</f>
        <v>0.33486869832514016</v>
      </c>
      <c r="Q178" s="138">
        <f t="shared" ref="Q178" si="81">Q177/Q159</f>
        <v>0.38072906338858137</v>
      </c>
      <c r="R178" s="138">
        <f t="shared" ref="R178" si="82">R177/R159</f>
        <v>0.33211476531282053</v>
      </c>
      <c r="S178" s="138">
        <f t="shared" ref="S178" si="83">S177/S159</f>
        <v>0.35450546398122917</v>
      </c>
      <c r="T178" s="138">
        <f t="shared" ref="T178" si="84">T177/T159</f>
        <v>0.36771351803056124</v>
      </c>
      <c r="U178" s="138">
        <f t="shared" ref="U178" si="85">U177/U159</f>
        <v>0.37525214292417447</v>
      </c>
      <c r="V178" s="138">
        <f t="shared" ref="V178" si="86">V177/V159</f>
        <v>0.35130383712122398</v>
      </c>
      <c r="W178" s="138">
        <f t="shared" ref="W178" si="87">W177/W159</f>
        <v>0.35458340233582036</v>
      </c>
      <c r="X178" s="138">
        <f t="shared" ref="X178" si="88">X177/X159</f>
        <v>0.36204887732785146</v>
      </c>
      <c r="Y178" s="138">
        <f t="shared" ref="Y178" si="89">Y177/Y159</f>
        <v>0.3495676631609268</v>
      </c>
      <c r="Z178" s="138">
        <f t="shared" ref="Z178" si="90">Z177/Z159</f>
        <v>0.34837812999793805</v>
      </c>
      <c r="AA178" s="138">
        <f t="shared" ref="AA178" si="91">AA177/AA159</f>
        <v>0.34629635980997592</v>
      </c>
      <c r="AB178" s="138">
        <f t="shared" ref="AB178" si="92">AB177/AB159</f>
        <v>0.34615549450949595</v>
      </c>
      <c r="AC178" s="138">
        <f t="shared" ref="AC178" si="93">AC177/AC159</f>
        <v>0.34689371675256908</v>
      </c>
      <c r="AD178" s="138">
        <f t="shared" ref="AD178" si="94">AD177/AD159</f>
        <v>0.34738633821499182</v>
      </c>
      <c r="AE178" s="138">
        <f t="shared" ref="AE178" si="95">AE177/AE159</f>
        <v>0.34736509602547933</v>
      </c>
      <c r="AF178" s="138">
        <f t="shared" ref="AF178" si="96">AF177/AF159</f>
        <v>0.3465561604879912</v>
      </c>
    </row>
    <row r="179" spans="2:32">
      <c r="B179" s="64"/>
      <c r="D179" s="39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 spans="2:32">
      <c r="B180" s="5" t="s">
        <v>195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2" spans="2:32">
      <c r="N182" s="146"/>
      <c r="O182" s="147"/>
      <c r="P182" s="147"/>
      <c r="Q182" s="147"/>
      <c r="R182" s="147"/>
      <c r="S182" s="148"/>
      <c r="T182" s="149" t="s">
        <v>196</v>
      </c>
      <c r="U182" s="147"/>
      <c r="V182" s="147"/>
      <c r="W182" s="147"/>
      <c r="X182" s="147"/>
      <c r="Y182" s="150"/>
    </row>
    <row r="183" spans="2:32">
      <c r="N183" s="151">
        <f>Y19</f>
        <v>0</v>
      </c>
      <c r="O183" s="152">
        <v>0.125</v>
      </c>
      <c r="P183" s="153">
        <f>O183-0.5%</f>
        <v>0.12</v>
      </c>
      <c r="Q183" s="153">
        <f t="shared" ref="Q183:Y183" si="97">P183-0.5%</f>
        <v>0.11499999999999999</v>
      </c>
      <c r="R183" s="153">
        <f t="shared" si="97"/>
        <v>0.10999999999999999</v>
      </c>
      <c r="S183" s="153">
        <f t="shared" si="97"/>
        <v>0.10499999999999998</v>
      </c>
      <c r="T183" s="153">
        <f t="shared" si="97"/>
        <v>9.9999999999999978E-2</v>
      </c>
      <c r="U183" s="153">
        <f t="shared" si="97"/>
        <v>9.4999999999999973E-2</v>
      </c>
      <c r="V183" s="153">
        <f t="shared" si="97"/>
        <v>8.9999999999999969E-2</v>
      </c>
      <c r="W183" s="153">
        <f t="shared" si="97"/>
        <v>8.4999999999999964E-2</v>
      </c>
      <c r="X183" s="153">
        <f t="shared" si="97"/>
        <v>7.999999999999996E-2</v>
      </c>
      <c r="Y183" s="153">
        <f t="shared" si="97"/>
        <v>7.4999999999999956E-2</v>
      </c>
    </row>
    <row r="184" spans="2:32">
      <c r="N184" s="154">
        <v>0.15</v>
      </c>
      <c r="O184" s="36">
        <v>35.025446313087926</v>
      </c>
      <c r="P184" s="36">
        <v>36.053938027051423</v>
      </c>
      <c r="Q184" s="36">
        <v>37.124537970932167</v>
      </c>
      <c r="R184" s="36">
        <v>38.239350836164078</v>
      </c>
      <c r="S184" s="36">
        <v>39.400602923274541</v>
      </c>
      <c r="T184" s="155">
        <v>40.610650030319427</v>
      </c>
      <c r="U184" s="36">
        <v>41.871985905498498</v>
      </c>
      <c r="V184" s="36">
        <v>43.187251307898634</v>
      </c>
      <c r="W184" s="36">
        <v>44.559243724007544</v>
      </c>
      <c r="X184" s="36">
        <v>45.990927791668732</v>
      </c>
      <c r="Y184" s="156">
        <v>47.48544648754261</v>
      </c>
    </row>
    <row r="185" spans="2:32">
      <c r="N185" s="157">
        <f>N184-0.005</f>
        <v>0.14499999999999999</v>
      </c>
      <c r="O185" s="36">
        <v>35.295551247879807</v>
      </c>
      <c r="P185" s="36">
        <v>36.331563652711843</v>
      </c>
      <c r="Q185" s="36">
        <v>37.409993769210779</v>
      </c>
      <c r="R185" s="36">
        <v>38.532962097353405</v>
      </c>
      <c r="S185" s="36">
        <v>39.702711684374997</v>
      </c>
      <c r="T185" s="155">
        <v>40.9216160757545</v>
      </c>
      <c r="U185" s="36">
        <v>42.192187834973858</v>
      </c>
      <c r="V185" s="36">
        <v>43.517087676365428</v>
      </c>
      <c r="W185" s="36">
        <v>44.899134259088569</v>
      </c>
      <c r="X185" s="36">
        <v>46.341314694339331</v>
      </c>
      <c r="Y185" s="156">
        <v>47.846795822328012</v>
      </c>
    </row>
    <row r="186" spans="2:32">
      <c r="N186" s="157">
        <f t="shared" ref="N186:N194" si="98">N185-0.005</f>
        <v>0.13999999999999999</v>
      </c>
      <c r="O186" s="36">
        <v>35.565656182671688</v>
      </c>
      <c r="P186" s="36">
        <v>36.609189278372277</v>
      </c>
      <c r="Q186" s="36">
        <v>37.695449567489383</v>
      </c>
      <c r="R186" s="36">
        <v>38.826573358542738</v>
      </c>
      <c r="S186" s="36">
        <v>40.004820445475438</v>
      </c>
      <c r="T186" s="155">
        <v>41.232582121189566</v>
      </c>
      <c r="U186" s="36">
        <v>42.512389764449225</v>
      </c>
      <c r="V186" s="36">
        <v>43.846924044832214</v>
      </c>
      <c r="W186" s="36">
        <v>45.239024794169609</v>
      </c>
      <c r="X186" s="36">
        <v>46.691701597009946</v>
      </c>
      <c r="Y186" s="156">
        <v>48.208145157113414</v>
      </c>
    </row>
    <row r="187" spans="2:32">
      <c r="N187" s="157">
        <f t="shared" si="98"/>
        <v>0.13499999999999998</v>
      </c>
      <c r="O187" s="36">
        <v>35.835761117463562</v>
      </c>
      <c r="P187" s="36">
        <v>36.886814904032711</v>
      </c>
      <c r="Q187" s="36">
        <v>37.980905365768002</v>
      </c>
      <c r="R187" s="36">
        <v>39.120184619732065</v>
      </c>
      <c r="S187" s="36">
        <v>40.306929206575887</v>
      </c>
      <c r="T187" s="155">
        <v>41.543548166624646</v>
      </c>
      <c r="U187" s="36">
        <v>42.832591693924591</v>
      </c>
      <c r="V187" s="36">
        <v>44.176760413299</v>
      </c>
      <c r="W187" s="36">
        <v>45.578915329250641</v>
      </c>
      <c r="X187" s="36">
        <v>47.042088499680553</v>
      </c>
      <c r="Y187" s="156">
        <v>48.569494491898816</v>
      </c>
    </row>
    <row r="188" spans="2:32">
      <c r="L188" s="158" t="s">
        <v>197</v>
      </c>
      <c r="N188" s="157">
        <f t="shared" si="98"/>
        <v>0.12999999999999998</v>
      </c>
      <c r="O188" s="36">
        <v>36.10586605225545</v>
      </c>
      <c r="P188" s="36">
        <v>37.164440529693145</v>
      </c>
      <c r="Q188" s="36">
        <v>38.266361164046621</v>
      </c>
      <c r="R188" s="36">
        <v>39.413795880921391</v>
      </c>
      <c r="S188" s="36">
        <v>40.609037967676336</v>
      </c>
      <c r="T188" s="155">
        <v>41.854514212059712</v>
      </c>
      <c r="U188" s="36">
        <v>43.152793623399965</v>
      </c>
      <c r="V188" s="36">
        <v>44.506596781765779</v>
      </c>
      <c r="W188" s="36">
        <v>45.918805864331667</v>
      </c>
      <c r="X188" s="36">
        <v>47.392475402351167</v>
      </c>
      <c r="Y188" s="156">
        <v>48.930843826684232</v>
      </c>
    </row>
    <row r="189" spans="2:32">
      <c r="N189" s="157">
        <f t="shared" si="98"/>
        <v>0.12499999999999997</v>
      </c>
      <c r="O189" s="155">
        <v>36.375970987047324</v>
      </c>
      <c r="P189" s="155">
        <v>37.442066155353579</v>
      </c>
      <c r="Q189" s="155">
        <v>38.55181696232524</v>
      </c>
      <c r="R189" s="155">
        <v>39.707407142110718</v>
      </c>
      <c r="S189" s="155">
        <v>40.911146728776778</v>
      </c>
      <c r="T189" s="155">
        <v>42.165480257494778</v>
      </c>
      <c r="U189" s="155">
        <v>43.472995552875325</v>
      </c>
      <c r="V189" s="155">
        <v>44.836433150232573</v>
      </c>
      <c r="W189" s="155">
        <v>46.258696399412706</v>
      </c>
      <c r="X189" s="155">
        <v>47.742862305021774</v>
      </c>
      <c r="Y189" s="159">
        <v>49.29219316146964</v>
      </c>
    </row>
    <row r="190" spans="2:32">
      <c r="N190" s="157">
        <f t="shared" si="98"/>
        <v>0.11999999999999997</v>
      </c>
      <c r="O190" s="36">
        <v>36.646075921839206</v>
      </c>
      <c r="P190" s="36">
        <v>37.719691781014006</v>
      </c>
      <c r="Q190" s="36">
        <v>38.837272760603845</v>
      </c>
      <c r="R190" s="36">
        <v>40.001018403300051</v>
      </c>
      <c r="S190" s="36">
        <v>41.213255489877227</v>
      </c>
      <c r="T190" s="155">
        <v>42.476446302929858</v>
      </c>
      <c r="U190" s="36">
        <v>43.793197482350699</v>
      </c>
      <c r="V190" s="36">
        <v>45.166269518699359</v>
      </c>
      <c r="W190" s="36">
        <v>46.598586934493738</v>
      </c>
      <c r="X190" s="36">
        <v>48.093249207692381</v>
      </c>
      <c r="Y190" s="156">
        <v>49.653542496255049</v>
      </c>
    </row>
    <row r="191" spans="2:32">
      <c r="N191" s="157">
        <f t="shared" si="98"/>
        <v>0.11499999999999996</v>
      </c>
      <c r="O191" s="36">
        <v>36.91618085663108</v>
      </c>
      <c r="P191" s="36">
        <v>37.997317406674433</v>
      </c>
      <c r="Q191" s="36">
        <v>39.122728558882457</v>
      </c>
      <c r="R191" s="36">
        <v>40.294629664489378</v>
      </c>
      <c r="S191" s="36">
        <v>41.515364250977676</v>
      </c>
      <c r="T191" s="155">
        <v>42.787412348364924</v>
      </c>
      <c r="U191" s="36">
        <v>44.113399411826059</v>
      </c>
      <c r="V191" s="36">
        <v>45.496105887166138</v>
      </c>
      <c r="W191" s="36">
        <v>46.938477469574771</v>
      </c>
      <c r="X191" s="36">
        <v>48.443636110362995</v>
      </c>
      <c r="Y191" s="156">
        <v>50.014891831040451</v>
      </c>
    </row>
    <row r="192" spans="2:32">
      <c r="N192" s="157">
        <f t="shared" si="98"/>
        <v>0.10999999999999996</v>
      </c>
      <c r="O192" s="36">
        <v>37.186285791422961</v>
      </c>
      <c r="P192" s="36">
        <v>38.274943032334868</v>
      </c>
      <c r="Q192" s="36">
        <v>39.408184357161076</v>
      </c>
      <c r="R192" s="36">
        <v>40.588240925678704</v>
      </c>
      <c r="S192" s="36">
        <v>41.817473012078118</v>
      </c>
      <c r="T192" s="155">
        <v>43.098378393799997</v>
      </c>
      <c r="U192" s="36">
        <v>44.433601341301419</v>
      </c>
      <c r="V192" s="36">
        <v>45.825942255632917</v>
      </c>
      <c r="W192" s="36">
        <v>47.278368004655803</v>
      </c>
      <c r="X192" s="36">
        <v>48.794023013033588</v>
      </c>
      <c r="Y192" s="156">
        <v>50.37624116582586</v>
      </c>
    </row>
    <row r="193" spans="12:25">
      <c r="N193" s="157">
        <f t="shared" si="98"/>
        <v>0.10499999999999995</v>
      </c>
      <c r="O193" s="36">
        <v>37.456390726214842</v>
      </c>
      <c r="P193" s="36">
        <v>38.552568657995295</v>
      </c>
      <c r="Q193" s="36">
        <v>39.693640155439688</v>
      </c>
      <c r="R193" s="36">
        <v>40.881852186868031</v>
      </c>
      <c r="S193" s="36">
        <v>42.119581773178567</v>
      </c>
      <c r="T193" s="155">
        <v>43.409344439235063</v>
      </c>
      <c r="U193" s="36">
        <v>44.753803270776793</v>
      </c>
      <c r="V193" s="36">
        <v>46.155778624099717</v>
      </c>
      <c r="W193" s="36">
        <v>47.618258539736836</v>
      </c>
      <c r="X193" s="36">
        <v>49.144409915704209</v>
      </c>
      <c r="Y193" s="156">
        <v>50.737590500611262</v>
      </c>
    </row>
    <row r="194" spans="12:25">
      <c r="N194" s="157">
        <f t="shared" si="98"/>
        <v>9.999999999999995E-2</v>
      </c>
      <c r="O194" s="160">
        <v>37.726495661006723</v>
      </c>
      <c r="P194" s="160">
        <v>38.830194283655722</v>
      </c>
      <c r="Q194" s="160">
        <v>39.9790959537183</v>
      </c>
      <c r="R194" s="160">
        <v>41.175463448057364</v>
      </c>
      <c r="S194" s="160">
        <v>42.421690534279016</v>
      </c>
      <c r="T194" s="161">
        <v>43.720310484670136</v>
      </c>
      <c r="U194" s="160">
        <v>45.074005200252159</v>
      </c>
      <c r="V194" s="160">
        <v>46.485614992566497</v>
      </c>
      <c r="W194" s="160">
        <v>47.958149074817875</v>
      </c>
      <c r="X194" s="160">
        <v>49.494796818374816</v>
      </c>
      <c r="Y194" s="162">
        <v>51.098939835396671</v>
      </c>
    </row>
    <row r="197" spans="12:25">
      <c r="N197" s="146"/>
      <c r="O197" s="147"/>
      <c r="P197" s="147"/>
      <c r="Q197" s="147"/>
      <c r="R197" s="147"/>
      <c r="S197" s="148"/>
      <c r="T197" s="149" t="s">
        <v>196</v>
      </c>
      <c r="U197" s="147"/>
      <c r="V197" s="147"/>
      <c r="W197" s="147"/>
      <c r="X197" s="147"/>
      <c r="Y197" s="150"/>
    </row>
    <row r="198" spans="12:25">
      <c r="N198" s="151">
        <f>Y12</f>
        <v>11.027859217571622</v>
      </c>
      <c r="O198" s="152">
        <v>0.125</v>
      </c>
      <c r="P198" s="153">
        <f>O198-0.5%</f>
        <v>0.12</v>
      </c>
      <c r="Q198" s="153">
        <f t="shared" ref="Q198:Y198" si="99">P198-0.5%</f>
        <v>0.11499999999999999</v>
      </c>
      <c r="R198" s="153">
        <f t="shared" si="99"/>
        <v>0.10999999999999999</v>
      </c>
      <c r="S198" s="153">
        <f t="shared" si="99"/>
        <v>0.10499999999999998</v>
      </c>
      <c r="T198" s="153">
        <f t="shared" si="99"/>
        <v>9.9999999999999978E-2</v>
      </c>
      <c r="U198" s="153">
        <f t="shared" si="99"/>
        <v>9.4999999999999973E-2</v>
      </c>
      <c r="V198" s="153">
        <f t="shared" si="99"/>
        <v>8.9999999999999969E-2</v>
      </c>
      <c r="W198" s="153">
        <f t="shared" si="99"/>
        <v>8.4999999999999964E-2</v>
      </c>
      <c r="X198" s="153">
        <f t="shared" si="99"/>
        <v>7.999999999999996E-2</v>
      </c>
      <c r="Y198" s="153">
        <f t="shared" si="99"/>
        <v>7.4999999999999956E-2</v>
      </c>
    </row>
    <row r="199" spans="12:25">
      <c r="N199" s="163">
        <v>0.7</v>
      </c>
      <c r="O199" s="36">
        <v>34.805903120386191</v>
      </c>
      <c r="P199" s="36">
        <v>35.995890550005299</v>
      </c>
      <c r="Q199" s="36">
        <v>37.239870909333504</v>
      </c>
      <c r="R199" s="36">
        <v>38.540763435380633</v>
      </c>
      <c r="S199" s="36">
        <v>39.90166723925401</v>
      </c>
      <c r="T199" s="155">
        <v>41.325873628533607</v>
      </c>
      <c r="U199" s="36">
        <v>42.816879353599298</v>
      </c>
      <c r="V199" s="36">
        <v>44.378400852927534</v>
      </c>
      <c r="W199" s="36">
        <v>46.014389578917253</v>
      </c>
      <c r="X199" s="36">
        <v>47.729048492958086</v>
      </c>
      <c r="Y199" s="156">
        <v>49.526849826275473</v>
      </c>
    </row>
    <row r="200" spans="12:25">
      <c r="N200" s="164">
        <f>N199+2%</f>
        <v>0.72</v>
      </c>
      <c r="O200" s="36">
        <v>35.800357495254367</v>
      </c>
      <c r="P200" s="36">
        <v>37.024344565719737</v>
      </c>
      <c r="Q200" s="36">
        <v>38.303867221028753</v>
      </c>
      <c r="R200" s="36">
        <v>39.641928104962936</v>
      </c>
      <c r="S200" s="36">
        <v>41.041714874661274</v>
      </c>
      <c r="T200" s="155">
        <v>42.506612875063134</v>
      </c>
      <c r="U200" s="36">
        <v>44.040218763702136</v>
      </c>
      <c r="V200" s="36">
        <v>45.646355163011172</v>
      </c>
      <c r="W200" s="36">
        <v>47.329086424029178</v>
      </c>
      <c r="X200" s="36">
        <v>49.092735592756888</v>
      </c>
      <c r="Y200" s="156">
        <v>50.941902678454774</v>
      </c>
    </row>
    <row r="201" spans="12:25">
      <c r="N201" s="164">
        <f t="shared" ref="N201:N209" si="100">N200+2%</f>
        <v>0.74</v>
      </c>
      <c r="O201" s="36">
        <v>36.794811870122551</v>
      </c>
      <c r="P201" s="36">
        <v>38.052798581434182</v>
      </c>
      <c r="Q201" s="36">
        <v>39.367863532723995</v>
      </c>
      <c r="R201" s="36">
        <v>40.743092774545239</v>
      </c>
      <c r="S201" s="36">
        <v>42.181762510068531</v>
      </c>
      <c r="T201" s="155">
        <v>43.687352121592674</v>
      </c>
      <c r="U201" s="36">
        <v>45.263558173804974</v>
      </c>
      <c r="V201" s="36">
        <v>46.914309473094818</v>
      </c>
      <c r="W201" s="36">
        <v>48.643783269141096</v>
      </c>
      <c r="X201" s="36">
        <v>50.456422692555691</v>
      </c>
      <c r="Y201" s="156">
        <v>52.356955530634075</v>
      </c>
    </row>
    <row r="202" spans="12:25">
      <c r="N202" s="164">
        <f t="shared" si="100"/>
        <v>0.76</v>
      </c>
      <c r="O202" s="36">
        <v>37.789266244990728</v>
      </c>
      <c r="P202" s="36">
        <v>39.081252597148612</v>
      </c>
      <c r="Q202" s="36">
        <v>40.431859844419236</v>
      </c>
      <c r="R202" s="36">
        <v>41.84425744412755</v>
      </c>
      <c r="S202" s="36">
        <v>43.321810145475787</v>
      </c>
      <c r="T202" s="155">
        <v>44.868091368122208</v>
      </c>
      <c r="U202" s="36">
        <v>46.486897583907812</v>
      </c>
      <c r="V202" s="36">
        <v>48.182263783178463</v>
      </c>
      <c r="W202" s="36">
        <v>49.958480114253021</v>
      </c>
      <c r="X202" s="36">
        <v>51.820109792354501</v>
      </c>
      <c r="Y202" s="156">
        <v>53.772008382813375</v>
      </c>
    </row>
    <row r="203" spans="12:25">
      <c r="L203" s="158" t="s">
        <v>198</v>
      </c>
      <c r="N203" s="164">
        <f t="shared" si="100"/>
        <v>0.78</v>
      </c>
      <c r="O203" s="36">
        <v>38.783720619858904</v>
      </c>
      <c r="P203" s="36">
        <v>40.109706612863057</v>
      </c>
      <c r="Q203" s="36">
        <v>41.495856156114478</v>
      </c>
      <c r="R203" s="36">
        <v>42.945422113709853</v>
      </c>
      <c r="S203" s="36">
        <v>44.461857780883051</v>
      </c>
      <c r="T203" s="155">
        <v>46.048830614651735</v>
      </c>
      <c r="U203" s="36">
        <v>47.71023699401065</v>
      </c>
      <c r="V203" s="36">
        <v>49.450218093262116</v>
      </c>
      <c r="W203" s="36">
        <v>51.273176959364946</v>
      </c>
      <c r="X203" s="36">
        <v>53.183796892153303</v>
      </c>
      <c r="Y203" s="156">
        <v>55.187061234992669</v>
      </c>
    </row>
    <row r="204" spans="12:25">
      <c r="N204" s="164">
        <f t="shared" si="100"/>
        <v>0.8</v>
      </c>
      <c r="O204" s="155">
        <v>39.778174994727081</v>
      </c>
      <c r="P204" s="155">
        <v>41.138160628577495</v>
      </c>
      <c r="Q204" s="155">
        <v>42.559852467809726</v>
      </c>
      <c r="R204" s="155">
        <v>44.046586783292149</v>
      </c>
      <c r="S204" s="155">
        <v>45.6019054162903</v>
      </c>
      <c r="T204" s="155">
        <v>47.229569861181268</v>
      </c>
      <c r="U204" s="155">
        <v>48.933576404113481</v>
      </c>
      <c r="V204" s="155">
        <v>50.718172403345754</v>
      </c>
      <c r="W204" s="155">
        <v>52.587873804476864</v>
      </c>
      <c r="X204" s="155">
        <v>54.547483991952106</v>
      </c>
      <c r="Y204" s="159">
        <v>56.602114087171984</v>
      </c>
    </row>
    <row r="205" spans="12:25">
      <c r="N205" s="164">
        <f t="shared" si="100"/>
        <v>0.82000000000000006</v>
      </c>
      <c r="O205" s="36">
        <v>40.772629369595258</v>
      </c>
      <c r="P205" s="36">
        <v>42.166614644291933</v>
      </c>
      <c r="Q205" s="36">
        <v>43.623848779504968</v>
      </c>
      <c r="R205" s="36">
        <v>45.147751452874459</v>
      </c>
      <c r="S205" s="36">
        <v>46.741953051697564</v>
      </c>
      <c r="T205" s="155">
        <v>48.410309107710802</v>
      </c>
      <c r="U205" s="36">
        <v>50.156915814216326</v>
      </c>
      <c r="V205" s="36">
        <v>51.9861267134294</v>
      </c>
      <c r="W205" s="36">
        <v>53.902570649588789</v>
      </c>
      <c r="X205" s="36">
        <v>55.911171091750909</v>
      </c>
      <c r="Y205" s="156">
        <v>58.017166939351277</v>
      </c>
    </row>
    <row r="206" spans="12:25">
      <c r="N206" s="164">
        <f t="shared" si="100"/>
        <v>0.84000000000000008</v>
      </c>
      <c r="O206" s="36">
        <v>41.767083744463442</v>
      </c>
      <c r="P206" s="36">
        <v>43.19506866000637</v>
      </c>
      <c r="Q206" s="36">
        <v>44.687845091200209</v>
      </c>
      <c r="R206" s="36">
        <v>46.248916122456762</v>
      </c>
      <c r="S206" s="36">
        <v>47.882000687104821</v>
      </c>
      <c r="T206" s="155">
        <v>49.591048354240328</v>
      </c>
      <c r="U206" s="36">
        <v>51.380255224319164</v>
      </c>
      <c r="V206" s="36">
        <v>53.254081023513038</v>
      </c>
      <c r="W206" s="36">
        <v>55.217267494700721</v>
      </c>
      <c r="X206" s="36">
        <v>57.274858191549711</v>
      </c>
      <c r="Y206" s="156">
        <v>59.432219791530578</v>
      </c>
    </row>
    <row r="207" spans="12:25">
      <c r="N207" s="164">
        <f t="shared" si="100"/>
        <v>0.8600000000000001</v>
      </c>
      <c r="O207" s="36">
        <v>42.761538119331618</v>
      </c>
      <c r="P207" s="36">
        <v>44.223522675720808</v>
      </c>
      <c r="Q207" s="36">
        <v>45.751841402895465</v>
      </c>
      <c r="R207" s="36">
        <v>47.350080792039066</v>
      </c>
      <c r="S207" s="36">
        <v>49.022048322512084</v>
      </c>
      <c r="T207" s="155">
        <v>50.771787600769862</v>
      </c>
      <c r="U207" s="36">
        <v>52.603594634422009</v>
      </c>
      <c r="V207" s="36">
        <v>54.522035333596691</v>
      </c>
      <c r="W207" s="36">
        <v>56.531964339812639</v>
      </c>
      <c r="X207" s="36">
        <v>58.638545291348514</v>
      </c>
      <c r="Y207" s="156">
        <v>60.847272643709879</v>
      </c>
    </row>
    <row r="208" spans="12:25">
      <c r="N208" s="164">
        <f t="shared" si="100"/>
        <v>0.88000000000000012</v>
      </c>
      <c r="O208" s="36">
        <v>43.755992494199795</v>
      </c>
      <c r="P208" s="36">
        <v>45.251976691435246</v>
      </c>
      <c r="Q208" s="36">
        <v>46.815837714590707</v>
      </c>
      <c r="R208" s="36">
        <v>48.451245461621369</v>
      </c>
      <c r="S208" s="36">
        <v>50.162095957919341</v>
      </c>
      <c r="T208" s="155">
        <v>51.952526847299403</v>
      </c>
      <c r="U208" s="36">
        <v>53.82693404452484</v>
      </c>
      <c r="V208" s="36">
        <v>55.789989643680336</v>
      </c>
      <c r="W208" s="36">
        <v>57.846661184924564</v>
      </c>
      <c r="X208" s="36">
        <v>60.002232391147324</v>
      </c>
      <c r="Y208" s="156">
        <v>62.262325495889179</v>
      </c>
    </row>
    <row r="209" spans="14:25">
      <c r="N209" s="164">
        <f t="shared" si="100"/>
        <v>0.90000000000000013</v>
      </c>
      <c r="O209" s="160">
        <v>44.750446869067972</v>
      </c>
      <c r="P209" s="160">
        <v>46.280430707149684</v>
      </c>
      <c r="Q209" s="160">
        <v>47.879834026285948</v>
      </c>
      <c r="R209" s="160">
        <v>49.552410131203679</v>
      </c>
      <c r="S209" s="160">
        <v>51.302143593326591</v>
      </c>
      <c r="T209" s="161">
        <v>53.133266093828937</v>
      </c>
      <c r="U209" s="160">
        <v>55.050273454627678</v>
      </c>
      <c r="V209" s="160">
        <v>57.057943953763974</v>
      </c>
      <c r="W209" s="160">
        <v>59.161358030036482</v>
      </c>
      <c r="X209" s="160">
        <v>61.365919490946126</v>
      </c>
      <c r="Y209" s="162">
        <v>63.67737834806848</v>
      </c>
    </row>
  </sheetData>
  <dataValidations count="1">
    <dataValidation type="list" allowBlank="1" showInputMessage="1" showErrorMessage="1" sqref="D5:D6" xr:uid="{619EB275-8EF6-4E56-BBED-A5FC3F54292E}">
      <formula1>"Upside,Base,Downside"</formula1>
    </dataValidation>
  </dataValidations>
  <pageMargins left="0.7" right="0.7" top="0.75" bottom="0.75" header="0.3" footer="0.3"/>
  <ignoredErrors>
    <ignoredError sqref="H5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E171-60BE-4B5A-BE78-4B53DF17B254}">
  <dimension ref="A1:L40"/>
  <sheetViews>
    <sheetView showGridLines="0" zoomScale="66" workbookViewId="0">
      <selection activeCell="J11" sqref="J11"/>
    </sheetView>
  </sheetViews>
  <sheetFormatPr defaultRowHeight="14.5"/>
  <cols>
    <col min="2" max="2" width="25" bestFit="1" customWidth="1"/>
    <col min="3" max="3" width="7.6328125" bestFit="1" customWidth="1"/>
    <col min="4" max="4" width="8" bestFit="1" customWidth="1"/>
    <col min="5" max="5" width="12" bestFit="1" customWidth="1"/>
    <col min="6" max="6" width="10.36328125" bestFit="1" customWidth="1"/>
    <col min="7" max="7" width="6" bestFit="1" customWidth="1"/>
    <col min="8" max="8" width="11.26953125" bestFit="1" customWidth="1"/>
    <col min="9" max="9" width="15.453125" bestFit="1" customWidth="1"/>
    <col min="10" max="11" width="8.453125" bestFit="1" customWidth="1"/>
    <col min="12" max="12" width="9" bestFit="1" customWidth="1"/>
  </cols>
  <sheetData>
    <row r="1" spans="1:12">
      <c r="A1" s="561"/>
    </row>
    <row r="2" spans="1:12" ht="18.5">
      <c r="B2" s="562" t="str">
        <f>"WACC Analysis - "&amp;_xlfn.SINGLE(Company_Name)</f>
        <v>WACC Analysis - Ultragenyx Pharmaceutical Inc.</v>
      </c>
      <c r="C2" s="563"/>
      <c r="D2" s="10"/>
      <c r="E2" s="10"/>
      <c r="F2" s="10"/>
      <c r="G2" s="10"/>
      <c r="H2" s="10"/>
      <c r="I2" s="10"/>
      <c r="J2" s="10"/>
      <c r="K2" s="10"/>
      <c r="L2" s="10"/>
    </row>
    <row r="3" spans="1:12" ht="16">
      <c r="B3" s="20" t="s">
        <v>436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6">
      <c r="B5" s="564" t="s">
        <v>556</v>
      </c>
      <c r="C5" s="564"/>
      <c r="D5" s="565"/>
      <c r="E5" s="565"/>
      <c r="F5" s="565"/>
      <c r="G5" s="566"/>
      <c r="H5" s="566"/>
      <c r="I5" s="10"/>
      <c r="J5" s="10"/>
      <c r="K5" s="10"/>
      <c r="L5" s="10"/>
    </row>
    <row r="6" spans="1:12" ht="16">
      <c r="B6" s="20" t="s">
        <v>557</v>
      </c>
      <c r="C6" s="20"/>
      <c r="D6" s="10"/>
      <c r="E6" s="10"/>
      <c r="F6" s="600">
        <v>4.4999999999999998E-2</v>
      </c>
      <c r="G6" s="567"/>
      <c r="H6" s="567"/>
      <c r="I6" s="10"/>
      <c r="J6" s="10"/>
      <c r="K6" s="10"/>
      <c r="L6" s="10"/>
    </row>
    <row r="7" spans="1:12" ht="16">
      <c r="B7" s="20" t="s">
        <v>558</v>
      </c>
      <c r="C7" s="20"/>
      <c r="D7" s="10"/>
      <c r="E7" s="10"/>
      <c r="F7" s="600">
        <v>3.5000000000000003E-2</v>
      </c>
      <c r="G7" s="567"/>
      <c r="H7" s="567"/>
      <c r="I7" s="10"/>
      <c r="J7" s="10"/>
      <c r="K7" s="10"/>
      <c r="L7" s="10"/>
    </row>
    <row r="8" spans="1:12" ht="16">
      <c r="B8" s="20" t="s">
        <v>559</v>
      </c>
      <c r="C8" s="20"/>
      <c r="D8" s="10"/>
      <c r="E8" s="10"/>
      <c r="F8" s="601">
        <v>2.5321080322076219E-2</v>
      </c>
      <c r="G8" s="567"/>
      <c r="H8" s="567"/>
      <c r="I8" s="568"/>
      <c r="J8" s="568"/>
      <c r="K8" s="10"/>
      <c r="L8" s="10"/>
    </row>
    <row r="9" spans="1:12" ht="16">
      <c r="B9" s="20" t="s">
        <v>560</v>
      </c>
      <c r="C9" s="20"/>
      <c r="D9" s="10"/>
      <c r="E9" s="10"/>
      <c r="F9" s="600">
        <v>0</v>
      </c>
      <c r="G9" s="567"/>
      <c r="H9" s="567"/>
      <c r="I9" s="568"/>
      <c r="J9" s="568"/>
      <c r="K9" s="10"/>
      <c r="L9" s="10"/>
    </row>
    <row r="10" spans="1:12" ht="16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6">
      <c r="B11" s="266" t="s">
        <v>3</v>
      </c>
      <c r="C11" s="569" t="s">
        <v>6</v>
      </c>
      <c r="D11" s="271" t="s">
        <v>413</v>
      </c>
      <c r="E11" s="286" t="s">
        <v>390</v>
      </c>
      <c r="F11" s="569"/>
      <c r="G11" s="286" t="s">
        <v>165</v>
      </c>
      <c r="H11" s="569"/>
      <c r="I11" s="271" t="s">
        <v>411</v>
      </c>
      <c r="J11" s="570"/>
      <c r="K11" s="266" t="s">
        <v>14</v>
      </c>
      <c r="L11" s="10"/>
    </row>
    <row r="12" spans="1:12" ht="16">
      <c r="B12" s="571" t="s">
        <v>561</v>
      </c>
      <c r="C12" s="571"/>
      <c r="D12" s="571"/>
      <c r="E12" s="571"/>
      <c r="F12" s="571"/>
      <c r="G12" s="571"/>
      <c r="H12" s="571"/>
      <c r="I12" s="571"/>
      <c r="J12" s="571"/>
      <c r="K12" s="571"/>
      <c r="L12" s="571"/>
    </row>
    <row r="13" spans="1:12" ht="16">
      <c r="B13" s="571"/>
      <c r="C13" s="571"/>
      <c r="D13" s="572" t="s">
        <v>562</v>
      </c>
      <c r="E13" s="572"/>
      <c r="F13" s="572"/>
      <c r="G13" s="572" t="s">
        <v>464</v>
      </c>
      <c r="H13" s="572"/>
      <c r="I13" s="572" t="s">
        <v>450</v>
      </c>
      <c r="J13" s="572"/>
      <c r="K13" s="572"/>
      <c r="L13" s="572" t="s">
        <v>563</v>
      </c>
    </row>
    <row r="14" spans="1:12" ht="16">
      <c r="B14" s="571" t="s">
        <v>4</v>
      </c>
      <c r="C14" s="571" t="s">
        <v>456</v>
      </c>
      <c r="D14" s="572" t="s">
        <v>460</v>
      </c>
      <c r="E14" s="572" t="s">
        <v>463</v>
      </c>
      <c r="F14" s="572" t="s">
        <v>564</v>
      </c>
      <c r="G14" s="572" t="s">
        <v>565</v>
      </c>
      <c r="H14" s="572" t="s">
        <v>566</v>
      </c>
      <c r="I14" s="572" t="s">
        <v>466</v>
      </c>
      <c r="J14" s="572" t="s">
        <v>567</v>
      </c>
      <c r="K14" s="572" t="s">
        <v>461</v>
      </c>
      <c r="L14" s="572" t="s">
        <v>460</v>
      </c>
    </row>
    <row r="15" spans="1:12" ht="16">
      <c r="B15" s="20" t="str">
        <f t="shared" ref="B15:B20" si="0">INDEX(Pub_Comps_Range,MATCH(B$11,Pub_Comps_Params,0),MATCH($C15,Pub_Comps_Tickers,0))</f>
        <v>Amicus Therapeutics, Inc.</v>
      </c>
      <c r="C15" s="288" t="s">
        <v>432</v>
      </c>
      <c r="D15" s="20">
        <f t="shared" ref="D15:E20" si="1">INDEX(Pub_Comps_Range,MATCH(D$11,Pub_Comps_Params,0),MATCH($C15,Pub_Comps_Tickers,0))</f>
        <v>1.78</v>
      </c>
      <c r="E15" s="20">
        <f t="shared" si="1"/>
        <v>442</v>
      </c>
      <c r="F15" s="573">
        <f>E15/(E15+G15+I15)</f>
        <v>0.12021708360342456</v>
      </c>
      <c r="G15" s="20">
        <f t="shared" ref="G15:G20" si="2">INDEX(Pub_Comps_Range,MATCH(G$11,Pub_Comps_Params,0),MATCH($C15,Pub_Comps_Tickers,0))</f>
        <v>0</v>
      </c>
      <c r="H15" s="574">
        <f>G15/(E15+G15+I15)</f>
        <v>0</v>
      </c>
      <c r="I15" s="575">
        <f t="shared" ref="I15:I20" si="3">INDEX(Pub_Comps_Range,MATCH(I$11,Pub_Comps_Params,0),MATCH($C15,Pub_Comps_Tickers,0))</f>
        <v>3234.6821049999999</v>
      </c>
      <c r="J15" s="573">
        <f>$I15/($E15+$G15+$I15)</f>
        <v>0.87978291639657547</v>
      </c>
      <c r="K15" s="574">
        <f t="shared" ref="K15:K20" si="4">INDEX(Pub_Comps_Range,MATCH(K$11,Pub_Comps_Params,0),MATCH($C15,Pub_Comps_Tickers,0))</f>
        <v>0.2</v>
      </c>
      <c r="L15" s="576">
        <f t="shared" ref="L15:L20" si="5">IFERROR(D15/(1+(E15/I15)*(1-K15)+G15/I15),"N/A")</f>
        <v>1.604593501407549</v>
      </c>
    </row>
    <row r="16" spans="1:12" ht="16">
      <c r="B16" s="20" t="str">
        <f t="shared" si="0"/>
        <v>GE Healthcare Technologies Inc.</v>
      </c>
      <c r="C16" s="288" t="s">
        <v>423</v>
      </c>
      <c r="D16" s="20">
        <f t="shared" si="1"/>
        <v>1.27</v>
      </c>
      <c r="E16" s="20">
        <f t="shared" si="1"/>
        <v>604</v>
      </c>
      <c r="F16" s="573">
        <f t="shared" ref="F16:F20" si="6">E16/(E16+G16+I16)</f>
        <v>5.3205686666073532E-2</v>
      </c>
      <c r="G16" s="20">
        <f t="shared" si="2"/>
        <v>0</v>
      </c>
      <c r="H16" s="574">
        <f t="shared" ref="H16:H20" si="7">G16/(E16+G16+I16)</f>
        <v>0</v>
      </c>
      <c r="I16" s="575">
        <f t="shared" si="3"/>
        <v>10748.17</v>
      </c>
      <c r="J16" s="573">
        <f t="shared" ref="J16:J20" si="8">$I16/($E16+$G16+$I16)</f>
        <v>0.9467943133339265</v>
      </c>
      <c r="K16" s="574">
        <f t="shared" si="4"/>
        <v>0.23400000000000001</v>
      </c>
      <c r="L16" s="576">
        <f t="shared" si="5"/>
        <v>1.2175879064840314</v>
      </c>
    </row>
    <row r="17" spans="2:12" ht="16">
      <c r="B17" s="20" t="str">
        <f t="shared" si="0"/>
        <v>Sarepta Therapeutics, Inc.</v>
      </c>
      <c r="C17" s="288" t="s">
        <v>426</v>
      </c>
      <c r="D17" s="20">
        <f t="shared" si="1"/>
        <v>1.26</v>
      </c>
      <c r="E17" s="20">
        <f t="shared" si="1"/>
        <v>1260</v>
      </c>
      <c r="F17" s="573">
        <f t="shared" si="6"/>
        <v>0.36696691938843512</v>
      </c>
      <c r="G17" s="20">
        <f t="shared" si="2"/>
        <v>0</v>
      </c>
      <c r="H17" s="574">
        <f t="shared" si="7"/>
        <v>0</v>
      </c>
      <c r="I17" s="575">
        <f t="shared" si="3"/>
        <v>2173.5519999999997</v>
      </c>
      <c r="J17" s="573">
        <f t="shared" si="8"/>
        <v>0.63303308061156494</v>
      </c>
      <c r="K17" s="574">
        <f t="shared" si="4"/>
        <v>0.2</v>
      </c>
      <c r="L17" s="576">
        <f t="shared" si="5"/>
        <v>0.86079860395178198</v>
      </c>
    </row>
    <row r="18" spans="2:12" ht="16">
      <c r="B18" s="20" t="str">
        <f t="shared" si="0"/>
        <v>PTC Therapeutics, Inc.</v>
      </c>
      <c r="C18" s="288" t="s">
        <v>428</v>
      </c>
      <c r="D18" s="20">
        <f t="shared" si="1"/>
        <v>2.15</v>
      </c>
      <c r="E18" s="20">
        <f t="shared" si="1"/>
        <v>2492</v>
      </c>
      <c r="F18" s="573">
        <f t="shared" si="6"/>
        <v>0.67740106329133198</v>
      </c>
      <c r="G18" s="20">
        <f t="shared" si="2"/>
        <v>0</v>
      </c>
      <c r="H18" s="574">
        <f t="shared" si="7"/>
        <v>0</v>
      </c>
      <c r="I18" s="575">
        <f t="shared" si="3"/>
        <v>1186.7659999999998</v>
      </c>
      <c r="J18" s="573">
        <f t="shared" si="8"/>
        <v>0.32259893670866807</v>
      </c>
      <c r="K18" s="574">
        <f t="shared" si="4"/>
        <v>0.2</v>
      </c>
      <c r="L18" s="576">
        <f t="shared" si="5"/>
        <v>0.80228090100321781</v>
      </c>
    </row>
    <row r="19" spans="2:12" ht="16">
      <c r="B19" s="20" t="str">
        <f t="shared" si="0"/>
        <v>Travere Therapeutics, Inc.</v>
      </c>
      <c r="C19" s="288" t="s">
        <v>430</v>
      </c>
      <c r="D19" s="20">
        <f t="shared" si="1"/>
        <v>1.08</v>
      </c>
      <c r="E19" s="20">
        <f t="shared" si="1"/>
        <v>329</v>
      </c>
      <c r="F19" s="573">
        <f t="shared" si="6"/>
        <v>0.1164706445481115</v>
      </c>
      <c r="G19" s="20">
        <f t="shared" si="2"/>
        <v>0</v>
      </c>
      <c r="H19" s="574">
        <f t="shared" si="7"/>
        <v>0</v>
      </c>
      <c r="I19" s="575">
        <f t="shared" si="3"/>
        <v>2495.7461089999997</v>
      </c>
      <c r="J19" s="573">
        <f t="shared" si="8"/>
        <v>0.88352935545188849</v>
      </c>
      <c r="K19" s="574">
        <f t="shared" si="4"/>
        <v>0.2</v>
      </c>
      <c r="L19" s="576">
        <f t="shared" si="5"/>
        <v>0.97696935395993278</v>
      </c>
    </row>
    <row r="20" spans="2:12" ht="16">
      <c r="B20" s="20" t="str">
        <f t="shared" si="0"/>
        <v>CareDx, Inc</v>
      </c>
      <c r="C20" s="288" t="s">
        <v>434</v>
      </c>
      <c r="D20" s="20">
        <f t="shared" si="1"/>
        <v>2.56</v>
      </c>
      <c r="E20" s="20">
        <f t="shared" si="1"/>
        <v>2.9</v>
      </c>
      <c r="F20" s="573">
        <f t="shared" si="6"/>
        <v>1.0121312657469302E-3</v>
      </c>
      <c r="G20" s="20">
        <f t="shared" si="2"/>
        <v>0</v>
      </c>
      <c r="H20" s="574">
        <f t="shared" si="7"/>
        <v>0</v>
      </c>
      <c r="I20" s="575">
        <f t="shared" si="3"/>
        <v>2862.3409999999999</v>
      </c>
      <c r="J20" s="573">
        <f t="shared" si="8"/>
        <v>0.99898786873425305</v>
      </c>
      <c r="K20" s="574">
        <f t="shared" si="4"/>
        <v>0.23899999999999999</v>
      </c>
      <c r="L20" s="576">
        <f t="shared" si="5"/>
        <v>2.5580277292622684</v>
      </c>
    </row>
    <row r="21" spans="2:12" ht="16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53"/>
    </row>
    <row r="22" spans="2:12" ht="16">
      <c r="B22" s="577" t="s">
        <v>568</v>
      </c>
      <c r="C22" s="578"/>
      <c r="D22" s="579">
        <f>MEDIAN(D15:D19)</f>
        <v>1.27</v>
      </c>
      <c r="E22" s="580">
        <f t="shared" ref="E22:L22" si="9">MEDIAN(E15:E19)</f>
        <v>604</v>
      </c>
      <c r="F22" s="581">
        <f t="shared" si="9"/>
        <v>0.12021708360342456</v>
      </c>
      <c r="G22" s="579">
        <f t="shared" si="9"/>
        <v>0</v>
      </c>
      <c r="H22" s="582">
        <f t="shared" si="9"/>
        <v>0</v>
      </c>
      <c r="I22" s="583">
        <f t="shared" si="9"/>
        <v>2495.7461089999997</v>
      </c>
      <c r="J22" s="581">
        <f t="shared" si="9"/>
        <v>0.87978291639657547</v>
      </c>
      <c r="K22" s="584">
        <f t="shared" si="9"/>
        <v>0.2</v>
      </c>
      <c r="L22" s="584">
        <f t="shared" si="9"/>
        <v>0.97696935395993278</v>
      </c>
    </row>
    <row r="23" spans="2:12" ht="16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53"/>
    </row>
    <row r="24" spans="2:12" ht="16">
      <c r="B24" s="585" t="str">
        <f>Company_Name</f>
        <v>Ultragenyx Pharmaceutical Inc.</v>
      </c>
      <c r="C24" s="585" t="str">
        <f>Ticker</f>
        <v>RARE</v>
      </c>
      <c r="D24" s="585">
        <f>INDEX(Pub_Comps_Range,MATCH(D$11,Pub_Comps_Params,0),MATCH($C24,Pub_Comps_Tickers,0))</f>
        <v>2.2400000000000002</v>
      </c>
      <c r="E24" s="585">
        <f>INDEX(Pub_Comps_Range,MATCH(E$11,Pub_Comps_Params,0),MATCH($C24,Pub_Comps_Tickers,0))</f>
        <v>0</v>
      </c>
      <c r="F24" s="586">
        <f t="shared" ref="F24:J24" si="10">E24/($E24+$G24+$I24)</f>
        <v>0</v>
      </c>
      <c r="G24" s="587">
        <f>INDEX(Pub_Comps_Range,MATCH(G$11,Pub_Comps_Params,0),MATCH($C24,Pub_Comps_Tickers,0))</f>
        <v>0</v>
      </c>
      <c r="H24" s="588">
        <f t="shared" si="10"/>
        <v>0</v>
      </c>
      <c r="I24" s="585">
        <f>INDEX(Pub_Comps_Range,MATCH(I$11,Pub_Comps_Params,0),MATCH($C24,Pub_Comps_Tickers,0))</f>
        <v>2322.1816800000001</v>
      </c>
      <c r="J24" s="589">
        <f t="shared" si="10"/>
        <v>1</v>
      </c>
      <c r="K24" s="590">
        <v>0.13200000000000001</v>
      </c>
      <c r="L24" s="590">
        <f t="shared" ref="L24" si="11">IFERROR(D24/(1+(E24/I24)*(1-K24)+G24/I24),"N/A")</f>
        <v>2.2400000000000002</v>
      </c>
    </row>
    <row r="25" spans="2:12" ht="16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2:12" ht="16">
      <c r="B26" s="571" t="str">
        <f>TEXT(Company_Name,"")&amp; " - Levered Beta &amp; WACC Calculation:"</f>
        <v>Ultragenyx Pharmaceutical Inc. - Levered Beta &amp; WACC Calculation:</v>
      </c>
      <c r="C26" s="571"/>
      <c r="D26" s="571"/>
      <c r="E26" s="571"/>
      <c r="F26" s="571"/>
      <c r="G26" s="571"/>
      <c r="H26" s="571"/>
      <c r="I26" s="571"/>
      <c r="J26" s="571"/>
      <c r="K26" s="571"/>
      <c r="L26" s="571"/>
    </row>
    <row r="27" spans="2:12" ht="16">
      <c r="B27" s="571"/>
      <c r="C27" s="571"/>
      <c r="D27" s="572" t="s">
        <v>563</v>
      </c>
      <c r="E27" s="572"/>
      <c r="F27" s="572"/>
      <c r="G27" s="572" t="s">
        <v>464</v>
      </c>
      <c r="H27" s="572"/>
      <c r="I27" s="572" t="s">
        <v>450</v>
      </c>
      <c r="J27" s="572"/>
      <c r="K27" s="572"/>
      <c r="L27" s="572" t="s">
        <v>562</v>
      </c>
    </row>
    <row r="28" spans="2:12" ht="16">
      <c r="B28" s="571"/>
      <c r="C28" s="571" t="s">
        <v>456</v>
      </c>
      <c r="D28" s="572" t="s">
        <v>460</v>
      </c>
      <c r="E28" s="572" t="s">
        <v>463</v>
      </c>
      <c r="F28" s="572" t="s">
        <v>564</v>
      </c>
      <c r="G28" s="572" t="s">
        <v>565</v>
      </c>
      <c r="H28" s="572" t="s">
        <v>566</v>
      </c>
      <c r="I28" s="572" t="s">
        <v>466</v>
      </c>
      <c r="J28" s="572" t="s">
        <v>567</v>
      </c>
      <c r="K28" s="572" t="s">
        <v>461</v>
      </c>
      <c r="L28" s="572" t="s">
        <v>460</v>
      </c>
    </row>
    <row r="29" spans="2:12" ht="16">
      <c r="B29" s="20" t="s">
        <v>569</v>
      </c>
      <c r="C29" s="20" t="str">
        <f>C24</f>
        <v>RARE</v>
      </c>
      <c r="D29" s="591">
        <f>L24</f>
        <v>2.2400000000000002</v>
      </c>
      <c r="E29" s="108">
        <v>5461</v>
      </c>
      <c r="F29" s="592">
        <v>3.3001557194883353E-2</v>
      </c>
      <c r="G29" s="108">
        <v>0</v>
      </c>
      <c r="H29" s="593">
        <v>0</v>
      </c>
      <c r="I29" s="108">
        <v>160016.03999999998</v>
      </c>
      <c r="J29" s="594">
        <v>0.9669984428051166</v>
      </c>
      <c r="K29" s="592">
        <v>0.13200000000000001</v>
      </c>
      <c r="L29" s="591">
        <f>D29*(1+E29/I29*(1-K29)+G29/I29)</f>
        <v>2.306355419869158</v>
      </c>
    </row>
    <row r="30" spans="2:12" ht="16">
      <c r="B30" s="20" t="s">
        <v>570</v>
      </c>
      <c r="C30" s="591"/>
      <c r="D30" s="591">
        <f>L22</f>
        <v>0.97696935395993278</v>
      </c>
      <c r="E30" s="108">
        <f>(E29+I29)*F30</f>
        <v>19893.167152127229</v>
      </c>
      <c r="F30" s="593">
        <f>F22</f>
        <v>0.12021708360342456</v>
      </c>
      <c r="G30" s="108">
        <v>0</v>
      </c>
      <c r="H30" s="593">
        <v>0</v>
      </c>
      <c r="I30" s="108">
        <f>(I29+E29)*J30</f>
        <v>145583.87284787276</v>
      </c>
      <c r="J30" s="595">
        <f>J22</f>
        <v>0.87978291639657547</v>
      </c>
      <c r="K30" s="592">
        <v>0.13200000000000001</v>
      </c>
      <c r="L30" s="591">
        <f>D30*(1+E30/I30*(1-K30)+G30/I30)</f>
        <v>1.0928447761176387</v>
      </c>
    </row>
    <row r="31" spans="2:12" ht="16">
      <c r="B31" s="10"/>
      <c r="C31" s="596"/>
      <c r="D31" s="10"/>
      <c r="E31" s="10"/>
      <c r="F31" s="10"/>
      <c r="G31" s="10"/>
      <c r="H31" s="10"/>
      <c r="I31" s="10"/>
      <c r="J31" s="10"/>
      <c r="K31" s="10"/>
      <c r="L31" s="10"/>
    </row>
    <row r="32" spans="2:12" ht="16">
      <c r="B32" s="597" t="s">
        <v>571</v>
      </c>
      <c r="C32" s="597"/>
      <c r="D32" s="597"/>
      <c r="E32" s="597"/>
      <c r="F32" s="597"/>
      <c r="G32" s="597"/>
      <c r="H32" s="597"/>
      <c r="I32" s="597"/>
      <c r="J32" s="597"/>
      <c r="K32" s="597"/>
      <c r="L32" s="598">
        <f>Risk_Free_Rate+Equity_Risk_Premium*L29</f>
        <v>0.12572243969542052</v>
      </c>
    </row>
    <row r="33" spans="2:12" ht="16">
      <c r="B33" s="597" t="s">
        <v>572</v>
      </c>
      <c r="C33" s="597"/>
      <c r="D33" s="597"/>
      <c r="E33" s="597"/>
      <c r="F33" s="597"/>
      <c r="G33" s="597"/>
      <c r="H33" s="597"/>
      <c r="I33" s="597"/>
      <c r="J33" s="597"/>
      <c r="K33" s="597"/>
      <c r="L33" s="598">
        <f>Risk_Free_Rate+Equity_Risk_Premium*L30</f>
        <v>8.3249567164117355E-2</v>
      </c>
    </row>
    <row r="34" spans="2:12" ht="16">
      <c r="B34" s="597" t="s">
        <v>573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8">
        <f>Risk_Free_Rate+Equity_Risk_Premium*D24</f>
        <v>0.12340000000000001</v>
      </c>
    </row>
    <row r="35" spans="2:12" ht="16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2:12" ht="16">
      <c r="B36" s="597" t="s">
        <v>574</v>
      </c>
      <c r="C36" s="597"/>
      <c r="D36" s="597"/>
      <c r="E36" s="597"/>
      <c r="F36" s="597"/>
      <c r="G36" s="597"/>
      <c r="H36" s="597"/>
      <c r="I36" s="597"/>
      <c r="J36" s="597"/>
      <c r="K36" s="597"/>
      <c r="L36" s="598">
        <f>L32*J29+Cost_of_Debt*(1-K29)*F29+Cost_of_Preferred*H29</f>
        <v>0.122298734660993</v>
      </c>
    </row>
    <row r="37" spans="2:12" ht="16">
      <c r="B37" s="597" t="s">
        <v>575</v>
      </c>
      <c r="C37" s="597"/>
      <c r="D37" s="597"/>
      <c r="E37" s="597"/>
      <c r="F37" s="597"/>
      <c r="G37" s="597"/>
      <c r="H37" s="597"/>
      <c r="I37" s="597"/>
      <c r="J37" s="597"/>
      <c r="K37" s="597"/>
      <c r="L37" s="598">
        <f>L33*J30+Cost_of_Debt*(1-K30)*F30+Cost_of_Preferred*H30</f>
        <v>7.5883761929646756E-2</v>
      </c>
    </row>
    <row r="38" spans="2:12" ht="16">
      <c r="B38" s="597" t="s">
        <v>576</v>
      </c>
      <c r="C38" s="597"/>
      <c r="D38" s="597"/>
      <c r="E38" s="597"/>
      <c r="F38" s="597"/>
      <c r="G38" s="597"/>
      <c r="H38" s="597"/>
      <c r="I38" s="597"/>
      <c r="J38" s="597"/>
      <c r="K38" s="597"/>
      <c r="L38" s="598">
        <f>L34*J29+Cost_of_Debt*(1-K29)*F29+Cost_of_Preferred*H29</f>
        <v>0.12005293909201258</v>
      </c>
    </row>
    <row r="39" spans="2:12" ht="16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2:12" ht="16">
      <c r="B40" s="597" t="s">
        <v>577</v>
      </c>
      <c r="C40" s="597"/>
      <c r="D40" s="597"/>
      <c r="E40" s="597"/>
      <c r="F40" s="597"/>
      <c r="G40" s="597"/>
      <c r="H40" s="597"/>
      <c r="I40" s="597"/>
      <c r="J40" s="597"/>
      <c r="K40" s="597"/>
      <c r="L40" s="599">
        <f>AVERAGE(L36:L38)</f>
        <v>0.10607847856088411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E282-2A17-48F7-923A-8EC5EED97072}">
  <dimension ref="B2:V46"/>
  <sheetViews>
    <sheetView showGridLines="0" topLeftCell="A8" zoomScale="68" workbookViewId="0">
      <selection activeCell="H23" sqref="H23"/>
    </sheetView>
  </sheetViews>
  <sheetFormatPr defaultRowHeight="14.5"/>
  <cols>
    <col min="2" max="2" width="55" bestFit="1" customWidth="1"/>
    <col min="3" max="3" width="9.7265625" bestFit="1" customWidth="1"/>
    <col min="4" max="4" width="10.1796875" bestFit="1" customWidth="1"/>
    <col min="5" max="5" width="11.453125" bestFit="1" customWidth="1"/>
    <col min="6" max="6" width="10.1796875" bestFit="1" customWidth="1"/>
    <col min="7" max="7" width="9.453125" bestFit="1" customWidth="1"/>
    <col min="8" max="8" width="10.453125" bestFit="1" customWidth="1"/>
    <col min="9" max="10" width="11.1796875" bestFit="1" customWidth="1"/>
    <col min="11" max="11" width="12.1796875" bestFit="1" customWidth="1"/>
    <col min="12" max="12" width="12.54296875" bestFit="1" customWidth="1"/>
    <col min="13" max="13" width="10.81640625" bestFit="1" customWidth="1"/>
    <col min="15" max="15" width="12.453125" bestFit="1" customWidth="1"/>
  </cols>
  <sheetData>
    <row r="2" spans="2:22" ht="18.5">
      <c r="B2" s="460" t="str">
        <f>"Valuation Summary - "&amp;Company_Name</f>
        <v>Valuation Summary - Ultragenyx Pharmaceutical Inc.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</row>
    <row r="3" spans="2:22" ht="16">
      <c r="B3" s="20" t="s">
        <v>436</v>
      </c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</row>
    <row r="4" spans="2:22" ht="16">
      <c r="B4" s="461"/>
      <c r="C4" s="461"/>
      <c r="D4" s="461"/>
      <c r="E4" s="461"/>
      <c r="F4" s="461"/>
      <c r="G4" s="461"/>
      <c r="H4" s="461"/>
      <c r="I4" s="461"/>
      <c r="J4" s="461"/>
      <c r="K4" s="461"/>
      <c r="L4" s="461"/>
      <c r="M4" s="461"/>
    </row>
    <row r="5" spans="2:22" ht="16">
      <c r="B5" s="376" t="str">
        <f>"Valuation Statistics - "&amp;TEXT(Company_Name,"")</f>
        <v>Valuation Statistics - Ultragenyx Pharmaceutical Inc.</v>
      </c>
      <c r="C5" s="376" t="s">
        <v>485</v>
      </c>
      <c r="D5" s="376"/>
      <c r="E5" s="376"/>
      <c r="F5" s="376"/>
      <c r="G5" s="376"/>
      <c r="H5" s="376"/>
      <c r="I5" s="376" t="s">
        <v>486</v>
      </c>
      <c r="J5" s="376"/>
      <c r="K5" s="376"/>
      <c r="L5" s="376"/>
      <c r="M5" s="376"/>
    </row>
    <row r="6" spans="2:22" ht="16">
      <c r="B6" s="379"/>
      <c r="C6" s="380"/>
      <c r="D6" s="377"/>
      <c r="E6" s="377"/>
      <c r="F6" s="378"/>
      <c r="G6" s="377"/>
      <c r="H6" s="377"/>
      <c r="I6" s="377"/>
      <c r="J6" s="377"/>
      <c r="K6" s="377"/>
      <c r="L6" s="377"/>
      <c r="M6" s="377"/>
    </row>
    <row r="7" spans="2:22" ht="16">
      <c r="B7" s="379"/>
      <c r="C7" s="380"/>
      <c r="D7" s="380" t="s">
        <v>487</v>
      </c>
      <c r="E7" s="380"/>
      <c r="F7" s="380" t="s">
        <v>488</v>
      </c>
      <c r="G7" s="377"/>
      <c r="H7" s="380" t="s">
        <v>489</v>
      </c>
      <c r="I7" s="380"/>
      <c r="J7" s="380" t="s">
        <v>488</v>
      </c>
      <c r="K7" s="380"/>
      <c r="L7" s="380" t="s">
        <v>487</v>
      </c>
      <c r="M7" s="380"/>
    </row>
    <row r="8" spans="2:22" ht="16">
      <c r="B8" s="379"/>
      <c r="C8" s="380" t="s">
        <v>468</v>
      </c>
      <c r="D8" s="380" t="s">
        <v>490</v>
      </c>
      <c r="E8" s="380" t="s">
        <v>470</v>
      </c>
      <c r="F8" s="380" t="s">
        <v>490</v>
      </c>
      <c r="G8" s="380" t="s">
        <v>472</v>
      </c>
      <c r="H8" s="380" t="s">
        <v>491</v>
      </c>
      <c r="I8" s="380" t="s">
        <v>472</v>
      </c>
      <c r="J8" s="380" t="s">
        <v>490</v>
      </c>
      <c r="K8" s="380" t="s">
        <v>470</v>
      </c>
      <c r="L8" s="380" t="s">
        <v>490</v>
      </c>
      <c r="M8" s="380" t="s">
        <v>468</v>
      </c>
    </row>
    <row r="9" spans="2:22" ht="16">
      <c r="B9" s="376" t="s">
        <v>492</v>
      </c>
      <c r="C9" s="380" t="s">
        <v>493</v>
      </c>
      <c r="D9" s="380" t="s">
        <v>493</v>
      </c>
      <c r="E9" s="380" t="s">
        <v>493</v>
      </c>
      <c r="F9" s="380" t="s">
        <v>493</v>
      </c>
      <c r="G9" s="380" t="s">
        <v>493</v>
      </c>
      <c r="H9" s="380" t="s">
        <v>494</v>
      </c>
      <c r="I9" s="380" t="s">
        <v>493</v>
      </c>
      <c r="J9" s="380" t="s">
        <v>493</v>
      </c>
      <c r="K9" s="380" t="s">
        <v>493</v>
      </c>
      <c r="L9" s="380" t="s">
        <v>493</v>
      </c>
      <c r="M9" s="380" t="s">
        <v>493</v>
      </c>
    </row>
    <row r="11" spans="2:22" ht="16">
      <c r="B11" s="64" t="s">
        <v>495</v>
      </c>
    </row>
    <row r="12" spans="2:22" ht="16">
      <c r="B12" s="51" t="s">
        <v>496</v>
      </c>
      <c r="C12" s="462" cm="1">
        <f t="array" ref="C12:G20">TRANSPOSE(PubComps!N34:V38)</f>
        <v>5.8962066720183479</v>
      </c>
      <c r="D12" s="462">
        <v>5.2155070511622599</v>
      </c>
      <c r="E12" s="462">
        <v>3.4784195311608808</v>
      </c>
      <c r="F12" s="462">
        <v>1.6291963412294481</v>
      </c>
      <c r="G12" s="462">
        <v>1.0702660588479069</v>
      </c>
      <c r="H12" s="463" cm="1">
        <f t="array" ref="H12:H20">TRANSPOSE(PubComps!N21:V21)</f>
        <v>560.23</v>
      </c>
      <c r="I12" s="465">
        <f>(I34+SUM($E$33:$E$39))/$E$42</f>
        <v>7.0558646386671056</v>
      </c>
      <c r="J12" s="466">
        <f>(J34+SUM($E$33:$E$39))/$E$42</f>
        <v>10.265474233773817</v>
      </c>
      <c r="K12" s="466">
        <f t="shared" ref="K12:M12" si="0">(K34+SUM($E$33:$E$39))/$E$42</f>
        <v>20.884481077718945</v>
      </c>
      <c r="L12" s="466">
        <f t="shared" si="0"/>
        <v>30.859558377128259</v>
      </c>
      <c r="M12" s="466">
        <f t="shared" si="0"/>
        <v>34.768418038794984</v>
      </c>
      <c r="N12" s="264"/>
      <c r="O12" s="467"/>
      <c r="P12" s="264"/>
      <c r="Q12" s="264"/>
      <c r="R12" s="264"/>
      <c r="S12" s="264"/>
      <c r="T12" s="264"/>
      <c r="U12" s="264"/>
      <c r="V12" s="264"/>
    </row>
    <row r="13" spans="2:22" ht="16">
      <c r="B13" s="51" t="str">
        <f>"CY "&amp;TEXT(EOMONTH(Hist_Year,12),"YY")&amp;" TEV / Revenue:"</f>
        <v>CY 25 TEV / Revenue:</v>
      </c>
      <c r="C13" s="462">
        <v>5.9060244031141869</v>
      </c>
      <c r="D13" s="462">
        <v>5.6665909813663138</v>
      </c>
      <c r="E13" s="462">
        <v>5.4271575596184416</v>
      </c>
      <c r="F13" s="462">
        <v>4.2677446595700017</v>
      </c>
      <c r="G13" s="462">
        <v>3.1083317595215614</v>
      </c>
      <c r="H13" s="464">
        <v>673</v>
      </c>
      <c r="I13" s="465">
        <f t="shared" ref="I13:M20" si="1">(I35+SUM($E$33:$E$39))/$E$42</f>
        <v>22.352216832287933</v>
      </c>
      <c r="J13" s="466">
        <f t="shared" si="1"/>
        <v>30.350216850047264</v>
      </c>
      <c r="K13" s="466">
        <f t="shared" ref="K13:M14" si="2">(K35+SUM($E$33:$E$39))/$E$42</f>
        <v>38.348216867806592</v>
      </c>
      <c r="L13" s="466">
        <f t="shared" si="2"/>
        <v>39.999904986260034</v>
      </c>
      <c r="M13" s="466">
        <f t="shared" si="2"/>
        <v>41.651593104713484</v>
      </c>
      <c r="N13" s="264"/>
      <c r="O13" s="467"/>
      <c r="P13" s="264"/>
      <c r="Q13" s="264"/>
      <c r="R13" s="264"/>
      <c r="S13" s="264"/>
      <c r="T13" s="264"/>
      <c r="U13" s="264"/>
      <c r="V13" s="264"/>
    </row>
    <row r="14" spans="2:22" ht="16">
      <c r="B14" s="51" t="str">
        <f>"CY "&amp;TEXT(EOMONTH(Hist_Year,24),"YY")&amp;" TEV / Revenue:"</f>
        <v>CY 26 TEV / Revenue:</v>
      </c>
      <c r="C14" s="462">
        <v>5.5507026097560974</v>
      </c>
      <c r="D14" s="462">
        <v>4.3761929091923744</v>
      </c>
      <c r="E14" s="462">
        <v>3.2685039736517125</v>
      </c>
      <c r="F14" s="462">
        <v>2.2367002887961864</v>
      </c>
      <c r="G14" s="462">
        <v>1.6480867900446712</v>
      </c>
      <c r="H14" s="464">
        <v>745</v>
      </c>
      <c r="I14" s="465">
        <f t="shared" si="1"/>
        <v>13.495281453293154</v>
      </c>
      <c r="J14" s="466">
        <f t="shared" si="1"/>
        <v>17.990126231582195</v>
      </c>
      <c r="K14" s="466">
        <f t="shared" si="2"/>
        <v>25.86931591195701</v>
      </c>
      <c r="L14" s="466">
        <f t="shared" si="2"/>
        <v>34.327990132721595</v>
      </c>
      <c r="M14" s="466">
        <f t="shared" si="2"/>
        <v>43.296929523045222</v>
      </c>
      <c r="N14" s="468"/>
      <c r="O14" s="467"/>
      <c r="P14" s="468"/>
      <c r="Q14" s="468"/>
      <c r="R14" s="468"/>
      <c r="S14" s="468"/>
      <c r="T14" s="468"/>
      <c r="U14" s="468"/>
      <c r="V14" s="468"/>
    </row>
    <row r="15" spans="2:22" ht="16">
      <c r="B15" s="51" t="s">
        <v>497</v>
      </c>
      <c r="C15" s="462">
        <v>74.534543777292583</v>
      </c>
      <c r="D15" s="462">
        <v>29.04608849598911</v>
      </c>
      <c r="E15" s="462">
        <v>10.759601701110643</v>
      </c>
      <c r="F15" s="462">
        <v>6.3951731018449482</v>
      </c>
      <c r="G15" s="462">
        <v>2.6728924073797931</v>
      </c>
      <c r="H15" s="464">
        <v>-535.97299999999996</v>
      </c>
      <c r="I15" s="465">
        <f t="shared" si="1"/>
        <v>-13.774325156422403</v>
      </c>
      <c r="J15" s="466">
        <f t="shared" si="1"/>
        <v>-34.223709644476649</v>
      </c>
      <c r="K15" s="466">
        <f t="shared" si="1"/>
        <v>-58.200912285253942</v>
      </c>
      <c r="L15" s="466">
        <f t="shared" si="1"/>
        <v>-158.6628145701186</v>
      </c>
      <c r="M15" s="466">
        <f t="shared" si="1"/>
        <v>-408.56629799043492</v>
      </c>
      <c r="N15" s="264"/>
      <c r="O15" s="467"/>
      <c r="P15" s="264"/>
      <c r="Q15" s="264"/>
      <c r="R15" s="264"/>
      <c r="S15" s="264"/>
      <c r="T15" s="264"/>
      <c r="U15" s="264"/>
      <c r="V15" s="264"/>
    </row>
    <row r="16" spans="2:22" ht="16">
      <c r="B16" s="51" t="str">
        <f>"CY "&amp;TEXT(EOMONTH(Hist_Year,12),"YY")&amp;" TEV / EBITDA:"</f>
        <v>CY 25 TEV / EBITDA:</v>
      </c>
      <c r="C16" s="462">
        <v>44.333533831168829</v>
      </c>
      <c r="D16" s="462">
        <v>29.930265343257368</v>
      </c>
      <c r="E16" s="462">
        <v>15.526996855345912</v>
      </c>
      <c r="F16" s="462">
        <v>15.216952805402213</v>
      </c>
      <c r="G16" s="462">
        <v>14.906908755458515</v>
      </c>
      <c r="H16" s="464">
        <v>-508.22188069164571</v>
      </c>
      <c r="I16" s="465">
        <f t="shared" si="1"/>
        <v>-76.745000030728633</v>
      </c>
      <c r="J16" s="466">
        <f t="shared" si="1"/>
        <v>-78.360120676071418</v>
      </c>
      <c r="K16" s="466">
        <f t="shared" si="1"/>
        <v>-79.975241321414188</v>
      </c>
      <c r="L16" s="466">
        <f t="shared" si="1"/>
        <v>-155.00656767476676</v>
      </c>
      <c r="M16" s="466">
        <f t="shared" si="1"/>
        <v>-230.03789402811933</v>
      </c>
      <c r="N16" s="264"/>
      <c r="O16" s="467"/>
      <c r="P16" s="264"/>
      <c r="Q16" s="264"/>
      <c r="R16" s="264"/>
      <c r="S16" s="264"/>
      <c r="T16" s="264"/>
      <c r="U16" s="264"/>
      <c r="V16" s="264"/>
    </row>
    <row r="17" spans="2:15" ht="16">
      <c r="B17" s="51" t="str">
        <f>"CY "&amp;TEXT(EOMONTH(Hist_Year,24),"YY")&amp;" TEV / EBITDA:"</f>
        <v>CY 26 TEV / EBITDA:</v>
      </c>
      <c r="C17" s="462">
        <v>48.091853658536579</v>
      </c>
      <c r="D17" s="462">
        <v>20.675825176913115</v>
      </c>
      <c r="E17" s="462">
        <v>13.125439138469659</v>
      </c>
      <c r="F17" s="462">
        <v>9.7785332798326543</v>
      </c>
      <c r="G17" s="462">
        <v>7.5513216374268994</v>
      </c>
      <c r="H17" s="464">
        <v>-364.82964444486214</v>
      </c>
      <c r="I17" s="465">
        <f t="shared" si="1"/>
        <v>-27.328525912989438</v>
      </c>
      <c r="J17" s="466">
        <f t="shared" si="1"/>
        <v>-35.657275724411633</v>
      </c>
      <c r="K17" s="466">
        <f t="shared" si="1"/>
        <v>-48.173168245905735</v>
      </c>
      <c r="L17" s="466">
        <f t="shared" si="1"/>
        <v>-76.408148297430714</v>
      </c>
      <c r="M17" s="466">
        <f t="shared" si="1"/>
        <v>-178.9315177422944</v>
      </c>
      <c r="O17" s="467"/>
    </row>
    <row r="18" spans="2:15" ht="16">
      <c r="B18" s="51" t="s">
        <v>479</v>
      </c>
      <c r="C18" s="462">
        <v>20.669557692307691</v>
      </c>
      <c r="D18" s="462">
        <v>16.869803960309095</v>
      </c>
      <c r="E18" s="462">
        <v>13.070050228310501</v>
      </c>
      <c r="F18" s="462">
        <v>7.3251489490420676</v>
      </c>
      <c r="G18" s="462">
        <v>1.580247669773635</v>
      </c>
      <c r="H18" s="464">
        <v>-569.18299999999999</v>
      </c>
      <c r="I18" s="465">
        <f t="shared" si="1"/>
        <v>-8.3095029666335272</v>
      </c>
      <c r="J18" s="466">
        <f t="shared" si="1"/>
        <v>-41.826314619337957</v>
      </c>
      <c r="K18" s="466">
        <f t="shared" si="1"/>
        <v>-75.343126272042397</v>
      </c>
      <c r="L18" s="466">
        <f t="shared" si="1"/>
        <v>-97.511589048181747</v>
      </c>
      <c r="M18" s="466">
        <f t="shared" si="1"/>
        <v>-119.68005182432113</v>
      </c>
      <c r="O18" s="467"/>
    </row>
    <row r="19" spans="2:15" ht="16">
      <c r="B19" s="51" t="str">
        <f>"CY "&amp;TEXT(EOMONTH(Hist_Year,12),"YY")&amp;" P / E:"</f>
        <v>CY 25 P / E:</v>
      </c>
      <c r="C19" s="462">
        <v>20.433783269961978</v>
      </c>
      <c r="D19" s="462">
        <v>19.289408659579326</v>
      </c>
      <c r="E19" s="462">
        <v>18.145034049196674</v>
      </c>
      <c r="F19" s="462">
        <v>17.000659438814022</v>
      </c>
      <c r="G19" s="462">
        <v>15.856284828431372</v>
      </c>
      <c r="H19" s="464">
        <v>-586.93659000000002</v>
      </c>
      <c r="I19" s="465">
        <f t="shared" si="1"/>
        <v>-94.483996999469497</v>
      </c>
      <c r="J19" s="466">
        <f t="shared" si="1"/>
        <v>-101.36873799476031</v>
      </c>
      <c r="K19" s="466">
        <f t="shared" si="1"/>
        <v>-108.25347899005112</v>
      </c>
      <c r="L19" s="466">
        <f t="shared" si="1"/>
        <v>-115.13821998534196</v>
      </c>
      <c r="M19" s="466">
        <f t="shared" si="1"/>
        <v>-122.02296098063277</v>
      </c>
    </row>
    <row r="20" spans="2:15" ht="16">
      <c r="B20" s="51" t="str">
        <f>"CY "&amp;TEXT(EOMONTH(Hist_Year,24),"YY")&amp;" P / E:"</f>
        <v>CY 26 P / E:</v>
      </c>
      <c r="C20" s="462">
        <v>40.4335263125</v>
      </c>
      <c r="D20" s="462">
        <v>34.188302863013696</v>
      </c>
      <c r="E20" s="462">
        <v>14.770237922374429</v>
      </c>
      <c r="F20" s="462">
        <v>12.527004662004662</v>
      </c>
      <c r="G20" s="462">
        <v>11.50027513227513</v>
      </c>
      <c r="H20" s="464">
        <v>-451.26659560674341</v>
      </c>
      <c r="I20" s="465">
        <f t="shared" si="1"/>
        <v>-52.284901675714309</v>
      </c>
      <c r="J20" s="466">
        <f t="shared" si="1"/>
        <v>-57.034068747157107</v>
      </c>
      <c r="K20" s="466">
        <f t="shared" si="1"/>
        <v>-67.410208933287493</v>
      </c>
      <c r="L20" s="466">
        <f t="shared" si="1"/>
        <v>-157.22902872657306</v>
      </c>
      <c r="M20" s="466">
        <f t="shared" si="1"/>
        <v>-186.11649003093024</v>
      </c>
    </row>
    <row r="21" spans="2:15" ht="16">
      <c r="B21" s="51"/>
      <c r="C21" s="462"/>
      <c r="D21" s="462"/>
      <c r="E21" s="462"/>
      <c r="F21" s="462"/>
      <c r="G21" s="462"/>
      <c r="H21" s="464"/>
      <c r="I21" s="465"/>
      <c r="J21" s="466"/>
      <c r="K21" s="466"/>
      <c r="L21" s="466"/>
      <c r="M21" s="466"/>
    </row>
    <row r="22" spans="2:15" ht="16">
      <c r="B22" s="469"/>
      <c r="C22" s="462"/>
      <c r="D22" s="462"/>
      <c r="E22" s="462"/>
      <c r="F22" s="462"/>
      <c r="G22" s="462"/>
      <c r="H22" s="464"/>
      <c r="I22" s="470"/>
      <c r="J22" s="470"/>
      <c r="K22" s="470"/>
      <c r="L22" s="470"/>
      <c r="M22" s="470"/>
    </row>
    <row r="23" spans="2:15" ht="16">
      <c r="B23" s="471"/>
      <c r="C23" s="462"/>
      <c r="D23" s="462"/>
      <c r="E23" s="462"/>
      <c r="F23" s="462"/>
      <c r="G23" s="462"/>
      <c r="H23" s="464"/>
      <c r="I23" s="465"/>
      <c r="J23" s="465"/>
      <c r="K23" s="465"/>
      <c r="L23" s="465"/>
      <c r="M23" s="465"/>
    </row>
    <row r="24" spans="2:15" ht="16">
      <c r="B24" s="471"/>
      <c r="C24" s="462"/>
      <c r="D24" s="462"/>
      <c r="E24" s="462"/>
      <c r="F24" s="462"/>
      <c r="G24" s="462"/>
      <c r="H24" s="464"/>
      <c r="I24" s="465"/>
      <c r="J24" s="465"/>
      <c r="K24" s="465"/>
      <c r="L24" s="465"/>
      <c r="M24" s="465"/>
    </row>
    <row r="25" spans="2:15" ht="16">
      <c r="B25" s="471"/>
      <c r="C25" s="472"/>
      <c r="D25" s="472"/>
      <c r="E25" s="472"/>
      <c r="F25" s="472"/>
      <c r="G25" s="472"/>
      <c r="H25" s="464"/>
      <c r="I25" s="473"/>
      <c r="J25" s="473"/>
      <c r="K25" s="473"/>
      <c r="L25" s="473"/>
      <c r="M25" s="473"/>
    </row>
    <row r="26" spans="2:15" ht="16">
      <c r="B26" s="471"/>
      <c r="C26" s="472"/>
      <c r="D26" s="472"/>
      <c r="E26" s="472"/>
      <c r="F26" s="472"/>
      <c r="G26" s="472"/>
      <c r="H26" s="464"/>
      <c r="I26" s="473"/>
      <c r="J26" s="473"/>
      <c r="K26" s="473"/>
      <c r="L26" s="473"/>
      <c r="M26" s="473"/>
    </row>
    <row r="27" spans="2:15" ht="16">
      <c r="B27" s="471"/>
      <c r="C27" s="472"/>
      <c r="D27" s="472"/>
      <c r="E27" s="472"/>
      <c r="F27" s="472"/>
      <c r="G27" s="472"/>
      <c r="H27" s="464"/>
      <c r="I27" s="473"/>
      <c r="J27" s="473"/>
      <c r="K27" s="473"/>
      <c r="L27" s="473"/>
      <c r="M27" s="473"/>
    </row>
    <row r="28" spans="2:15" ht="16">
      <c r="B28" s="51"/>
      <c r="C28" s="462"/>
      <c r="D28" s="462"/>
      <c r="E28" s="462"/>
      <c r="F28" s="462"/>
      <c r="G28" s="462"/>
      <c r="H28" s="464"/>
      <c r="I28" s="465"/>
      <c r="J28" s="466"/>
      <c r="K28" s="466"/>
      <c r="L28" s="466"/>
      <c r="M28" s="466"/>
    </row>
    <row r="29" spans="2:15" ht="16">
      <c r="B29" s="64" t="s">
        <v>498</v>
      </c>
    </row>
    <row r="30" spans="2:15" ht="16">
      <c r="B30" s="51" t="s">
        <v>499</v>
      </c>
      <c r="I30" s="474"/>
      <c r="J30" s="474"/>
      <c r="K30" s="474"/>
      <c r="L30" s="474"/>
      <c r="M30" s="474"/>
    </row>
    <row r="31" spans="2:15" ht="16">
      <c r="B31" s="51"/>
      <c r="I31" s="474"/>
      <c r="J31" s="474"/>
      <c r="K31" s="474"/>
      <c r="L31" s="474"/>
      <c r="M31" s="474"/>
    </row>
    <row r="32" spans="2:15" ht="16">
      <c r="B32" s="475" t="s">
        <v>500</v>
      </c>
      <c r="C32" s="476"/>
      <c r="D32" s="476"/>
      <c r="E32" s="477">
        <f>rNPV!G21</f>
        <v>2292.66</v>
      </c>
    </row>
    <row r="33" spans="2:13" ht="16">
      <c r="B33" s="90" t="s">
        <v>167</v>
      </c>
      <c r="C33" s="20"/>
      <c r="D33" s="20"/>
      <c r="E33" s="478">
        <f>[1]DCF!L29</f>
        <v>88.775000000000006</v>
      </c>
    </row>
    <row r="34" spans="2:13" ht="16">
      <c r="B34" s="90" t="s">
        <v>169</v>
      </c>
      <c r="C34" s="10"/>
      <c r="D34" s="10"/>
      <c r="E34" s="478">
        <f>[1]DCF!L30</f>
        <v>0</v>
      </c>
      <c r="G34" s="461" t="s">
        <v>501</v>
      </c>
      <c r="H34" s="479"/>
      <c r="I34" s="179">
        <f>G12*$H12</f>
        <v>599.59515414836289</v>
      </c>
      <c r="J34" s="179">
        <f>F12*$H12</f>
        <v>912.7246662469737</v>
      </c>
      <c r="K34" s="179">
        <f>E12*$H12</f>
        <v>1948.7149739422603</v>
      </c>
      <c r="L34" s="179">
        <f>D12*$H12</f>
        <v>2921.8835152726328</v>
      </c>
      <c r="M34" s="179">
        <f>C12*$H12</f>
        <v>3303.2318638648389</v>
      </c>
    </row>
    <row r="35" spans="2:13" ht="16">
      <c r="B35" s="90" t="s">
        <v>171</v>
      </c>
      <c r="C35" s="10"/>
      <c r="D35" s="10"/>
      <c r="E35" s="478">
        <f>[1]DCF!L31</f>
        <v>0</v>
      </c>
      <c r="G35" s="461" t="s">
        <v>501</v>
      </c>
      <c r="H35" s="10"/>
      <c r="I35" s="179">
        <f t="shared" ref="I35:I42" si="3">G13*$H13</f>
        <v>2091.9072741580108</v>
      </c>
      <c r="J35" s="179">
        <f t="shared" ref="J35:J42" si="4">F13*$H13</f>
        <v>2872.192155890611</v>
      </c>
      <c r="K35" s="179">
        <f t="shared" ref="K35:K42" si="5">E13*$H13</f>
        <v>3652.4770376232113</v>
      </c>
      <c r="L35" s="179">
        <f t="shared" ref="L35:L42" si="6">D13*$H13</f>
        <v>3813.615730459529</v>
      </c>
      <c r="M35" s="179">
        <f t="shared" ref="M35:M42" si="7">C13*$H13</f>
        <v>3974.7544232958476</v>
      </c>
    </row>
    <row r="36" spans="2:13" ht="16">
      <c r="B36" s="90" t="s">
        <v>173</v>
      </c>
      <c r="C36" s="10"/>
      <c r="D36" s="10"/>
      <c r="E36" s="478">
        <f>[1]DCF!L32</f>
        <v>0</v>
      </c>
      <c r="G36" s="461" t="s">
        <v>501</v>
      </c>
      <c r="H36" s="10"/>
      <c r="I36" s="179">
        <f t="shared" si="3"/>
        <v>1227.8246585832801</v>
      </c>
      <c r="J36" s="179">
        <f t="shared" si="4"/>
        <v>1666.3417151531589</v>
      </c>
      <c r="K36" s="179">
        <f t="shared" si="5"/>
        <v>2435.0354603705259</v>
      </c>
      <c r="L36" s="179">
        <f t="shared" si="6"/>
        <v>3260.263717348319</v>
      </c>
      <c r="M36" s="179">
        <f t="shared" si="7"/>
        <v>4135.2734442682922</v>
      </c>
    </row>
    <row r="37" spans="2:13" ht="16">
      <c r="B37" s="90" t="s">
        <v>174</v>
      </c>
      <c r="C37" s="10"/>
      <c r="D37" s="10"/>
      <c r="E37" s="478">
        <f>[1]DCF!L33</f>
        <v>0</v>
      </c>
      <c r="G37" s="461" t="s">
        <v>501</v>
      </c>
      <c r="H37" s="10"/>
      <c r="I37" s="179">
        <f t="shared" si="3"/>
        <v>-1432.5981622605698</v>
      </c>
      <c r="J37" s="179">
        <f t="shared" si="4"/>
        <v>-3427.6401129151423</v>
      </c>
      <c r="K37" s="179">
        <f t="shared" si="5"/>
        <v>-5766.8560025493744</v>
      </c>
      <c r="L37" s="179">
        <f t="shared" si="6"/>
        <v>-15567.91918946077</v>
      </c>
      <c r="M37" s="179">
        <f t="shared" si="7"/>
        <v>-39948.503031946835</v>
      </c>
    </row>
    <row r="38" spans="2:13" ht="16">
      <c r="B38" s="90" t="s">
        <v>175</v>
      </c>
      <c r="C38" s="10"/>
      <c r="D38" s="10"/>
      <c r="E38" s="478">
        <f>[1]DCF!L34</f>
        <v>0</v>
      </c>
      <c r="G38" s="461" t="s">
        <v>501</v>
      </c>
      <c r="H38" s="10"/>
      <c r="I38" s="179">
        <f t="shared" si="3"/>
        <v>-7576.0172029978858</v>
      </c>
      <c r="J38" s="179">
        <f t="shared" si="4"/>
        <v>-7733.5883731575268</v>
      </c>
      <c r="K38" s="179">
        <f t="shared" si="5"/>
        <v>-7891.1595433171678</v>
      </c>
      <c r="L38" s="179">
        <f t="shared" si="6"/>
        <v>-15211.215742350245</v>
      </c>
      <c r="M38" s="179">
        <f t="shared" si="7"/>
        <v>-22531.271941383322</v>
      </c>
    </row>
    <row r="39" spans="2:13" ht="16">
      <c r="B39" s="90" t="s">
        <v>176</v>
      </c>
      <c r="C39" s="10"/>
      <c r="D39" s="10"/>
      <c r="E39" s="480">
        <f>[1]DCF!L35</f>
        <v>0</v>
      </c>
      <c r="G39" s="461" t="s">
        <v>501</v>
      </c>
      <c r="H39" s="10"/>
      <c r="I39" s="179">
        <f t="shared" si="3"/>
        <v>-2754.9459880712498</v>
      </c>
      <c r="J39" s="179">
        <f t="shared" si="4"/>
        <v>-3567.498819673599</v>
      </c>
      <c r="K39" s="179">
        <f t="shared" si="5"/>
        <v>-4788.5492940705635</v>
      </c>
      <c r="L39" s="179">
        <f t="shared" si="6"/>
        <v>-7543.1539478973409</v>
      </c>
      <c r="M39" s="179">
        <f t="shared" si="7"/>
        <v>-17545.333870938244</v>
      </c>
    </row>
    <row r="40" spans="2:13" ht="16">
      <c r="B40" s="481" t="s">
        <v>177</v>
      </c>
      <c r="C40" s="482"/>
      <c r="D40" s="482"/>
      <c r="E40" s="483">
        <f>SUM(E32:E39)</f>
        <v>2381.4349999999999</v>
      </c>
      <c r="G40" s="461" t="s">
        <v>502</v>
      </c>
      <c r="H40" s="10"/>
      <c r="I40" s="179">
        <f t="shared" si="3"/>
        <v>-899.45010942476688</v>
      </c>
      <c r="J40" s="179">
        <f t="shared" si="4"/>
        <v>-4169.3502542626111</v>
      </c>
      <c r="K40" s="179">
        <f t="shared" si="5"/>
        <v>-7439.250399100456</v>
      </c>
      <c r="L40" s="179">
        <f t="shared" si="6"/>
        <v>-9602.0056275406114</v>
      </c>
      <c r="M40" s="179">
        <f t="shared" si="7"/>
        <v>-11764.760855980769</v>
      </c>
    </row>
    <row r="41" spans="2:13" ht="16">
      <c r="B41" s="10"/>
      <c r="C41" s="10"/>
      <c r="D41" s="10"/>
      <c r="E41" s="10"/>
      <c r="G41" s="461" t="s">
        <v>502</v>
      </c>
      <c r="H41" s="10"/>
      <c r="I41" s="179">
        <f t="shared" si="3"/>
        <v>-9306.6337472682444</v>
      </c>
      <c r="J41" s="179">
        <f t="shared" si="4"/>
        <v>-9978.3090787688161</v>
      </c>
      <c r="K41" s="179">
        <f t="shared" si="5"/>
        <v>-10649.984410269388</v>
      </c>
      <c r="L41" s="179">
        <f t="shared" si="6"/>
        <v>-11321.659741769961</v>
      </c>
      <c r="M41" s="179">
        <f t="shared" si="7"/>
        <v>-11993.335073270533</v>
      </c>
    </row>
    <row r="42" spans="2:13" ht="16">
      <c r="B42" s="20" t="s">
        <v>11</v>
      </c>
      <c r="C42" s="20"/>
      <c r="D42" s="20"/>
      <c r="E42" s="484">
        <f>Diluted</f>
        <v>97.56</v>
      </c>
      <c r="G42" s="461" t="s">
        <v>502</v>
      </c>
      <c r="H42" s="10"/>
      <c r="I42" s="179">
        <f t="shared" si="3"/>
        <v>-5189.6900074826881</v>
      </c>
      <c r="J42" s="179">
        <f t="shared" si="4"/>
        <v>-5653.018746972647</v>
      </c>
      <c r="K42" s="179">
        <f t="shared" si="5"/>
        <v>-6665.3149835315271</v>
      </c>
      <c r="L42" s="179">
        <f t="shared" si="6"/>
        <v>-15428.039042564469</v>
      </c>
      <c r="M42" s="179">
        <f t="shared" si="7"/>
        <v>-18246.299767417557</v>
      </c>
    </row>
    <row r="43" spans="2:13" ht="16">
      <c r="B43" s="20"/>
      <c r="C43" s="20"/>
      <c r="D43" s="20"/>
      <c r="E43" s="20"/>
    </row>
    <row r="44" spans="2:13" ht="16">
      <c r="B44" s="485" t="s">
        <v>178</v>
      </c>
      <c r="C44" s="486"/>
      <c r="D44" s="486"/>
      <c r="E44" s="487">
        <f>E40/E42</f>
        <v>24.409952849528494</v>
      </c>
      <c r="G44" s="461" t="s">
        <v>501</v>
      </c>
      <c r="H44" s="461"/>
      <c r="I44" s="179">
        <f>+G23*$H23</f>
        <v>0</v>
      </c>
      <c r="J44" s="179">
        <f>H23*F23</f>
        <v>0</v>
      </c>
      <c r="K44" s="179">
        <f>H23*E23</f>
        <v>0</v>
      </c>
      <c r="L44" s="179">
        <f>H23*D23</f>
        <v>0</v>
      </c>
      <c r="M44" s="179">
        <f>H23*C23</f>
        <v>0</v>
      </c>
    </row>
    <row r="45" spans="2:13" ht="16">
      <c r="B45" s="488" t="s">
        <v>152</v>
      </c>
      <c r="C45" s="489"/>
      <c r="D45" s="489"/>
      <c r="E45" s="490">
        <f>E44/Share_Price-1</f>
        <v>3.1697077325802736E-2</v>
      </c>
      <c r="G45" s="461" t="s">
        <v>501</v>
      </c>
      <c r="H45" s="461"/>
      <c r="I45" s="179">
        <f>+G24*$H24</f>
        <v>0</v>
      </c>
      <c r="J45" s="179">
        <f>H24*F24</f>
        <v>0</v>
      </c>
      <c r="K45" s="179">
        <f>H24*E24</f>
        <v>0</v>
      </c>
      <c r="L45" s="179">
        <f>H24*D24</f>
        <v>0</v>
      </c>
      <c r="M45" s="179">
        <f>H24*C24</f>
        <v>0</v>
      </c>
    </row>
    <row r="46" spans="2:13" ht="16">
      <c r="G46" s="461"/>
      <c r="I46" s="179"/>
      <c r="J46" s="179"/>
      <c r="K46" s="179"/>
      <c r="L46" s="179"/>
      <c r="M46" s="17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D4C2-DD6E-4F8F-9ADF-395855C35E02}">
  <dimension ref="A2:AG40"/>
  <sheetViews>
    <sheetView showGridLines="0" zoomScale="80" workbookViewId="0">
      <selection activeCell="C14" sqref="C9:C14"/>
    </sheetView>
  </sheetViews>
  <sheetFormatPr defaultRowHeight="14.5"/>
  <cols>
    <col min="2" max="2" width="41.6328125" bestFit="1" customWidth="1"/>
    <col min="3" max="3" width="7.6328125" bestFit="1" customWidth="1"/>
    <col min="4" max="4" width="10.453125" bestFit="1" customWidth="1"/>
    <col min="5" max="5" width="8.453125" bestFit="1" customWidth="1"/>
    <col min="6" max="6" width="13.7265625" bestFit="1" customWidth="1"/>
    <col min="7" max="8" width="8.453125" bestFit="1" customWidth="1"/>
    <col min="9" max="10" width="10.7265625" bestFit="1" customWidth="1"/>
    <col min="11" max="11" width="10.26953125" bestFit="1" customWidth="1"/>
    <col min="12" max="12" width="9" bestFit="1" customWidth="1"/>
    <col min="13" max="13" width="13.7265625" bestFit="1" customWidth="1"/>
    <col min="14" max="16" width="12.453125" bestFit="1" customWidth="1"/>
    <col min="17" max="17" width="12" bestFit="1" customWidth="1"/>
    <col min="18" max="19" width="12.453125" bestFit="1" customWidth="1"/>
    <col min="20" max="20" width="12" bestFit="1" customWidth="1"/>
    <col min="21" max="22" width="12.453125" bestFit="1" customWidth="1"/>
    <col min="23" max="27" width="8.81640625" bestFit="1" customWidth="1"/>
    <col min="28" max="33" width="10.1796875" bestFit="1" customWidth="1"/>
  </cols>
  <sheetData>
    <row r="2" spans="2:31" ht="16">
      <c r="B2" s="64" t="s">
        <v>435</v>
      </c>
      <c r="C2" s="115"/>
      <c r="D2" s="115"/>
      <c r="E2" s="115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31" ht="16">
      <c r="B3" s="20" t="s">
        <v>436</v>
      </c>
      <c r="C3" s="20"/>
      <c r="D3" s="115"/>
      <c r="E3" s="11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2:31" ht="16">
      <c r="B4" s="20"/>
      <c r="C4" s="20"/>
      <c r="D4" s="115"/>
      <c r="E4" s="115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2:31" ht="16">
      <c r="B5" s="371" t="s">
        <v>3</v>
      </c>
      <c r="C5" s="372" t="s">
        <v>6</v>
      </c>
      <c r="D5" s="373" t="s">
        <v>398</v>
      </c>
      <c r="E5" s="319" t="s">
        <v>409</v>
      </c>
      <c r="F5" s="271" t="s">
        <v>411</v>
      </c>
      <c r="G5" s="271" t="s">
        <v>413</v>
      </c>
      <c r="H5" s="266" t="s">
        <v>14</v>
      </c>
      <c r="I5" s="286" t="s">
        <v>387</v>
      </c>
      <c r="J5" s="286" t="s">
        <v>390</v>
      </c>
      <c r="K5" s="286" t="s">
        <v>165</v>
      </c>
      <c r="L5" s="286" t="s">
        <v>168</v>
      </c>
      <c r="M5" s="271" t="s">
        <v>412</v>
      </c>
      <c r="N5" s="271" t="s">
        <v>380</v>
      </c>
      <c r="O5" s="266" t="s">
        <v>437</v>
      </c>
      <c r="P5" s="271" t="s">
        <v>438</v>
      </c>
      <c r="Q5" s="271" t="s">
        <v>385</v>
      </c>
      <c r="R5" s="374" t="s">
        <v>439</v>
      </c>
      <c r="S5" s="271" t="s">
        <v>440</v>
      </c>
      <c r="T5" s="271" t="s">
        <v>381</v>
      </c>
      <c r="U5" s="286" t="s">
        <v>441</v>
      </c>
      <c r="V5" s="271" t="s">
        <v>442</v>
      </c>
      <c r="W5" s="271" t="s">
        <v>419</v>
      </c>
      <c r="X5" s="271" t="s">
        <v>420</v>
      </c>
      <c r="Y5" s="271" t="s">
        <v>421</v>
      </c>
      <c r="Z5" s="271" t="s">
        <v>443</v>
      </c>
      <c r="AA5" s="271" t="s">
        <v>444</v>
      </c>
      <c r="AB5" s="271"/>
      <c r="AC5" s="20"/>
    </row>
    <row r="6" spans="2:31" ht="16">
      <c r="B6" s="375" t="s">
        <v>445</v>
      </c>
      <c r="C6" s="376"/>
      <c r="D6" s="376"/>
      <c r="E6" s="376"/>
      <c r="F6" s="377" t="s">
        <v>446</v>
      </c>
      <c r="G6" s="377"/>
      <c r="H6" s="377"/>
      <c r="I6" s="377"/>
      <c r="J6" s="377"/>
      <c r="K6" s="377"/>
      <c r="L6" s="377"/>
      <c r="M6" s="378"/>
      <c r="N6" s="379"/>
      <c r="O6" s="379"/>
      <c r="P6" s="379"/>
      <c r="Q6" s="379"/>
      <c r="R6" s="379"/>
      <c r="S6" s="379"/>
      <c r="T6" s="379"/>
      <c r="U6" s="379"/>
      <c r="V6" s="379"/>
      <c r="W6" s="380" t="s">
        <v>447</v>
      </c>
      <c r="X6" s="380" t="s">
        <v>447</v>
      </c>
      <c r="Y6" s="377"/>
      <c r="Z6" s="377"/>
      <c r="AA6" s="381"/>
    </row>
    <row r="7" spans="2:31" ht="16">
      <c r="B7" s="379"/>
      <c r="C7" s="379"/>
      <c r="D7" s="380" t="s">
        <v>448</v>
      </c>
      <c r="E7" s="380" t="s">
        <v>449</v>
      </c>
      <c r="F7" s="380" t="s">
        <v>450</v>
      </c>
      <c r="G7" s="380"/>
      <c r="H7" s="380"/>
      <c r="I7" s="380"/>
      <c r="J7" s="380"/>
      <c r="K7" s="380"/>
      <c r="L7" s="380" t="s">
        <v>451</v>
      </c>
      <c r="M7" s="380" t="s">
        <v>452</v>
      </c>
      <c r="N7" s="377" t="s">
        <v>179</v>
      </c>
      <c r="O7" s="377"/>
      <c r="P7" s="377"/>
      <c r="Q7" s="377" t="s">
        <v>194</v>
      </c>
      <c r="R7" s="377"/>
      <c r="S7" s="377"/>
      <c r="T7" s="377" t="s">
        <v>453</v>
      </c>
      <c r="U7" s="377"/>
      <c r="V7" s="377"/>
      <c r="W7" s="380" t="s">
        <v>179</v>
      </c>
      <c r="X7" s="380" t="s">
        <v>194</v>
      </c>
      <c r="Y7" s="377" t="s">
        <v>454</v>
      </c>
      <c r="Z7" s="377"/>
      <c r="AA7" s="377"/>
    </row>
    <row r="8" spans="2:31" ht="16">
      <c r="B8" s="382" t="s">
        <v>455</v>
      </c>
      <c r="C8" s="382" t="s">
        <v>456</v>
      </c>
      <c r="D8" s="383" t="s">
        <v>457</v>
      </c>
      <c r="E8" s="383" t="s">
        <v>458</v>
      </c>
      <c r="F8" s="383" t="s">
        <v>459</v>
      </c>
      <c r="G8" s="383" t="s">
        <v>460</v>
      </c>
      <c r="H8" s="383" t="s">
        <v>461</v>
      </c>
      <c r="I8" s="383" t="s">
        <v>462</v>
      </c>
      <c r="J8" s="383" t="s">
        <v>463</v>
      </c>
      <c r="K8" s="383" t="s">
        <v>464</v>
      </c>
      <c r="L8" s="383" t="s">
        <v>465</v>
      </c>
      <c r="M8" s="383" t="s">
        <v>466</v>
      </c>
      <c r="N8" s="384" t="s">
        <v>379</v>
      </c>
      <c r="O8" s="385">
        <v>46022</v>
      </c>
      <c r="P8" s="385">
        <f>EOMONTH(O8,12)</f>
        <v>46387</v>
      </c>
      <c r="Q8" s="384" t="str">
        <f>$N$8</f>
        <v>LTM</v>
      </c>
      <c r="R8" s="385">
        <f>+$O$8</f>
        <v>46022</v>
      </c>
      <c r="S8" s="385">
        <f>+$P$8</f>
        <v>46387</v>
      </c>
      <c r="T8" s="384" t="str">
        <f>$N$8</f>
        <v>LTM</v>
      </c>
      <c r="U8" s="385">
        <f>+$O$8</f>
        <v>46022</v>
      </c>
      <c r="V8" s="385">
        <f>+$P$8</f>
        <v>46387</v>
      </c>
      <c r="W8" s="383" t="s">
        <v>467</v>
      </c>
      <c r="X8" s="383" t="s">
        <v>467</v>
      </c>
      <c r="Y8" s="384" t="str">
        <f>$N$8</f>
        <v>LTM</v>
      </c>
      <c r="Z8" s="385">
        <f>+$O$8</f>
        <v>46022</v>
      </c>
      <c r="AA8" s="385">
        <f>+$P$8</f>
        <v>46387</v>
      </c>
    </row>
    <row r="9" spans="2:31" ht="16">
      <c r="B9" s="371" t="str">
        <f t="shared" ref="B9:B14" si="0">INDEX(Pub_Comps_Range,MATCH(B$5,Pub_Comps_Params,0),MATCH($C9,Pub_Comps_Tickers,0))</f>
        <v>Amicus Therapeutics, Inc.</v>
      </c>
      <c r="C9" s="288" t="s">
        <v>432</v>
      </c>
      <c r="D9" s="371">
        <f t="shared" ref="D9:M14" si="1">INDEX(Pub_Comps_Range,MATCH(D$5,Pub_Comps_Params,0),MATCH($C9,Pub_Comps_Tickers,0))</f>
        <v>14.31</v>
      </c>
      <c r="E9" s="371">
        <f t="shared" si="1"/>
        <v>226.04347344514323</v>
      </c>
      <c r="F9" s="388">
        <f t="shared" si="1"/>
        <v>3234.6821049999999</v>
      </c>
      <c r="G9" s="389">
        <f t="shared" si="1"/>
        <v>1.78</v>
      </c>
      <c r="H9" s="390">
        <f t="shared" si="1"/>
        <v>0.2</v>
      </c>
      <c r="I9" s="388">
        <f t="shared" si="1"/>
        <v>-263</v>
      </c>
      <c r="J9" s="388">
        <f t="shared" si="1"/>
        <v>442</v>
      </c>
      <c r="K9" s="391">
        <f t="shared" si="1"/>
        <v>0</v>
      </c>
      <c r="L9" s="391">
        <f t="shared" si="1"/>
        <v>0</v>
      </c>
      <c r="M9" s="392">
        <f t="shared" si="1"/>
        <v>3413.6821049999999</v>
      </c>
      <c r="N9" s="392">
        <f t="shared" ref="N9:AA14" si="2">INDEX(Pub_Comps_Range,MATCH(N$5,Pub_Comps_Params,0),MATCH($C9,Pub_Comps_Tickers,0))</f>
        <v>599</v>
      </c>
      <c r="O9" s="392">
        <f t="shared" si="2"/>
        <v>629</v>
      </c>
      <c r="P9" s="392">
        <f t="shared" si="2"/>
        <v>745</v>
      </c>
      <c r="Q9" s="392">
        <f t="shared" si="2"/>
        <v>45.8</v>
      </c>
      <c r="R9" s="392">
        <f t="shared" si="2"/>
        <v>77</v>
      </c>
      <c r="S9" s="392">
        <f t="shared" si="2"/>
        <v>149</v>
      </c>
      <c r="T9" s="392">
        <f t="shared" si="2"/>
        <v>-14</v>
      </c>
      <c r="U9" s="392">
        <f t="shared" si="2"/>
        <v>-6</v>
      </c>
      <c r="V9" s="392">
        <f t="shared" si="2"/>
        <v>80</v>
      </c>
      <c r="W9" s="393">
        <f t="shared" si="2"/>
        <v>0.18441971383147848</v>
      </c>
      <c r="X9" s="393">
        <f t="shared" si="2"/>
        <v>0.93506493506493515</v>
      </c>
      <c r="Y9" s="393">
        <f t="shared" si="2"/>
        <v>7.6460767946577621E-2</v>
      </c>
      <c r="Z9" s="393">
        <f t="shared" si="2"/>
        <v>0.12241653418124006</v>
      </c>
      <c r="AA9" s="393">
        <f t="shared" si="2"/>
        <v>0.2</v>
      </c>
      <c r="AE9" s="271"/>
    </row>
    <row r="10" spans="2:31" ht="16">
      <c r="B10" s="371" t="str">
        <f t="shared" si="0"/>
        <v>GE Healthcare Technologies Inc.</v>
      </c>
      <c r="C10" s="288" t="s">
        <v>423</v>
      </c>
      <c r="D10" s="371">
        <f t="shared" si="1"/>
        <v>55.69</v>
      </c>
      <c r="E10" s="371">
        <f t="shared" si="1"/>
        <v>193</v>
      </c>
      <c r="F10" s="388">
        <f t="shared" si="1"/>
        <v>10748.17</v>
      </c>
      <c r="G10" s="389">
        <f t="shared" si="1"/>
        <v>1.27</v>
      </c>
      <c r="H10" s="390">
        <f t="shared" si="1"/>
        <v>0.23400000000000001</v>
      </c>
      <c r="I10" s="388">
        <f t="shared" si="1"/>
        <v>-1477</v>
      </c>
      <c r="J10" s="388">
        <f t="shared" si="1"/>
        <v>604</v>
      </c>
      <c r="K10" s="391">
        <f t="shared" si="1"/>
        <v>0</v>
      </c>
      <c r="L10" s="391">
        <f t="shared" si="1"/>
        <v>0</v>
      </c>
      <c r="M10" s="392">
        <f t="shared" si="1"/>
        <v>9875.17</v>
      </c>
      <c r="N10" s="392">
        <f t="shared" si="2"/>
        <v>3094</v>
      </c>
      <c r="O10" s="392">
        <f t="shared" si="2"/>
        <v>3177</v>
      </c>
      <c r="P10" s="392">
        <f t="shared" si="2"/>
        <v>3554</v>
      </c>
      <c r="Q10" s="392">
        <f t="shared" si="2"/>
        <v>711.3</v>
      </c>
      <c r="R10" s="392">
        <f t="shared" si="2"/>
        <v>636</v>
      </c>
      <c r="S10" s="392">
        <f t="shared" si="2"/>
        <v>1104</v>
      </c>
      <c r="T10" s="392">
        <f t="shared" si="2"/>
        <v>520</v>
      </c>
      <c r="U10" s="392">
        <f t="shared" si="2"/>
        <v>526</v>
      </c>
      <c r="V10" s="392">
        <f t="shared" si="2"/>
        <v>858</v>
      </c>
      <c r="W10" s="393">
        <f t="shared" si="2"/>
        <v>0.11866540761724909</v>
      </c>
      <c r="X10" s="393">
        <f t="shared" si="2"/>
        <v>0.73584905660377364</v>
      </c>
      <c r="Y10" s="393">
        <f t="shared" si="2"/>
        <v>0.22989657401422106</v>
      </c>
      <c r="Z10" s="393">
        <f t="shared" si="2"/>
        <v>0.20018885741265344</v>
      </c>
      <c r="AA10" s="393">
        <f t="shared" si="2"/>
        <v>0.31063590320765333</v>
      </c>
      <c r="AE10" s="271"/>
    </row>
    <row r="11" spans="2:31" ht="16">
      <c r="B11" s="371" t="str">
        <f t="shared" si="0"/>
        <v>Sarepta Therapeutics, Inc.</v>
      </c>
      <c r="C11" s="288" t="s">
        <v>426</v>
      </c>
      <c r="D11" s="371">
        <f t="shared" si="1"/>
        <v>20.74</v>
      </c>
      <c r="E11" s="371">
        <f t="shared" si="1"/>
        <v>104.8</v>
      </c>
      <c r="F11" s="388">
        <f t="shared" si="1"/>
        <v>2173.5519999999997</v>
      </c>
      <c r="G11" s="389">
        <f t="shared" si="1"/>
        <v>1.26</v>
      </c>
      <c r="H11" s="390">
        <f t="shared" si="1"/>
        <v>0.2</v>
      </c>
      <c r="I11" s="388">
        <f t="shared" si="1"/>
        <v>-851</v>
      </c>
      <c r="J11" s="388">
        <f t="shared" si="1"/>
        <v>1260</v>
      </c>
      <c r="K11" s="391">
        <f t="shared" si="1"/>
        <v>0</v>
      </c>
      <c r="L11" s="391">
        <f t="shared" si="1"/>
        <v>0</v>
      </c>
      <c r="M11" s="392">
        <f t="shared" si="1"/>
        <v>2582.5519999999997</v>
      </c>
      <c r="N11" s="392">
        <f t="shared" si="2"/>
        <v>2413</v>
      </c>
      <c r="O11" s="392">
        <f t="shared" si="2"/>
        <v>0</v>
      </c>
      <c r="P11" s="392">
        <f t="shared" si="2"/>
        <v>1567</v>
      </c>
      <c r="Q11" s="392">
        <f t="shared" si="2"/>
        <v>-82</v>
      </c>
      <c r="R11" s="392">
        <f t="shared" si="2"/>
        <v>0</v>
      </c>
      <c r="S11" s="392">
        <f t="shared" si="2"/>
        <v>342</v>
      </c>
      <c r="T11" s="392">
        <f t="shared" si="2"/>
        <v>-271</v>
      </c>
      <c r="U11" s="392">
        <f t="shared" si="2"/>
        <v>0</v>
      </c>
      <c r="V11" s="392">
        <f t="shared" si="2"/>
        <v>189</v>
      </c>
      <c r="W11" s="393" t="str">
        <f t="shared" si="2"/>
        <v>N/A</v>
      </c>
      <c r="X11" s="393" t="str">
        <f t="shared" si="2"/>
        <v>N/A</v>
      </c>
      <c r="Y11" s="393">
        <f t="shared" si="2"/>
        <v>-3.3982594280978037E-2</v>
      </c>
      <c r="Z11" s="393" t="str">
        <f t="shared" si="2"/>
        <v>N/A</v>
      </c>
      <c r="AA11" s="393">
        <f t="shared" si="2"/>
        <v>0.21825143586470963</v>
      </c>
      <c r="AE11" s="271"/>
    </row>
    <row r="12" spans="2:31" ht="16">
      <c r="B12" s="371" t="str">
        <f t="shared" si="0"/>
        <v>PTC Therapeutics, Inc.</v>
      </c>
      <c r="C12" s="288" t="s">
        <v>428</v>
      </c>
      <c r="D12" s="371">
        <f t="shared" si="1"/>
        <v>14.42</v>
      </c>
      <c r="E12" s="371">
        <f t="shared" si="1"/>
        <v>82.3</v>
      </c>
      <c r="F12" s="388">
        <f t="shared" si="1"/>
        <v>1186.7659999999998</v>
      </c>
      <c r="G12" s="389">
        <f t="shared" si="1"/>
        <v>2.15</v>
      </c>
      <c r="H12" s="390">
        <f t="shared" si="1"/>
        <v>0.2</v>
      </c>
      <c r="I12" s="388">
        <f t="shared" si="1"/>
        <v>-1707</v>
      </c>
      <c r="J12" s="388">
        <f t="shared" si="1"/>
        <v>2492</v>
      </c>
      <c r="K12" s="391">
        <f t="shared" si="1"/>
        <v>0</v>
      </c>
      <c r="L12" s="391">
        <f t="shared" si="1"/>
        <v>0</v>
      </c>
      <c r="M12" s="392">
        <f t="shared" si="1"/>
        <v>1971.7659999999998</v>
      </c>
      <c r="N12" s="392">
        <f t="shared" si="2"/>
        <v>1779</v>
      </c>
      <c r="O12" s="392">
        <f t="shared" si="2"/>
        <v>0</v>
      </c>
      <c r="P12" s="392">
        <f t="shared" si="2"/>
        <v>959</v>
      </c>
      <c r="Q12" s="392">
        <f t="shared" si="2"/>
        <v>737.69</v>
      </c>
      <c r="R12" s="392">
        <f t="shared" si="2"/>
        <v>0</v>
      </c>
      <c r="S12" s="392">
        <f t="shared" si="2"/>
        <v>41</v>
      </c>
      <c r="T12" s="392">
        <f t="shared" si="2"/>
        <v>751</v>
      </c>
      <c r="U12" s="392">
        <f t="shared" si="2"/>
        <v>0</v>
      </c>
      <c r="V12" s="392">
        <f t="shared" si="2"/>
        <v>-128</v>
      </c>
      <c r="W12" s="393" t="str">
        <f t="shared" si="2"/>
        <v>N/A</v>
      </c>
      <c r="X12" s="393" t="str">
        <f t="shared" si="2"/>
        <v>N/A</v>
      </c>
      <c r="Y12" s="393">
        <f t="shared" si="2"/>
        <v>0.41466554243957282</v>
      </c>
      <c r="Z12" s="393" t="str">
        <f t="shared" si="2"/>
        <v>N/A</v>
      </c>
      <c r="AA12" s="393">
        <f t="shared" si="2"/>
        <v>4.2752867570385822E-2</v>
      </c>
      <c r="AD12" s="271"/>
      <c r="AE12" s="271"/>
    </row>
    <row r="13" spans="2:31" ht="16">
      <c r="B13" s="371" t="str">
        <f t="shared" si="0"/>
        <v>Travere Therapeutics, Inc.</v>
      </c>
      <c r="C13" s="288" t="s">
        <v>430</v>
      </c>
      <c r="D13" s="371">
        <f t="shared" si="1"/>
        <v>27.83</v>
      </c>
      <c r="E13" s="371">
        <f t="shared" si="1"/>
        <v>89.678264786201936</v>
      </c>
      <c r="F13" s="388">
        <f t="shared" si="1"/>
        <v>2495.7461089999997</v>
      </c>
      <c r="G13" s="389">
        <f t="shared" si="1"/>
        <v>1.08</v>
      </c>
      <c r="H13" s="390">
        <f t="shared" si="1"/>
        <v>0.2</v>
      </c>
      <c r="I13" s="388">
        <f t="shared" si="1"/>
        <v>-254</v>
      </c>
      <c r="J13" s="388">
        <f t="shared" si="1"/>
        <v>329</v>
      </c>
      <c r="K13" s="391">
        <f t="shared" si="1"/>
        <v>0</v>
      </c>
      <c r="L13" s="391">
        <f t="shared" si="1"/>
        <v>0</v>
      </c>
      <c r="M13" s="392">
        <f t="shared" si="1"/>
        <v>2570.7461089999997</v>
      </c>
      <c r="N13" s="392">
        <f t="shared" si="2"/>
        <v>436</v>
      </c>
      <c r="O13" s="392">
        <f t="shared" si="2"/>
        <v>0</v>
      </c>
      <c r="P13" s="392">
        <f t="shared" si="2"/>
        <v>684</v>
      </c>
      <c r="Q13" s="392">
        <f t="shared" si="2"/>
        <v>-87</v>
      </c>
      <c r="R13" s="392">
        <f t="shared" si="2"/>
        <v>0</v>
      </c>
      <c r="S13" s="392">
        <f t="shared" si="2"/>
        <v>184</v>
      </c>
      <c r="T13" s="392">
        <f t="shared" si="2"/>
        <v>-88</v>
      </c>
      <c r="U13" s="392">
        <f t="shared" si="2"/>
        <v>0</v>
      </c>
      <c r="V13" s="392">
        <f t="shared" si="2"/>
        <v>73</v>
      </c>
      <c r="W13" s="393" t="str">
        <f t="shared" si="2"/>
        <v>N/A</v>
      </c>
      <c r="X13" s="393" t="str">
        <f t="shared" si="2"/>
        <v>N/A</v>
      </c>
      <c r="Y13" s="393">
        <f t="shared" si="2"/>
        <v>-0.19954128440366972</v>
      </c>
      <c r="Z13" s="393" t="str">
        <f t="shared" si="2"/>
        <v>N/A</v>
      </c>
      <c r="AA13" s="393">
        <f t="shared" si="2"/>
        <v>0.26900584795321636</v>
      </c>
      <c r="AE13" s="271"/>
    </row>
    <row r="14" spans="2:31" ht="16">
      <c r="B14" s="371" t="str">
        <f t="shared" si="0"/>
        <v>CareDx, Inc</v>
      </c>
      <c r="C14" s="288" t="s">
        <v>434</v>
      </c>
      <c r="D14" s="371">
        <f t="shared" si="1"/>
        <v>23.29</v>
      </c>
      <c r="E14" s="371">
        <f t="shared" si="1"/>
        <v>122.9</v>
      </c>
      <c r="F14" s="388">
        <f t="shared" si="1"/>
        <v>2862.3409999999999</v>
      </c>
      <c r="G14" s="389">
        <f t="shared" si="1"/>
        <v>2.56</v>
      </c>
      <c r="H14" s="390">
        <f t="shared" si="1"/>
        <v>0.23899999999999999</v>
      </c>
      <c r="I14" s="388">
        <f t="shared" si="1"/>
        <v>-689</v>
      </c>
      <c r="J14" s="388">
        <f t="shared" si="1"/>
        <v>2.9</v>
      </c>
      <c r="K14" s="391">
        <f t="shared" si="1"/>
        <v>0</v>
      </c>
      <c r="L14" s="391">
        <f t="shared" si="1"/>
        <v>0</v>
      </c>
      <c r="M14" s="392">
        <f t="shared" si="1"/>
        <v>2176.241</v>
      </c>
      <c r="N14" s="392">
        <f t="shared" si="2"/>
        <v>578</v>
      </c>
      <c r="O14" s="392">
        <f t="shared" si="2"/>
        <v>578</v>
      </c>
      <c r="P14" s="392">
        <f t="shared" si="2"/>
        <v>615</v>
      </c>
      <c r="Q14" s="392">
        <f t="shared" si="2"/>
        <v>285</v>
      </c>
      <c r="R14" s="392">
        <f t="shared" si="2"/>
        <v>229</v>
      </c>
      <c r="S14" s="392">
        <f t="shared" si="2"/>
        <v>278</v>
      </c>
      <c r="T14" s="392">
        <f t="shared" si="2"/>
        <v>219</v>
      </c>
      <c r="U14" s="392">
        <f t="shared" si="2"/>
        <v>204</v>
      </c>
      <c r="V14" s="392">
        <f t="shared" si="2"/>
        <v>219</v>
      </c>
      <c r="W14" s="393">
        <f t="shared" si="2"/>
        <v>6.4013840830449809E-2</v>
      </c>
      <c r="X14" s="393">
        <f t="shared" si="2"/>
        <v>0.2139737991266375</v>
      </c>
      <c r="Y14" s="393">
        <f t="shared" si="2"/>
        <v>0.49307958477508651</v>
      </c>
      <c r="Z14" s="393">
        <f t="shared" si="2"/>
        <v>0.3961937716262976</v>
      </c>
      <c r="AA14" s="393">
        <f t="shared" si="2"/>
        <v>0.45203252032520325</v>
      </c>
      <c r="AE14" s="271"/>
    </row>
    <row r="15" spans="2:31" ht="16">
      <c r="B15" s="394" t="s">
        <v>468</v>
      </c>
      <c r="C15" s="395"/>
      <c r="D15" s="387">
        <f>MAX(D9:D13)</f>
        <v>55.69</v>
      </c>
      <c r="E15" s="387"/>
      <c r="F15" s="396">
        <f>MAX(F9:F13)</f>
        <v>10748.17</v>
      </c>
      <c r="G15" s="396"/>
      <c r="H15" s="396"/>
      <c r="I15" s="396"/>
      <c r="J15" s="396"/>
      <c r="K15" s="396"/>
      <c r="L15" s="396"/>
      <c r="M15" s="396">
        <f>MAX(M9:M13)</f>
        <v>9875.17</v>
      </c>
      <c r="N15" s="396">
        <f>MAX(N9:N13)</f>
        <v>3094</v>
      </c>
      <c r="O15" s="396">
        <f>MAX(O9:O13)</f>
        <v>3177</v>
      </c>
      <c r="P15" s="396">
        <f>MAX(P9:P13)</f>
        <v>3554</v>
      </c>
      <c r="Q15" s="396">
        <f>MAX(Q9:Q13)</f>
        <v>737.69</v>
      </c>
      <c r="R15" s="396">
        <f t="shared" ref="R15:S15" si="3">MAX(R9:R13)</f>
        <v>636</v>
      </c>
      <c r="S15" s="396">
        <f t="shared" si="3"/>
        <v>1104</v>
      </c>
      <c r="T15" s="396">
        <f>MAX(T9:T13)</f>
        <v>751</v>
      </c>
      <c r="U15" s="396">
        <f>MAX(U9:U13)</f>
        <v>526</v>
      </c>
      <c r="V15" s="396">
        <f t="shared" ref="V15:AA15" si="4">MAX(V9:V13)</f>
        <v>858</v>
      </c>
      <c r="W15" s="397">
        <f t="shared" si="4"/>
        <v>0.18441971383147848</v>
      </c>
      <c r="X15" s="397">
        <f t="shared" si="4"/>
        <v>0.93506493506493515</v>
      </c>
      <c r="Y15" s="397">
        <f t="shared" si="4"/>
        <v>0.41466554243957282</v>
      </c>
      <c r="Z15" s="397">
        <f t="shared" si="4"/>
        <v>0.20018885741265344</v>
      </c>
      <c r="AA15" s="398">
        <f t="shared" si="4"/>
        <v>0.31063590320765333</v>
      </c>
      <c r="AE15" s="271"/>
    </row>
    <row r="16" spans="2:31" ht="16">
      <c r="B16" s="399" t="s">
        <v>469</v>
      </c>
      <c r="C16" s="20"/>
      <c r="D16" s="400">
        <f>QUARTILE(D9:D13,3)</f>
        <v>27.83</v>
      </c>
      <c r="E16" s="400"/>
      <c r="F16" s="401">
        <f>QUARTILE(F9:F13,3)</f>
        <v>3234.6821049999999</v>
      </c>
      <c r="G16" s="401"/>
      <c r="H16" s="401"/>
      <c r="I16" s="401"/>
      <c r="J16" s="401"/>
      <c r="K16" s="401"/>
      <c r="L16" s="401"/>
      <c r="M16" s="401">
        <f>QUARTILE(M9:M13,3)</f>
        <v>3413.6821049999999</v>
      </c>
      <c r="N16" s="401">
        <f>QUARTILE(N9:N13,3)</f>
        <v>2413</v>
      </c>
      <c r="O16" s="401">
        <f>QUARTILE(O9:O13,3)</f>
        <v>629</v>
      </c>
      <c r="P16" s="401">
        <f>QUARTILE(P9:P13,3)</f>
        <v>1567</v>
      </c>
      <c r="Q16" s="401">
        <f>QUARTILE(Q9:Q13,3)</f>
        <v>711.3</v>
      </c>
      <c r="R16" s="401">
        <f t="shared" ref="R16:S16" si="5">QUARTILE(R9:R13,3)</f>
        <v>77</v>
      </c>
      <c r="S16" s="401">
        <f t="shared" si="5"/>
        <v>342</v>
      </c>
      <c r="T16" s="401">
        <f>QUARTILE(T9:T13,3)</f>
        <v>520</v>
      </c>
      <c r="U16" s="401">
        <f>QUARTILE(U9:U13,3)</f>
        <v>0</v>
      </c>
      <c r="V16" s="401">
        <f t="shared" ref="V16:AA16" si="6">QUARTILE(V9:V13,3)</f>
        <v>189</v>
      </c>
      <c r="W16" s="402">
        <f t="shared" si="6"/>
        <v>0.16798113727792113</v>
      </c>
      <c r="X16" s="402">
        <f t="shared" si="6"/>
        <v>0.88526096544964483</v>
      </c>
      <c r="Y16" s="402">
        <f t="shared" si="6"/>
        <v>0.22989657401422106</v>
      </c>
      <c r="Z16" s="402">
        <f t="shared" si="6"/>
        <v>0.1807457766048001</v>
      </c>
      <c r="AA16" s="403">
        <f t="shared" si="6"/>
        <v>0.26900584795321636</v>
      </c>
      <c r="AD16" s="271"/>
      <c r="AE16" s="271"/>
    </row>
    <row r="17" spans="1:33" ht="16">
      <c r="B17" s="404" t="s">
        <v>470</v>
      </c>
      <c r="C17" s="405"/>
      <c r="D17" s="406">
        <f>MEDIAN(D9:D13)</f>
        <v>20.74</v>
      </c>
      <c r="E17" s="406"/>
      <c r="F17" s="407">
        <f>MEDIAN(F9:F13)</f>
        <v>2495.7461089999997</v>
      </c>
      <c r="G17" s="407"/>
      <c r="H17" s="407"/>
      <c r="I17" s="408"/>
      <c r="J17" s="408"/>
      <c r="K17" s="408"/>
      <c r="L17" s="408"/>
      <c r="M17" s="407">
        <f>MEDIAN(M9:M13)</f>
        <v>2582.5519999999997</v>
      </c>
      <c r="N17" s="407">
        <f>MEDIAN(N9:N13)</f>
        <v>1779</v>
      </c>
      <c r="O17" s="407">
        <f>MEDIAN(O9:O13)</f>
        <v>0</v>
      </c>
      <c r="P17" s="407">
        <f>MEDIAN(P9:P13)</f>
        <v>959</v>
      </c>
      <c r="Q17" s="407">
        <f>MEDIAN(Q9:Q13)</f>
        <v>45.8</v>
      </c>
      <c r="R17" s="407">
        <f t="shared" ref="R17:S17" si="7">MEDIAN(R9:R13)</f>
        <v>0</v>
      </c>
      <c r="S17" s="407">
        <f t="shared" si="7"/>
        <v>184</v>
      </c>
      <c r="T17" s="407">
        <f>MEDIAN(T9:T13)</f>
        <v>-14</v>
      </c>
      <c r="U17" s="407">
        <f>MEDIAN(U9:U13)</f>
        <v>0</v>
      </c>
      <c r="V17" s="407">
        <f t="shared" ref="V17:AA17" si="8">MEDIAN(V9:V13)</f>
        <v>80</v>
      </c>
      <c r="W17" s="409">
        <f t="shared" si="8"/>
        <v>0.15154256072436378</v>
      </c>
      <c r="X17" s="409">
        <f t="shared" si="8"/>
        <v>0.8354569958343544</v>
      </c>
      <c r="Y17" s="409">
        <f t="shared" si="8"/>
        <v>7.6460767946577621E-2</v>
      </c>
      <c r="Z17" s="409">
        <f t="shared" si="8"/>
        <v>0.16130269579694675</v>
      </c>
      <c r="AA17" s="410">
        <f t="shared" si="8"/>
        <v>0.21825143586470963</v>
      </c>
      <c r="AD17" s="271"/>
      <c r="AE17" s="271"/>
    </row>
    <row r="18" spans="1:33" ht="16">
      <c r="B18" s="399" t="s">
        <v>471</v>
      </c>
      <c r="C18" s="115"/>
      <c r="D18" s="400">
        <f>QUARTILE(D9:D13,1)</f>
        <v>14.42</v>
      </c>
      <c r="E18" s="400"/>
      <c r="F18" s="401">
        <f>QUARTILE(F9:F13,1)</f>
        <v>2173.5519999999997</v>
      </c>
      <c r="G18" s="401"/>
      <c r="H18" s="401"/>
      <c r="I18" s="401"/>
      <c r="J18" s="401"/>
      <c r="K18" s="401"/>
      <c r="L18" s="401"/>
      <c r="M18" s="401">
        <f>QUARTILE(M9:M13,1)</f>
        <v>2570.7461089999997</v>
      </c>
      <c r="N18" s="401">
        <f>QUARTILE(N9:N13,1)</f>
        <v>599</v>
      </c>
      <c r="O18" s="401">
        <f>QUARTILE(O9:O13,1)</f>
        <v>0</v>
      </c>
      <c r="P18" s="401">
        <f>QUARTILE(P9:P13,1)</f>
        <v>745</v>
      </c>
      <c r="Q18" s="401">
        <f>QUARTILE(Q9:Q13,1)</f>
        <v>-82</v>
      </c>
      <c r="R18" s="401">
        <f t="shared" ref="R18:S18" si="9">QUARTILE(R9:R13,1)</f>
        <v>0</v>
      </c>
      <c r="S18" s="401">
        <f t="shared" si="9"/>
        <v>149</v>
      </c>
      <c r="T18" s="401">
        <f>QUARTILE(T9:T13,1)</f>
        <v>-88</v>
      </c>
      <c r="U18" s="401">
        <f>QUARTILE(U9:U13,1)</f>
        <v>0</v>
      </c>
      <c r="V18" s="401">
        <f t="shared" ref="V18:AA18" si="10">QUARTILE(V9:V13,1)</f>
        <v>73</v>
      </c>
      <c r="W18" s="402">
        <f t="shared" si="10"/>
        <v>0.13510398417080643</v>
      </c>
      <c r="X18" s="402">
        <f t="shared" si="10"/>
        <v>0.78565302621906397</v>
      </c>
      <c r="Y18" s="402">
        <f t="shared" si="10"/>
        <v>-3.3982594280978037E-2</v>
      </c>
      <c r="Z18" s="402">
        <f t="shared" si="10"/>
        <v>0.14185961498909341</v>
      </c>
      <c r="AA18" s="403">
        <f t="shared" si="10"/>
        <v>0.2</v>
      </c>
      <c r="AD18" s="271"/>
      <c r="AE18" s="271"/>
    </row>
    <row r="19" spans="1:33" ht="16">
      <c r="B19" s="411" t="s">
        <v>472</v>
      </c>
      <c r="C19" s="412"/>
      <c r="D19" s="413">
        <f>MIN(D9:D13)</f>
        <v>14.31</v>
      </c>
      <c r="E19" s="413"/>
      <c r="F19" s="414">
        <f>MIN(F9:F13)</f>
        <v>1186.7659999999998</v>
      </c>
      <c r="G19" s="414"/>
      <c r="H19" s="414"/>
      <c r="I19" s="414"/>
      <c r="J19" s="414"/>
      <c r="K19" s="414"/>
      <c r="L19" s="414"/>
      <c r="M19" s="414">
        <f>MIN(M9:M13)</f>
        <v>1971.7659999999998</v>
      </c>
      <c r="N19" s="414">
        <f>MIN(N9:N13)</f>
        <v>436</v>
      </c>
      <c r="O19" s="414">
        <f>MIN(O9:O13)</f>
        <v>0</v>
      </c>
      <c r="P19" s="414">
        <f>MIN(P9:P13)</f>
        <v>684</v>
      </c>
      <c r="Q19" s="414">
        <f>MIN(Q9:Q13)</f>
        <v>-87</v>
      </c>
      <c r="R19" s="414">
        <f t="shared" ref="R19:S19" si="11">MIN(R9:R13)</f>
        <v>0</v>
      </c>
      <c r="S19" s="414">
        <f t="shared" si="11"/>
        <v>41</v>
      </c>
      <c r="T19" s="414">
        <f>MIN(T9:T13)</f>
        <v>-271</v>
      </c>
      <c r="U19" s="414">
        <f>MIN(U9:U13)</f>
        <v>-6</v>
      </c>
      <c r="V19" s="414">
        <f t="shared" ref="V19:AA19" si="12">MIN(V9:V13)</f>
        <v>-128</v>
      </c>
      <c r="W19" s="415">
        <f t="shared" si="12"/>
        <v>0.11866540761724909</v>
      </c>
      <c r="X19" s="415">
        <f t="shared" si="12"/>
        <v>0.73584905660377364</v>
      </c>
      <c r="Y19" s="415">
        <f t="shared" si="12"/>
        <v>-0.19954128440366972</v>
      </c>
      <c r="Z19" s="415">
        <f t="shared" si="12"/>
        <v>0.12241653418124006</v>
      </c>
      <c r="AA19" s="416">
        <f t="shared" si="12"/>
        <v>4.2752867570385822E-2</v>
      </c>
      <c r="AD19" s="271"/>
      <c r="AE19" s="271"/>
    </row>
    <row r="20" spans="1:33" ht="16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D20" s="271"/>
      <c r="AE20" s="271"/>
    </row>
    <row r="21" spans="1:33" ht="16">
      <c r="A21" s="417"/>
      <c r="B21" s="418" t="str">
        <f t="shared" ref="B21:L21" si="13">INDEX(Pub_Comps_Range,MATCH(B$5,Pub_Comps_Params,0),MATCH($C21,Pub_Comps_Tickers,0))</f>
        <v>Ultragenyx Pharmaceutical Inc.</v>
      </c>
      <c r="C21" s="419" t="str">
        <f>Ticker</f>
        <v>RARE</v>
      </c>
      <c r="D21" s="420">
        <f>Share_Price</f>
        <v>23.66</v>
      </c>
      <c r="E21" s="421">
        <f t="shared" si="13"/>
        <v>98.147999999999996</v>
      </c>
      <c r="F21" s="422">
        <f t="shared" si="13"/>
        <v>2322.1816800000001</v>
      </c>
      <c r="G21" s="423">
        <f t="shared" si="13"/>
        <v>2.2400000000000002</v>
      </c>
      <c r="H21" s="424">
        <f t="shared" si="13"/>
        <v>0.21</v>
      </c>
      <c r="I21" s="422">
        <f t="shared" si="13"/>
        <v>-88.775000000000006</v>
      </c>
      <c r="J21" s="422">
        <f t="shared" si="13"/>
        <v>0</v>
      </c>
      <c r="K21" s="422">
        <f t="shared" si="13"/>
        <v>0</v>
      </c>
      <c r="L21" s="422">
        <f t="shared" si="13"/>
        <v>0</v>
      </c>
      <c r="M21" s="422">
        <f t="shared" ref="M21:V21" si="14">INDEX(Pub_Comps_Range,MATCH(M$5,Pub_Comps_Params,0),MATCH($C21,Pub_Comps_Tickers,0))</f>
        <v>2233.4066800000001</v>
      </c>
      <c r="N21" s="422">
        <f t="shared" si="14"/>
        <v>560.23</v>
      </c>
      <c r="O21" s="422">
        <f t="shared" si="14"/>
        <v>673</v>
      </c>
      <c r="P21" s="422">
        <f t="shared" si="14"/>
        <v>745</v>
      </c>
      <c r="Q21" s="422">
        <f t="shared" si="14"/>
        <v>-535.97299999999996</v>
      </c>
      <c r="R21" s="422">
        <f t="shared" si="14"/>
        <v>-508.22188069164571</v>
      </c>
      <c r="S21" s="422">
        <f t="shared" si="14"/>
        <v>-364.82964444486214</v>
      </c>
      <c r="T21" s="422">
        <f t="shared" si="14"/>
        <v>-569.18299999999999</v>
      </c>
      <c r="U21" s="422">
        <f t="shared" si="14"/>
        <v>-586.93659000000002</v>
      </c>
      <c r="V21" s="422">
        <f t="shared" si="14"/>
        <v>-451.26659560674341</v>
      </c>
      <c r="W21" s="425">
        <f t="shared" ref="W21:AA21" si="15">MIN(W10:W15)</f>
        <v>6.4013840830449809E-2</v>
      </c>
      <c r="X21" s="425">
        <f t="shared" si="15"/>
        <v>0.2139737991266375</v>
      </c>
      <c r="Y21" s="425">
        <f t="shared" si="15"/>
        <v>-0.19954128440366972</v>
      </c>
      <c r="Z21" s="425">
        <f t="shared" si="15"/>
        <v>0.20018885741265344</v>
      </c>
      <c r="AA21" s="426">
        <f t="shared" si="15"/>
        <v>4.2752867570385822E-2</v>
      </c>
      <c r="AE21" s="271"/>
    </row>
    <row r="22" spans="1:33" ht="16">
      <c r="B22" s="427"/>
      <c r="C22" s="427"/>
      <c r="D22" s="428"/>
      <c r="E22" s="429"/>
      <c r="F22" s="430"/>
      <c r="G22" s="431"/>
      <c r="H22" s="432"/>
      <c r="I22" s="430"/>
      <c r="J22" s="430"/>
      <c r="K22" s="430"/>
      <c r="L22" s="430"/>
      <c r="M22" s="430"/>
      <c r="N22" s="430"/>
      <c r="O22" s="430"/>
      <c r="P22" s="430"/>
      <c r="Q22" s="430"/>
      <c r="R22" s="430"/>
      <c r="S22" s="430"/>
      <c r="T22" s="430"/>
      <c r="U22" s="430"/>
      <c r="V22" s="430"/>
      <c r="W22" s="433"/>
      <c r="X22" s="433"/>
      <c r="Y22" s="433"/>
      <c r="Z22" s="433"/>
      <c r="AA22" s="433"/>
      <c r="AE22" s="271"/>
    </row>
    <row r="23" spans="1:33" ht="16">
      <c r="B23" s="371" t="s">
        <v>3</v>
      </c>
      <c r="C23" s="372" t="s">
        <v>6</v>
      </c>
      <c r="D23" s="373" t="s">
        <v>398</v>
      </c>
      <c r="F23" s="373" t="s">
        <v>411</v>
      </c>
      <c r="M23" s="373" t="s">
        <v>412</v>
      </c>
      <c r="N23" s="271" t="s">
        <v>473</v>
      </c>
      <c r="O23" s="271" t="s">
        <v>474</v>
      </c>
      <c r="P23" s="271" t="s">
        <v>475</v>
      </c>
      <c r="Q23" s="271" t="s">
        <v>476</v>
      </c>
      <c r="R23" s="271" t="s">
        <v>477</v>
      </c>
      <c r="S23" s="271" t="s">
        <v>478</v>
      </c>
      <c r="T23" s="271" t="s">
        <v>479</v>
      </c>
      <c r="U23" s="271" t="s">
        <v>480</v>
      </c>
      <c r="V23" s="271" t="s">
        <v>481</v>
      </c>
      <c r="W23" s="20"/>
      <c r="X23" s="20"/>
      <c r="Y23" s="20"/>
      <c r="Z23" s="20"/>
      <c r="AA23" s="20"/>
      <c r="AE23" s="271"/>
    </row>
    <row r="24" spans="1:33" ht="16">
      <c r="B24" s="376" t="s">
        <v>482</v>
      </c>
      <c r="C24" s="376"/>
      <c r="D24" s="376"/>
      <c r="E24" s="376"/>
      <c r="F24" s="377" t="s">
        <v>446</v>
      </c>
      <c r="G24" s="377"/>
      <c r="H24" s="377"/>
      <c r="I24" s="377"/>
      <c r="J24" s="377"/>
      <c r="K24" s="377"/>
      <c r="L24" s="377"/>
      <c r="M24" s="378"/>
      <c r="N24" s="377" t="s">
        <v>483</v>
      </c>
      <c r="O24" s="378"/>
      <c r="P24" s="378"/>
      <c r="Q24" s="377" t="s">
        <v>483</v>
      </c>
      <c r="R24" s="378"/>
      <c r="S24" s="378"/>
      <c r="T24" s="379"/>
      <c r="U24" s="379"/>
      <c r="V24" s="379"/>
      <c r="W24" s="20"/>
      <c r="X24" s="20"/>
      <c r="Y24" s="20"/>
      <c r="Z24" s="20"/>
      <c r="AA24" s="20"/>
      <c r="AD24" s="271"/>
      <c r="AE24" s="271"/>
    </row>
    <row r="25" spans="1:33" ht="16">
      <c r="B25" s="379"/>
      <c r="C25" s="379"/>
      <c r="D25" s="380"/>
      <c r="E25" s="380"/>
      <c r="F25" s="380" t="s">
        <v>450</v>
      </c>
      <c r="G25" s="380"/>
      <c r="H25" s="380"/>
      <c r="I25" s="380"/>
      <c r="J25" s="380"/>
      <c r="K25" s="380"/>
      <c r="L25" s="380"/>
      <c r="M25" s="380" t="s">
        <v>452</v>
      </c>
      <c r="N25" s="377" t="s">
        <v>179</v>
      </c>
      <c r="O25" s="378"/>
      <c r="P25" s="378"/>
      <c r="Q25" s="377" t="s">
        <v>194</v>
      </c>
      <c r="R25" s="381"/>
      <c r="S25" s="381"/>
      <c r="T25" s="377" t="s">
        <v>484</v>
      </c>
      <c r="U25" s="377"/>
      <c r="V25" s="377"/>
      <c r="W25" s="386"/>
      <c r="X25" s="386"/>
      <c r="Y25" s="434"/>
      <c r="Z25" s="434"/>
      <c r="AA25" s="434"/>
      <c r="AB25" s="434"/>
      <c r="AC25" s="434"/>
      <c r="AE25" s="271"/>
      <c r="AF25" s="434"/>
      <c r="AG25" s="434"/>
    </row>
    <row r="26" spans="1:33" ht="16">
      <c r="B26" s="382" t="s">
        <v>455</v>
      </c>
      <c r="C26" s="382"/>
      <c r="D26" s="383"/>
      <c r="E26" s="383"/>
      <c r="F26" s="383" t="s">
        <v>466</v>
      </c>
      <c r="G26" s="383"/>
      <c r="H26" s="383"/>
      <c r="I26" s="383"/>
      <c r="J26" s="383"/>
      <c r="K26" s="383"/>
      <c r="L26" s="383"/>
      <c r="M26" s="383" t="s">
        <v>466</v>
      </c>
      <c r="N26" s="435" t="str">
        <f>$N$8</f>
        <v>LTM</v>
      </c>
      <c r="O26" s="436">
        <f>+$O$8</f>
        <v>46022</v>
      </c>
      <c r="P26" s="436">
        <f>+$P$8</f>
        <v>46387</v>
      </c>
      <c r="Q26" s="435" t="str">
        <f>$N$8</f>
        <v>LTM</v>
      </c>
      <c r="R26" s="436">
        <f>+$O$8</f>
        <v>46022</v>
      </c>
      <c r="S26" s="436">
        <f>+$P$8</f>
        <v>46387</v>
      </c>
      <c r="T26" s="435" t="str">
        <f>$N$8</f>
        <v>LTM</v>
      </c>
      <c r="U26" s="436">
        <f>+$O$8</f>
        <v>46022</v>
      </c>
      <c r="V26" s="436">
        <f>+$P$8</f>
        <v>46387</v>
      </c>
      <c r="W26" s="275"/>
      <c r="X26" s="275"/>
      <c r="Y26" s="434"/>
      <c r="Z26" s="434"/>
      <c r="AA26" s="434"/>
      <c r="AB26" s="434"/>
      <c r="AC26" s="434"/>
      <c r="AE26" s="271"/>
      <c r="AF26" s="434"/>
      <c r="AG26" s="434"/>
    </row>
    <row r="27" spans="1:33" ht="16">
      <c r="B27" s="371" t="str">
        <f t="shared" ref="B27:B32" si="16">INDEX(Pub_Comps_Range,MATCH(B$23,Pub_Comps_Params,0),MATCH($C27,Pub_Comps_Tickers,0))</f>
        <v>Amicus Therapeutics, Inc.</v>
      </c>
      <c r="C27" s="288" t="s">
        <v>432</v>
      </c>
      <c r="D27" s="387">
        <f t="shared" ref="D27:D32" si="17">INDEX(Pub_Comps_Range,MATCH(D$23,Pub_Comps_Params,0),MATCH($C27,Pub_Comps_Tickers,0))</f>
        <v>14.31</v>
      </c>
      <c r="E27" s="371"/>
      <c r="F27" s="388">
        <f t="shared" ref="F27:F32" si="18">INDEX(Pub_Comps_Range,MATCH(F$23,Pub_Comps_Params,0),MATCH($C27,Pub_Comps_Tickers,0))</f>
        <v>3234.6821049999999</v>
      </c>
      <c r="G27" s="388"/>
      <c r="H27" s="388"/>
      <c r="I27" s="388"/>
      <c r="J27" s="388"/>
      <c r="K27" s="388"/>
      <c r="L27" s="388"/>
      <c r="M27" s="388">
        <f t="shared" ref="M27:V32" si="19">INDEX(Pub_Comps_Range,MATCH(M$23,Pub_Comps_Params,0),MATCH($C27,Pub_Comps_Tickers,0))</f>
        <v>3413.6821049999999</v>
      </c>
      <c r="N27" s="364">
        <f t="shared" si="19"/>
        <v>5.6989684557595988</v>
      </c>
      <c r="O27" s="364">
        <f t="shared" si="19"/>
        <v>5.4271575596184416</v>
      </c>
      <c r="P27" s="364">
        <f t="shared" si="19"/>
        <v>4.5821236308724833</v>
      </c>
      <c r="Q27" s="364">
        <f t="shared" si="19"/>
        <v>74.534543777292583</v>
      </c>
      <c r="R27" s="364">
        <f t="shared" si="19"/>
        <v>44.333533831168829</v>
      </c>
      <c r="S27" s="364">
        <f t="shared" si="19"/>
        <v>22.910618154362414</v>
      </c>
      <c r="T27" s="364" t="str">
        <f t="shared" si="19"/>
        <v>NM</v>
      </c>
      <c r="U27" s="364" t="str">
        <f t="shared" si="19"/>
        <v>NM</v>
      </c>
      <c r="V27" s="364">
        <f t="shared" si="19"/>
        <v>40.4335263125</v>
      </c>
      <c r="W27" s="20"/>
      <c r="X27" s="437"/>
      <c r="Y27" s="434"/>
      <c r="Z27" s="434"/>
      <c r="AA27" s="434"/>
      <c r="AB27" s="434"/>
      <c r="AC27" s="434"/>
      <c r="AE27" s="271"/>
      <c r="AF27" s="434"/>
      <c r="AG27" s="434"/>
    </row>
    <row r="28" spans="1:33" ht="16">
      <c r="B28" s="371" t="str">
        <f t="shared" si="16"/>
        <v>GE Healthcare Technologies Inc.</v>
      </c>
      <c r="C28" s="288" t="s">
        <v>423</v>
      </c>
      <c r="D28" s="371">
        <f t="shared" si="17"/>
        <v>55.69</v>
      </c>
      <c r="E28" s="371"/>
      <c r="F28" s="388">
        <f t="shared" si="18"/>
        <v>10748.17</v>
      </c>
      <c r="G28" s="388"/>
      <c r="H28" s="388"/>
      <c r="I28" s="388"/>
      <c r="J28" s="388"/>
      <c r="K28" s="388"/>
      <c r="L28" s="388"/>
      <c r="M28" s="388">
        <f t="shared" si="19"/>
        <v>9875.17</v>
      </c>
      <c r="N28" s="364">
        <f t="shared" si="19"/>
        <v>3.1917162249515192</v>
      </c>
      <c r="O28" s="364">
        <f t="shared" si="19"/>
        <v>3.1083317595215614</v>
      </c>
      <c r="P28" s="364">
        <f t="shared" si="19"/>
        <v>2.7786072031513789</v>
      </c>
      <c r="Q28" s="364">
        <f t="shared" si="19"/>
        <v>13.883270068887953</v>
      </c>
      <c r="R28" s="364">
        <f t="shared" si="19"/>
        <v>15.526996855345912</v>
      </c>
      <c r="S28" s="364">
        <f t="shared" si="19"/>
        <v>8.9449003623188403</v>
      </c>
      <c r="T28" s="364">
        <f t="shared" si="19"/>
        <v>20.669557692307691</v>
      </c>
      <c r="U28" s="364">
        <f t="shared" si="19"/>
        <v>20.433783269961978</v>
      </c>
      <c r="V28" s="364">
        <f t="shared" si="19"/>
        <v>12.527004662004662</v>
      </c>
      <c r="W28" s="20"/>
      <c r="X28" s="437"/>
      <c r="Y28" s="437"/>
      <c r="Z28" s="20"/>
      <c r="AA28" s="20"/>
      <c r="AD28" s="271"/>
      <c r="AE28" s="271"/>
    </row>
    <row r="29" spans="1:33" ht="16">
      <c r="B29" s="371" t="str">
        <f t="shared" si="16"/>
        <v>Sarepta Therapeutics, Inc.</v>
      </c>
      <c r="C29" s="288" t="s">
        <v>426</v>
      </c>
      <c r="D29" s="371">
        <f t="shared" si="17"/>
        <v>20.74</v>
      </c>
      <c r="E29" s="371"/>
      <c r="F29" s="388">
        <f t="shared" si="18"/>
        <v>2173.5519999999997</v>
      </c>
      <c r="G29" s="388"/>
      <c r="H29" s="388"/>
      <c r="I29" s="388"/>
      <c r="J29" s="388"/>
      <c r="K29" s="388"/>
      <c r="L29" s="388"/>
      <c r="M29" s="388">
        <f t="shared" si="19"/>
        <v>2582.5519999999997</v>
      </c>
      <c r="N29" s="364">
        <f t="shared" si="19"/>
        <v>1.0702660588479069</v>
      </c>
      <c r="O29" s="364" t="str">
        <f t="shared" si="19"/>
        <v>N/A</v>
      </c>
      <c r="P29" s="364">
        <f t="shared" si="19"/>
        <v>1.6480867900446712</v>
      </c>
      <c r="Q29" s="364" t="str">
        <f t="shared" si="19"/>
        <v>NM</v>
      </c>
      <c r="R29" s="364" t="str">
        <f t="shared" si="19"/>
        <v>N/A</v>
      </c>
      <c r="S29" s="364">
        <f t="shared" si="19"/>
        <v>7.5513216374268994</v>
      </c>
      <c r="T29" s="364" t="str">
        <f t="shared" si="19"/>
        <v>NM</v>
      </c>
      <c r="U29" s="364" t="str">
        <f t="shared" si="19"/>
        <v>N/A</v>
      </c>
      <c r="V29" s="364">
        <f t="shared" si="19"/>
        <v>11.50027513227513</v>
      </c>
      <c r="W29" s="20"/>
      <c r="X29" s="437"/>
      <c r="Y29" s="437"/>
      <c r="Z29" s="20"/>
      <c r="AA29" s="20"/>
      <c r="AE29" s="271"/>
    </row>
    <row r="30" spans="1:33" ht="16">
      <c r="B30" s="371" t="str">
        <f t="shared" si="16"/>
        <v>PTC Therapeutics, Inc.</v>
      </c>
      <c r="C30" s="288" t="s">
        <v>428</v>
      </c>
      <c r="D30" s="371">
        <f t="shared" si="17"/>
        <v>14.42</v>
      </c>
      <c r="E30" s="371"/>
      <c r="F30" s="388">
        <f t="shared" si="18"/>
        <v>1186.7659999999998</v>
      </c>
      <c r="G30" s="388"/>
      <c r="H30" s="388"/>
      <c r="I30" s="388"/>
      <c r="J30" s="388"/>
      <c r="K30" s="388"/>
      <c r="L30" s="388"/>
      <c r="M30" s="388">
        <f t="shared" si="19"/>
        <v>1971.7659999999998</v>
      </c>
      <c r="N30" s="364">
        <f t="shared" si="19"/>
        <v>1.1083563799887577</v>
      </c>
      <c r="O30" s="364" t="str">
        <f t="shared" si="19"/>
        <v>N/A</v>
      </c>
      <c r="P30" s="364">
        <f t="shared" si="19"/>
        <v>2.0560646506777891</v>
      </c>
      <c r="Q30" s="364">
        <f t="shared" si="19"/>
        <v>2.6728924073797931</v>
      </c>
      <c r="R30" s="364" t="str">
        <f t="shared" si="19"/>
        <v>N/A</v>
      </c>
      <c r="S30" s="364">
        <f t="shared" si="19"/>
        <v>48.091853658536579</v>
      </c>
      <c r="T30" s="364">
        <f t="shared" si="19"/>
        <v>1.580247669773635</v>
      </c>
      <c r="U30" s="364" t="str">
        <f t="shared" si="19"/>
        <v>N/A</v>
      </c>
      <c r="V30" s="364" t="str">
        <f t="shared" si="19"/>
        <v>NM</v>
      </c>
      <c r="W30" s="20"/>
      <c r="X30" s="437"/>
      <c r="Y30" s="437"/>
      <c r="Z30" s="20"/>
      <c r="AA30" s="20"/>
      <c r="AE30" s="271"/>
    </row>
    <row r="31" spans="1:33" ht="16">
      <c r="B31" s="371" t="str">
        <f t="shared" si="16"/>
        <v>Travere Therapeutics, Inc.</v>
      </c>
      <c r="C31" s="288" t="s">
        <v>430</v>
      </c>
      <c r="D31" s="371">
        <f t="shared" si="17"/>
        <v>27.83</v>
      </c>
      <c r="E31" s="371"/>
      <c r="F31" s="388">
        <f t="shared" si="18"/>
        <v>2495.7461089999997</v>
      </c>
      <c r="G31" s="388"/>
      <c r="H31" s="388"/>
      <c r="I31" s="388"/>
      <c r="J31" s="388"/>
      <c r="K31" s="388"/>
      <c r="L31" s="388"/>
      <c r="M31" s="388">
        <f t="shared" si="19"/>
        <v>2570.7461089999997</v>
      </c>
      <c r="N31" s="364">
        <f t="shared" si="19"/>
        <v>5.8962066720183479</v>
      </c>
      <c r="O31" s="364" t="str">
        <f t="shared" si="19"/>
        <v>N/A</v>
      </c>
      <c r="P31" s="364">
        <f t="shared" si="19"/>
        <v>3.7584007441520462</v>
      </c>
      <c r="Q31" s="364" t="str">
        <f t="shared" si="19"/>
        <v>NM</v>
      </c>
      <c r="R31" s="364" t="str">
        <f t="shared" si="19"/>
        <v>N/A</v>
      </c>
      <c r="S31" s="364">
        <f t="shared" si="19"/>
        <v>13.971446244565216</v>
      </c>
      <c r="T31" s="364" t="str">
        <f t="shared" si="19"/>
        <v>NM</v>
      </c>
      <c r="U31" s="364" t="str">
        <f t="shared" si="19"/>
        <v>N/A</v>
      </c>
      <c r="V31" s="364">
        <f t="shared" si="19"/>
        <v>34.188302863013696</v>
      </c>
      <c r="W31" s="20"/>
      <c r="X31" s="437"/>
      <c r="Y31" s="20"/>
      <c r="Z31" s="20"/>
      <c r="AA31" s="20"/>
      <c r="AE31" s="271"/>
    </row>
    <row r="32" spans="1:33" ht="16">
      <c r="B32" s="371" t="str">
        <f t="shared" si="16"/>
        <v>CareDx, Inc</v>
      </c>
      <c r="C32" s="288" t="s">
        <v>434</v>
      </c>
      <c r="D32" s="371">
        <f t="shared" si="17"/>
        <v>23.29</v>
      </c>
      <c r="E32" s="371"/>
      <c r="F32" s="388">
        <f t="shared" si="18"/>
        <v>2862.3409999999999</v>
      </c>
      <c r="G32" s="388"/>
      <c r="H32" s="388"/>
      <c r="I32" s="388"/>
      <c r="J32" s="388"/>
      <c r="K32" s="388"/>
      <c r="L32" s="388"/>
      <c r="M32" s="388">
        <f t="shared" si="19"/>
        <v>2176.241</v>
      </c>
      <c r="N32" s="364">
        <f t="shared" si="19"/>
        <v>3.7651228373702423</v>
      </c>
      <c r="O32" s="364">
        <f t="shared" si="19"/>
        <v>5.9060244031141869</v>
      </c>
      <c r="P32" s="364">
        <f t="shared" si="19"/>
        <v>5.5507026097560974</v>
      </c>
      <c r="Q32" s="364">
        <f t="shared" si="19"/>
        <v>7.635933333333333</v>
      </c>
      <c r="R32" s="364">
        <f t="shared" si="19"/>
        <v>14.906908755458515</v>
      </c>
      <c r="S32" s="364">
        <f t="shared" si="19"/>
        <v>12.2794320323741</v>
      </c>
      <c r="T32" s="364">
        <f t="shared" si="19"/>
        <v>13.070050228310501</v>
      </c>
      <c r="U32" s="364">
        <f t="shared" si="19"/>
        <v>15.856284828431372</v>
      </c>
      <c r="V32" s="364">
        <f t="shared" si="19"/>
        <v>14.770237922374429</v>
      </c>
      <c r="W32" s="20"/>
      <c r="X32" s="20"/>
      <c r="Y32" s="20"/>
      <c r="Z32" s="20"/>
      <c r="AA32" s="20"/>
      <c r="AD32" s="271"/>
      <c r="AE32" s="271"/>
    </row>
    <row r="33" spans="2:31" ht="16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71"/>
    </row>
    <row r="34" spans="2:31" ht="16">
      <c r="B34" s="394" t="s">
        <v>468</v>
      </c>
      <c r="C34" s="395"/>
      <c r="D34" s="387"/>
      <c r="E34" s="387"/>
      <c r="F34" s="396">
        <f>MAX(F27:F32)</f>
        <v>10748.17</v>
      </c>
      <c r="G34" s="396"/>
      <c r="H34" s="396"/>
      <c r="I34" s="396"/>
      <c r="J34" s="396"/>
      <c r="K34" s="396"/>
      <c r="L34" s="396"/>
      <c r="M34" s="396">
        <f t="shared" ref="M34:V34" si="20">MAX(M27:M32)</f>
        <v>9875.17</v>
      </c>
      <c r="N34" s="438">
        <f t="shared" si="20"/>
        <v>5.8962066720183479</v>
      </c>
      <c r="O34" s="438">
        <f t="shared" si="20"/>
        <v>5.9060244031141869</v>
      </c>
      <c r="P34" s="438">
        <f t="shared" si="20"/>
        <v>5.5507026097560974</v>
      </c>
      <c r="Q34" s="438">
        <f t="shared" si="20"/>
        <v>74.534543777292583</v>
      </c>
      <c r="R34" s="438">
        <f t="shared" si="20"/>
        <v>44.333533831168829</v>
      </c>
      <c r="S34" s="438">
        <f t="shared" si="20"/>
        <v>48.091853658536579</v>
      </c>
      <c r="T34" s="438">
        <f t="shared" si="20"/>
        <v>20.669557692307691</v>
      </c>
      <c r="U34" s="438">
        <f t="shared" si="20"/>
        <v>20.433783269961978</v>
      </c>
      <c r="V34" s="439">
        <f t="shared" si="20"/>
        <v>40.4335263125</v>
      </c>
      <c r="W34" s="20"/>
      <c r="X34" s="20"/>
      <c r="Y34" s="20"/>
      <c r="Z34" s="20"/>
      <c r="AA34" s="20"/>
      <c r="AE34" s="271"/>
    </row>
    <row r="35" spans="2:31" ht="16">
      <c r="B35" s="399" t="s">
        <v>469</v>
      </c>
      <c r="C35" s="20"/>
      <c r="D35" s="400"/>
      <c r="E35" s="400"/>
      <c r="F35" s="401">
        <f>QUARTILE(F27:F32,3)</f>
        <v>3141.59682875</v>
      </c>
      <c r="G35" s="401"/>
      <c r="H35" s="401"/>
      <c r="I35" s="401"/>
      <c r="J35" s="401"/>
      <c r="K35" s="401"/>
      <c r="L35" s="401"/>
      <c r="M35" s="401">
        <f t="shared" ref="M35:V35" si="21">QUARTILE(M27:M32,3)</f>
        <v>3205.8995787499998</v>
      </c>
      <c r="N35" s="264">
        <f t="shared" si="21"/>
        <v>5.2155070511622599</v>
      </c>
      <c r="O35" s="264">
        <f t="shared" si="21"/>
        <v>5.6665909813663138</v>
      </c>
      <c r="P35" s="264">
        <f t="shared" si="21"/>
        <v>4.3761929091923744</v>
      </c>
      <c r="Q35" s="264">
        <f t="shared" si="21"/>
        <v>29.04608849598911</v>
      </c>
      <c r="R35" s="264">
        <f t="shared" si="21"/>
        <v>29.930265343257368</v>
      </c>
      <c r="S35" s="264">
        <f t="shared" si="21"/>
        <v>20.675825176913115</v>
      </c>
      <c r="T35" s="264">
        <f t="shared" si="21"/>
        <v>16.869803960309095</v>
      </c>
      <c r="U35" s="264">
        <f t="shared" si="21"/>
        <v>19.289408659579326</v>
      </c>
      <c r="V35" s="440">
        <f t="shared" si="21"/>
        <v>34.188302863013696</v>
      </c>
      <c r="W35" s="20"/>
      <c r="X35" s="20"/>
      <c r="Y35" s="20"/>
      <c r="Z35" s="20"/>
      <c r="AA35" s="20"/>
      <c r="AE35" s="271"/>
    </row>
    <row r="36" spans="2:31" ht="16">
      <c r="B36" s="441" t="s">
        <v>470</v>
      </c>
      <c r="C36" s="442"/>
      <c r="D36" s="443"/>
      <c r="E36" s="443"/>
      <c r="F36" s="444">
        <f>MEDIAN(F27:F32)</f>
        <v>2679.0435545</v>
      </c>
      <c r="G36" s="444"/>
      <c r="H36" s="444"/>
      <c r="I36" s="445"/>
      <c r="J36" s="445"/>
      <c r="K36" s="445"/>
      <c r="L36" s="445"/>
      <c r="M36" s="444">
        <f t="shared" ref="M36:V36" si="22">MEDIAN(M27:M32)</f>
        <v>2576.6490544999997</v>
      </c>
      <c r="N36" s="446">
        <f t="shared" si="22"/>
        <v>3.4784195311608808</v>
      </c>
      <c r="O36" s="446">
        <f t="shared" si="22"/>
        <v>5.4271575596184416</v>
      </c>
      <c r="P36" s="446">
        <f t="shared" si="22"/>
        <v>3.2685039736517125</v>
      </c>
      <c r="Q36" s="446">
        <f t="shared" si="22"/>
        <v>10.759601701110643</v>
      </c>
      <c r="R36" s="446">
        <f t="shared" si="22"/>
        <v>15.526996855345912</v>
      </c>
      <c r="S36" s="446">
        <f t="shared" si="22"/>
        <v>13.125439138469659</v>
      </c>
      <c r="T36" s="446">
        <f t="shared" si="22"/>
        <v>13.070050228310501</v>
      </c>
      <c r="U36" s="446">
        <f t="shared" si="22"/>
        <v>18.145034049196674</v>
      </c>
      <c r="V36" s="447">
        <f t="shared" si="22"/>
        <v>14.770237922374429</v>
      </c>
      <c r="W36" s="20"/>
      <c r="X36" s="20"/>
      <c r="Y36" s="20"/>
      <c r="Z36" s="20"/>
      <c r="AA36" s="20"/>
      <c r="AD36" s="271"/>
      <c r="AE36" s="271"/>
    </row>
    <row r="37" spans="2:31" ht="16">
      <c r="B37" s="399" t="s">
        <v>471</v>
      </c>
      <c r="C37" s="115"/>
      <c r="D37" s="400"/>
      <c r="E37" s="400"/>
      <c r="F37" s="401">
        <f>QUARTILE(F27:F32,1)</f>
        <v>2254.1005272499997</v>
      </c>
      <c r="G37" s="401"/>
      <c r="H37" s="401"/>
      <c r="I37" s="401"/>
      <c r="J37" s="401"/>
      <c r="K37" s="401"/>
      <c r="L37" s="401"/>
      <c r="M37" s="401">
        <f t="shared" ref="M37:V37" si="23">QUARTILE(M27:M32,1)</f>
        <v>2274.8672772499999</v>
      </c>
      <c r="N37" s="264">
        <f t="shared" si="23"/>
        <v>1.6291963412294481</v>
      </c>
      <c r="O37" s="264">
        <f t="shared" si="23"/>
        <v>4.2677446595700017</v>
      </c>
      <c r="P37" s="264">
        <f t="shared" si="23"/>
        <v>2.2367002887961864</v>
      </c>
      <c r="Q37" s="264">
        <f t="shared" si="23"/>
        <v>6.3951731018449482</v>
      </c>
      <c r="R37" s="264">
        <f t="shared" si="23"/>
        <v>15.216952805402213</v>
      </c>
      <c r="S37" s="264">
        <f t="shared" si="23"/>
        <v>9.7785332798326543</v>
      </c>
      <c r="T37" s="264">
        <f t="shared" si="23"/>
        <v>7.3251489490420676</v>
      </c>
      <c r="U37" s="264">
        <f t="shared" si="23"/>
        <v>17.000659438814022</v>
      </c>
      <c r="V37" s="440">
        <f t="shared" si="23"/>
        <v>12.527004662004662</v>
      </c>
      <c r="W37" s="20"/>
      <c r="X37" s="20"/>
      <c r="Y37" s="20"/>
      <c r="Z37" s="20"/>
      <c r="AA37" s="20"/>
      <c r="AE37" s="271"/>
    </row>
    <row r="38" spans="2:31" ht="16">
      <c r="B38" s="411" t="s">
        <v>472</v>
      </c>
      <c r="C38" s="412"/>
      <c r="D38" s="413"/>
      <c r="E38" s="413"/>
      <c r="F38" s="414">
        <f>MIN(F27:F32)</f>
        <v>1186.7659999999998</v>
      </c>
      <c r="G38" s="414"/>
      <c r="H38" s="414"/>
      <c r="I38" s="414"/>
      <c r="J38" s="414"/>
      <c r="K38" s="414"/>
      <c r="L38" s="414"/>
      <c r="M38" s="414">
        <f t="shared" ref="M38:V38" si="24">MIN(M27:M32)</f>
        <v>1971.7659999999998</v>
      </c>
      <c r="N38" s="448">
        <f t="shared" si="24"/>
        <v>1.0702660588479069</v>
      </c>
      <c r="O38" s="448">
        <f t="shared" si="24"/>
        <v>3.1083317595215614</v>
      </c>
      <c r="P38" s="448">
        <f t="shared" si="24"/>
        <v>1.6480867900446712</v>
      </c>
      <c r="Q38" s="448">
        <f t="shared" si="24"/>
        <v>2.6728924073797931</v>
      </c>
      <c r="R38" s="448">
        <f t="shared" si="24"/>
        <v>14.906908755458515</v>
      </c>
      <c r="S38" s="448">
        <f t="shared" si="24"/>
        <v>7.5513216374268994</v>
      </c>
      <c r="T38" s="448">
        <f t="shared" si="24"/>
        <v>1.580247669773635</v>
      </c>
      <c r="U38" s="448">
        <f t="shared" si="24"/>
        <v>15.856284828431372</v>
      </c>
      <c r="V38" s="449">
        <f t="shared" si="24"/>
        <v>11.50027513227513</v>
      </c>
      <c r="W38" s="20"/>
      <c r="X38" s="20"/>
      <c r="Y38" s="20"/>
      <c r="Z38" s="20"/>
      <c r="AA38" s="20"/>
      <c r="AE38" s="271"/>
    </row>
    <row r="39" spans="2:31" ht="16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71"/>
    </row>
    <row r="40" spans="2:31" ht="16">
      <c r="B40" s="450" t="str">
        <f>INDEX(Pub_Comps_Range,MATCH(B$23,Pub_Comps_Params,0),MATCH($C40,Pub_Comps_Tickers,0))</f>
        <v>Ultragenyx Pharmaceutical Inc.</v>
      </c>
      <c r="C40" s="419" t="str">
        <f>Ticker</f>
        <v>RARE</v>
      </c>
      <c r="D40" s="451"/>
      <c r="E40" s="451"/>
      <c r="F40" s="422">
        <f>INDEX(Pub_Comps_Range,MATCH(F$23,Pub_Comps_Params,0),MATCH($C40,Pub_Comps_Tickers,0))</f>
        <v>2322.1816800000001</v>
      </c>
      <c r="G40" s="422"/>
      <c r="H40" s="422"/>
      <c r="I40" s="422"/>
      <c r="J40" s="422"/>
      <c r="K40" s="422"/>
      <c r="L40" s="422"/>
      <c r="M40" s="422">
        <f t="shared" ref="M40:V40" si="25">INDEX(Pub_Comps_Range,MATCH(M$23,Pub_Comps_Params,0),MATCH($C40,Pub_Comps_Tickers,0))</f>
        <v>2233.4066800000001</v>
      </c>
      <c r="N40" s="452">
        <f t="shared" si="25"/>
        <v>3.9865888652874713</v>
      </c>
      <c r="O40" s="452">
        <f t="shared" si="25"/>
        <v>3.3185834769687963</v>
      </c>
      <c r="P40" s="452">
        <f t="shared" si="25"/>
        <v>2.9978613154362415</v>
      </c>
      <c r="Q40" s="452" t="str">
        <f t="shared" si="25"/>
        <v>NM</v>
      </c>
      <c r="R40" s="452" t="str">
        <f t="shared" si="25"/>
        <v>NM</v>
      </c>
      <c r="S40" s="452" t="str">
        <f t="shared" si="25"/>
        <v>NM</v>
      </c>
      <c r="T40" s="452" t="str">
        <f t="shared" si="25"/>
        <v>NM</v>
      </c>
      <c r="U40" s="452" t="str">
        <f t="shared" si="25"/>
        <v>NM</v>
      </c>
      <c r="V40" s="453" t="str">
        <f t="shared" si="25"/>
        <v>NM</v>
      </c>
      <c r="W40" s="20"/>
      <c r="X40" s="20"/>
      <c r="Y40" s="20"/>
      <c r="Z40" s="20"/>
      <c r="AA40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F658-30C7-45A9-B7E0-A01112774470}">
  <dimension ref="B3:BV104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32" sqref="E32"/>
    </sheetView>
  </sheetViews>
  <sheetFormatPr defaultRowHeight="14.5"/>
  <cols>
    <col min="3" max="3" width="24.81640625" customWidth="1"/>
    <col min="5" max="7" width="11.453125" bestFit="1" customWidth="1"/>
    <col min="8" max="8" width="12.7265625" bestFit="1" customWidth="1"/>
    <col min="9" max="11" width="13.7265625" bestFit="1" customWidth="1"/>
    <col min="12" max="12" width="11.453125" bestFit="1" customWidth="1"/>
    <col min="13" max="13" width="14.1796875" bestFit="1" customWidth="1"/>
    <col min="14" max="14" width="13.7265625" bestFit="1" customWidth="1"/>
    <col min="15" max="16" width="11.453125" bestFit="1" customWidth="1"/>
    <col min="17" max="17" width="13.453125" bestFit="1" customWidth="1"/>
    <col min="18" max="18" width="14.26953125" bestFit="1" customWidth="1"/>
    <col min="19" max="19" width="13.7265625" bestFit="1" customWidth="1"/>
    <col min="20" max="22" width="11.453125" bestFit="1" customWidth="1"/>
    <col min="23" max="23" width="18.453125" bestFit="1" customWidth="1"/>
    <col min="24" max="24" width="13.7265625" bestFit="1" customWidth="1"/>
    <col min="25" max="28" width="11.453125" bestFit="1" customWidth="1"/>
    <col min="30" max="33" width="11.453125" bestFit="1" customWidth="1"/>
    <col min="34" max="34" width="10.453125" bestFit="1" customWidth="1"/>
    <col min="35" max="35" width="12.6328125" customWidth="1"/>
    <col min="36" max="37" width="11" bestFit="1" customWidth="1"/>
    <col min="38" max="38" width="11.81640625" bestFit="1" customWidth="1"/>
    <col min="39" max="42" width="10.453125" customWidth="1"/>
  </cols>
  <sheetData>
    <row r="3" spans="2:74" ht="16">
      <c r="B3" s="265"/>
      <c r="C3" s="266" t="s">
        <v>6</v>
      </c>
      <c r="D3" s="267"/>
      <c r="E3" s="268"/>
      <c r="F3" s="268"/>
      <c r="G3" s="269"/>
      <c r="H3" s="270" t="str">
        <f>Ticker</f>
        <v>RARE</v>
      </c>
      <c r="I3" s="271"/>
      <c r="J3" s="268"/>
      <c r="K3" s="268"/>
      <c r="L3" s="269"/>
      <c r="M3" s="270" t="s">
        <v>423</v>
      </c>
      <c r="N3" s="271"/>
      <c r="O3" s="268"/>
      <c r="P3" s="268"/>
      <c r="Q3" s="269"/>
      <c r="R3" s="270" t="s">
        <v>426</v>
      </c>
      <c r="S3" s="271"/>
      <c r="T3" s="268"/>
      <c r="U3" s="268"/>
      <c r="V3" s="269"/>
      <c r="W3" s="270" t="s">
        <v>428</v>
      </c>
      <c r="X3" s="271"/>
      <c r="Y3" s="268"/>
      <c r="Z3" s="268"/>
      <c r="AA3" s="269"/>
      <c r="AB3" s="270" t="s">
        <v>430</v>
      </c>
      <c r="AC3" s="271"/>
      <c r="AD3" s="268"/>
      <c r="AE3" s="268"/>
      <c r="AF3" s="269"/>
      <c r="AG3" s="270" t="s">
        <v>432</v>
      </c>
      <c r="AH3" s="272"/>
      <c r="AI3" s="268"/>
      <c r="AJ3" s="268"/>
      <c r="AK3" s="269"/>
      <c r="AL3" s="270" t="s">
        <v>434</v>
      </c>
      <c r="AM3" s="272"/>
      <c r="AN3" s="272"/>
      <c r="AO3" s="454"/>
      <c r="AP3" s="454"/>
      <c r="AQ3" s="455"/>
      <c r="AR3" s="272"/>
      <c r="AS3" s="271"/>
      <c r="AT3" s="454"/>
      <c r="AU3" s="454"/>
      <c r="AV3" s="455"/>
      <c r="AW3" s="272"/>
      <c r="AX3" s="271"/>
      <c r="AY3" s="454"/>
      <c r="AZ3" s="454"/>
      <c r="BA3" s="455"/>
      <c r="BB3" s="272"/>
      <c r="BC3" s="271"/>
      <c r="BD3" s="454"/>
      <c r="BE3" s="454"/>
      <c r="BF3" s="455"/>
      <c r="BG3" s="272"/>
      <c r="BH3" s="271"/>
      <c r="BI3" s="454"/>
      <c r="BJ3" s="454"/>
      <c r="BK3" s="455"/>
      <c r="BL3" s="272"/>
      <c r="BM3" s="271"/>
      <c r="BN3" s="454"/>
      <c r="BO3" s="454"/>
      <c r="BP3" s="455"/>
      <c r="BQ3" s="272"/>
      <c r="BR3" s="272"/>
      <c r="BS3" s="454"/>
      <c r="BT3" s="454"/>
      <c r="BU3" s="455"/>
      <c r="BV3" s="272"/>
    </row>
    <row r="4" spans="2:74" ht="16">
      <c r="B4" s="265"/>
      <c r="C4" s="266" t="s">
        <v>3</v>
      </c>
      <c r="D4" s="267"/>
      <c r="E4" s="268"/>
      <c r="F4" s="268"/>
      <c r="G4" s="269"/>
      <c r="H4" s="273" t="str">
        <f>Company_Name</f>
        <v>Ultragenyx Pharmaceutical Inc.</v>
      </c>
      <c r="I4" s="271"/>
      <c r="J4" s="268"/>
      <c r="K4" s="268"/>
      <c r="L4" s="269"/>
      <c r="M4" s="273" t="s">
        <v>372</v>
      </c>
      <c r="N4" s="271"/>
      <c r="O4" s="268"/>
      <c r="P4" s="268"/>
      <c r="Q4" s="269"/>
      <c r="R4" s="273" t="s">
        <v>427</v>
      </c>
      <c r="S4" s="271"/>
      <c r="T4" s="268"/>
      <c r="U4" s="268"/>
      <c r="V4" s="269"/>
      <c r="W4" s="273" t="s">
        <v>429</v>
      </c>
      <c r="X4" s="271"/>
      <c r="Y4" s="268"/>
      <c r="Z4" s="268"/>
      <c r="AA4" s="269"/>
      <c r="AB4" s="273" t="s">
        <v>431</v>
      </c>
      <c r="AC4" s="271"/>
      <c r="AD4" s="268"/>
      <c r="AE4" s="268"/>
      <c r="AF4" s="269"/>
      <c r="AG4" s="273" t="s">
        <v>433</v>
      </c>
      <c r="AH4" s="274"/>
      <c r="AI4" s="268"/>
      <c r="AJ4" s="268"/>
      <c r="AK4" s="269"/>
      <c r="AL4" s="273" t="s">
        <v>373</v>
      </c>
      <c r="AM4" s="274"/>
      <c r="AN4" s="275"/>
      <c r="AO4" s="274"/>
      <c r="AP4" s="274"/>
    </row>
    <row r="5" spans="2:74" ht="16">
      <c r="B5" s="265"/>
      <c r="C5" s="267"/>
      <c r="D5" s="267"/>
      <c r="E5" s="276" t="s">
        <v>374</v>
      </c>
      <c r="F5" s="277"/>
      <c r="G5" s="277"/>
      <c r="H5" s="277"/>
      <c r="I5" s="271"/>
      <c r="J5" s="276" t="s">
        <v>374</v>
      </c>
      <c r="K5" s="277"/>
      <c r="L5" s="277"/>
      <c r="M5" s="277"/>
      <c r="N5" s="271"/>
      <c r="O5" s="276" t="s">
        <v>374</v>
      </c>
      <c r="P5" s="277"/>
      <c r="Q5" s="277"/>
      <c r="R5" s="277"/>
      <c r="S5" s="271"/>
      <c r="T5" s="276" t="s">
        <v>374</v>
      </c>
      <c r="U5" s="277"/>
      <c r="V5" s="277"/>
      <c r="W5" s="277"/>
      <c r="X5" s="271"/>
      <c r="Y5" s="276" t="s">
        <v>374</v>
      </c>
      <c r="Z5" s="277"/>
      <c r="AA5" s="277"/>
      <c r="AB5" s="277"/>
      <c r="AC5" s="271"/>
      <c r="AD5" s="632" t="s">
        <v>374</v>
      </c>
      <c r="AE5" s="633"/>
      <c r="AF5" s="633"/>
      <c r="AG5" s="633"/>
      <c r="AH5" s="278"/>
      <c r="AI5" s="632" t="s">
        <v>374</v>
      </c>
      <c r="AJ5" s="633"/>
      <c r="AK5" s="633"/>
      <c r="AL5" s="633"/>
      <c r="AM5" s="278"/>
      <c r="AN5" s="456"/>
      <c r="AO5" s="278"/>
      <c r="AP5" s="278"/>
    </row>
    <row r="6" spans="2:74" ht="16">
      <c r="B6" s="265"/>
      <c r="C6" s="267"/>
      <c r="D6" s="267"/>
      <c r="E6" s="279" t="s">
        <v>375</v>
      </c>
      <c r="F6" s="279" t="s">
        <v>375</v>
      </c>
      <c r="G6" s="279">
        <f>Hist_Year</f>
        <v>45657</v>
      </c>
      <c r="H6" s="279">
        <f>Hist_Year</f>
        <v>45657</v>
      </c>
      <c r="I6" s="271"/>
      <c r="J6" s="279">
        <v>45565</v>
      </c>
      <c r="K6" s="279">
        <v>45930</v>
      </c>
      <c r="L6" s="279">
        <v>45657</v>
      </c>
      <c r="M6" s="279">
        <v>45930</v>
      </c>
      <c r="N6" s="271"/>
      <c r="O6" s="279">
        <v>45472</v>
      </c>
      <c r="P6" s="279">
        <v>45836</v>
      </c>
      <c r="Q6" s="279">
        <v>45657</v>
      </c>
      <c r="R6" s="279">
        <v>45836</v>
      </c>
      <c r="S6" s="271"/>
      <c r="T6" s="279">
        <v>45473</v>
      </c>
      <c r="U6" s="279">
        <v>45838</v>
      </c>
      <c r="V6" s="279">
        <v>45657</v>
      </c>
      <c r="W6" s="279">
        <v>45838</v>
      </c>
      <c r="X6" s="271"/>
      <c r="Y6" s="279">
        <v>45565</v>
      </c>
      <c r="Z6" s="279">
        <v>45930</v>
      </c>
      <c r="AA6" s="279">
        <v>45657</v>
      </c>
      <c r="AB6" s="279">
        <v>45930</v>
      </c>
      <c r="AC6" s="271"/>
      <c r="AD6" s="279">
        <v>45565</v>
      </c>
      <c r="AE6" s="279">
        <v>45930</v>
      </c>
      <c r="AF6" s="279">
        <v>45657</v>
      </c>
      <c r="AG6" s="279">
        <v>45930</v>
      </c>
      <c r="AH6" s="280"/>
      <c r="AI6" s="279">
        <v>45473</v>
      </c>
      <c r="AJ6" s="279">
        <v>45838</v>
      </c>
      <c r="AK6" s="279">
        <v>45657</v>
      </c>
      <c r="AL6" s="279">
        <v>45838</v>
      </c>
      <c r="AM6" s="280"/>
      <c r="AP6" s="280"/>
    </row>
    <row r="7" spans="2:74" ht="16">
      <c r="B7" s="265"/>
      <c r="C7" s="267"/>
      <c r="D7" s="267"/>
      <c r="E7" s="281" t="s">
        <v>376</v>
      </c>
      <c r="F7" s="281" t="s">
        <v>377</v>
      </c>
      <c r="G7" s="281" t="s">
        <v>378</v>
      </c>
      <c r="H7" s="281" t="s">
        <v>379</v>
      </c>
      <c r="I7" s="271"/>
      <c r="J7" s="282" t="s">
        <v>376</v>
      </c>
      <c r="K7" s="282" t="s">
        <v>377</v>
      </c>
      <c r="L7" s="282" t="s">
        <v>378</v>
      </c>
      <c r="M7" s="282" t="s">
        <v>379</v>
      </c>
      <c r="N7" s="271"/>
      <c r="O7" s="282" t="s">
        <v>376</v>
      </c>
      <c r="P7" s="282" t="s">
        <v>377</v>
      </c>
      <c r="Q7" s="282" t="s">
        <v>378</v>
      </c>
      <c r="R7" s="282" t="s">
        <v>379</v>
      </c>
      <c r="S7" s="271"/>
      <c r="T7" s="282" t="s">
        <v>376</v>
      </c>
      <c r="U7" s="282" t="s">
        <v>377</v>
      </c>
      <c r="V7" s="282" t="s">
        <v>378</v>
      </c>
      <c r="W7" s="282" t="s">
        <v>379</v>
      </c>
      <c r="X7" s="271"/>
      <c r="Y7" s="282" t="s">
        <v>376</v>
      </c>
      <c r="Z7" s="282" t="s">
        <v>377</v>
      </c>
      <c r="AA7" s="282" t="s">
        <v>378</v>
      </c>
      <c r="AB7" s="282" t="s">
        <v>379</v>
      </c>
      <c r="AC7" s="271"/>
      <c r="AD7" s="282" t="s">
        <v>376</v>
      </c>
      <c r="AE7" s="282" t="s">
        <v>377</v>
      </c>
      <c r="AF7" s="282" t="s">
        <v>378</v>
      </c>
      <c r="AG7" s="282" t="s">
        <v>379</v>
      </c>
      <c r="AH7" s="282"/>
      <c r="AI7" s="282" t="s">
        <v>376</v>
      </c>
      <c r="AJ7" s="282" t="s">
        <v>377</v>
      </c>
      <c r="AK7" s="282" t="s">
        <v>378</v>
      </c>
      <c r="AL7" s="282" t="s">
        <v>379</v>
      </c>
      <c r="AM7" s="282"/>
      <c r="AN7" s="457"/>
      <c r="AP7" s="282"/>
    </row>
    <row r="8" spans="2:74" ht="16">
      <c r="B8" s="265"/>
      <c r="C8" s="266" t="s">
        <v>380</v>
      </c>
      <c r="D8" s="267"/>
      <c r="E8" s="283"/>
      <c r="F8" s="283"/>
      <c r="G8" s="284">
        <f>Model!J62/Units</f>
        <v>560.23</v>
      </c>
      <c r="H8" s="285">
        <f>G8+F8-E8</f>
        <v>560.23</v>
      </c>
      <c r="I8" s="271"/>
      <c r="J8" s="283"/>
      <c r="K8" s="283"/>
      <c r="L8" s="283"/>
      <c r="M8" s="285">
        <v>3094</v>
      </c>
      <c r="N8" s="271"/>
      <c r="O8" s="283">
        <v>1243</v>
      </c>
      <c r="P8" s="283">
        <v>1755</v>
      </c>
      <c r="Q8" s="283">
        <v>1901</v>
      </c>
      <c r="R8" s="285">
        <f t="shared" ref="R8:R13" si="0">+Q8+P8-O8</f>
        <v>2413</v>
      </c>
      <c r="S8" s="271"/>
      <c r="T8" s="283">
        <v>593</v>
      </c>
      <c r="U8" s="283">
        <v>1565</v>
      </c>
      <c r="V8" s="283">
        <v>807</v>
      </c>
      <c r="W8" s="285">
        <f t="shared" ref="W8:W13" si="1">+V8+U8-T8</f>
        <v>1779</v>
      </c>
      <c r="X8" s="271"/>
      <c r="Y8" s="283">
        <v>158</v>
      </c>
      <c r="Z8" s="283">
        <v>361</v>
      </c>
      <c r="AA8" s="283">
        <v>233</v>
      </c>
      <c r="AB8" s="285">
        <f t="shared" ref="AB8" si="2">+AA8+Z8-Y8</f>
        <v>436</v>
      </c>
      <c r="AC8" s="271"/>
      <c r="AD8" s="283">
        <v>378</v>
      </c>
      <c r="AE8" s="283">
        <v>449</v>
      </c>
      <c r="AF8" s="283">
        <v>528</v>
      </c>
      <c r="AG8" s="285">
        <f t="shared" ref="AG8:AG13" si="3">+AF8+AE8-AD8</f>
        <v>599</v>
      </c>
      <c r="AH8" s="285"/>
      <c r="AI8" s="283">
        <v>350</v>
      </c>
      <c r="AJ8" s="283">
        <v>436</v>
      </c>
      <c r="AK8" s="283">
        <v>492</v>
      </c>
      <c r="AL8" s="285">
        <f t="shared" ref="AL8:AL13" si="4">+AK8+AJ8-AI8</f>
        <v>578</v>
      </c>
      <c r="AM8" s="285"/>
      <c r="AN8" s="458"/>
      <c r="AP8" s="285"/>
    </row>
    <row r="9" spans="2:74" ht="16">
      <c r="B9" s="265"/>
      <c r="C9" s="286" t="s">
        <v>381</v>
      </c>
      <c r="D9" s="287"/>
      <c r="E9" s="283"/>
      <c r="F9" s="283"/>
      <c r="G9" s="284">
        <f>Model!J81/Units</f>
        <v>-569.18299999999999</v>
      </c>
      <c r="H9" s="288">
        <f>G9+F9-E9</f>
        <v>-569.18299999999999</v>
      </c>
      <c r="I9" s="271"/>
      <c r="J9" s="283"/>
      <c r="K9" s="283"/>
      <c r="L9" s="283"/>
      <c r="M9" s="288">
        <v>520</v>
      </c>
      <c r="N9" s="271"/>
      <c r="O9" s="283">
        <v>76</v>
      </c>
      <c r="P9" s="283">
        <v>-430</v>
      </c>
      <c r="Q9" s="283">
        <v>235</v>
      </c>
      <c r="R9" s="288">
        <f>+Q9+P9-O9</f>
        <v>-271</v>
      </c>
      <c r="S9" s="271"/>
      <c r="T9" s="283">
        <v>-297</v>
      </c>
      <c r="U9" s="283">
        <v>817</v>
      </c>
      <c r="V9" s="283">
        <v>-363</v>
      </c>
      <c r="W9" s="288">
        <f>+V9+U9-T9</f>
        <v>751</v>
      </c>
      <c r="X9" s="271"/>
      <c r="Y9" s="283">
        <v>-261</v>
      </c>
      <c r="Z9" s="283">
        <v>-28</v>
      </c>
      <c r="AA9" s="283">
        <v>-321</v>
      </c>
      <c r="AB9" s="288">
        <f>+AA9+Z9-Y9</f>
        <v>-88</v>
      </c>
      <c r="AC9" s="271"/>
      <c r="AD9" s="283">
        <v>-70</v>
      </c>
      <c r="AE9" s="283">
        <v>-28</v>
      </c>
      <c r="AF9" s="283">
        <v>-56</v>
      </c>
      <c r="AG9" s="288">
        <f t="shared" si="3"/>
        <v>-14</v>
      </c>
      <c r="AH9" s="288"/>
      <c r="AI9" s="283">
        <v>107</v>
      </c>
      <c r="AJ9" s="283">
        <v>162</v>
      </c>
      <c r="AK9" s="283">
        <v>164</v>
      </c>
      <c r="AL9" s="288">
        <f t="shared" si="4"/>
        <v>219</v>
      </c>
      <c r="AM9" s="288"/>
      <c r="AN9" s="459"/>
      <c r="AP9" s="288"/>
    </row>
    <row r="10" spans="2:74" ht="16">
      <c r="B10" s="265"/>
      <c r="C10" s="267"/>
      <c r="D10" s="267"/>
      <c r="E10" s="289"/>
      <c r="F10" s="289"/>
      <c r="G10" s="290"/>
      <c r="H10" s="291"/>
      <c r="I10" s="271"/>
      <c r="J10" s="291"/>
      <c r="K10" s="291"/>
      <c r="L10" s="291"/>
      <c r="M10" s="291"/>
      <c r="N10" s="271"/>
      <c r="O10" s="291"/>
      <c r="P10" s="291"/>
      <c r="Q10" s="291"/>
      <c r="R10" s="291"/>
      <c r="S10" s="271"/>
      <c r="T10" s="291"/>
      <c r="U10" s="291"/>
      <c r="V10" s="291"/>
      <c r="W10" s="291"/>
      <c r="X10" s="271"/>
      <c r="Y10" s="291"/>
      <c r="Z10" s="291"/>
      <c r="AA10" s="291"/>
      <c r="AB10" s="291"/>
      <c r="AC10" s="271"/>
      <c r="AD10" s="291"/>
      <c r="AE10" s="291"/>
      <c r="AF10" s="283"/>
      <c r="AG10" s="291"/>
      <c r="AH10" s="291"/>
      <c r="AI10" s="291"/>
      <c r="AJ10" s="291"/>
      <c r="AK10" s="283"/>
      <c r="AL10" s="291"/>
      <c r="AM10" s="291"/>
      <c r="AN10" s="291"/>
      <c r="AP10" s="291"/>
    </row>
    <row r="11" spans="2:74" ht="16">
      <c r="B11" s="265"/>
      <c r="C11" s="266" t="s">
        <v>382</v>
      </c>
      <c r="D11" s="267"/>
      <c r="E11" s="283"/>
      <c r="F11" s="283"/>
      <c r="G11" s="284">
        <f>Model!J69/Units</f>
        <v>-535.97299999999996</v>
      </c>
      <c r="H11" s="288">
        <f t="shared" ref="H11:H13" si="5">G11+F11-E11</f>
        <v>-535.97299999999996</v>
      </c>
      <c r="I11" s="271"/>
      <c r="J11" s="283"/>
      <c r="K11" s="283"/>
      <c r="L11" s="283"/>
      <c r="M11" s="288">
        <v>711.3</v>
      </c>
      <c r="N11" s="271"/>
      <c r="O11" s="283">
        <v>65</v>
      </c>
      <c r="P11" s="283">
        <v>-244</v>
      </c>
      <c r="Q11" s="283">
        <v>227</v>
      </c>
      <c r="R11" s="288">
        <f t="shared" si="0"/>
        <v>-82</v>
      </c>
      <c r="S11" s="271"/>
      <c r="T11" s="283">
        <v>-263</v>
      </c>
      <c r="U11" s="283">
        <v>826</v>
      </c>
      <c r="V11" s="283">
        <v>-219</v>
      </c>
      <c r="W11" s="288">
        <f t="shared" si="1"/>
        <v>870</v>
      </c>
      <c r="X11" s="271"/>
      <c r="Y11" s="283">
        <v>-193</v>
      </c>
      <c r="Z11" s="283">
        <v>-28</v>
      </c>
      <c r="AA11" s="283">
        <v>-252</v>
      </c>
      <c r="AB11" s="288">
        <f t="shared" ref="AB11:AB13" si="6">+AA11+Z11-Y11</f>
        <v>-87</v>
      </c>
      <c r="AC11" s="271"/>
      <c r="AD11" s="283">
        <v>-27.5</v>
      </c>
      <c r="AE11" s="283">
        <v>-1.3</v>
      </c>
      <c r="AF11" s="283">
        <v>19.600000000000001</v>
      </c>
      <c r="AG11" s="288">
        <f t="shared" si="3"/>
        <v>45.8</v>
      </c>
      <c r="AH11" s="288"/>
      <c r="AI11" s="283">
        <v>142</v>
      </c>
      <c r="AJ11" s="283">
        <v>211</v>
      </c>
      <c r="AK11" s="283">
        <v>216</v>
      </c>
      <c r="AL11" s="288">
        <f t="shared" si="4"/>
        <v>285</v>
      </c>
      <c r="AM11" s="288"/>
      <c r="AP11" s="288"/>
    </row>
    <row r="12" spans="2:74" ht="16">
      <c r="B12" s="265"/>
      <c r="C12" s="292" t="s">
        <v>383</v>
      </c>
      <c r="D12" s="287"/>
      <c r="E12" s="283"/>
      <c r="F12" s="283"/>
      <c r="G12" s="284"/>
      <c r="H12" s="288">
        <f t="shared" si="5"/>
        <v>0</v>
      </c>
      <c r="I12" s="271"/>
      <c r="J12" s="283"/>
      <c r="K12" s="283"/>
      <c r="L12" s="283"/>
      <c r="M12" s="288">
        <v>0</v>
      </c>
      <c r="N12" s="271"/>
      <c r="O12" s="283"/>
      <c r="P12" s="283"/>
      <c r="Q12" s="283"/>
      <c r="R12" s="288">
        <f t="shared" si="0"/>
        <v>0</v>
      </c>
      <c r="S12" s="271"/>
      <c r="T12" s="283"/>
      <c r="U12" s="283">
        <v>0</v>
      </c>
      <c r="V12" s="283">
        <v>-168</v>
      </c>
      <c r="W12" s="288">
        <f t="shared" si="1"/>
        <v>-168</v>
      </c>
      <c r="X12" s="271"/>
      <c r="Y12" s="283"/>
      <c r="Z12" s="283">
        <v>0</v>
      </c>
      <c r="AA12" s="283">
        <v>0</v>
      </c>
      <c r="AB12" s="288">
        <f t="shared" si="6"/>
        <v>0</v>
      </c>
      <c r="AC12" s="271"/>
      <c r="AD12" s="283"/>
      <c r="AE12" s="283"/>
      <c r="AF12" s="283">
        <v>0</v>
      </c>
      <c r="AG12" s="288">
        <f t="shared" si="3"/>
        <v>0</v>
      </c>
      <c r="AH12" s="288"/>
      <c r="AI12" s="283"/>
      <c r="AJ12" s="283"/>
      <c r="AK12" s="283">
        <v>0</v>
      </c>
      <c r="AL12" s="288">
        <f t="shared" si="4"/>
        <v>0</v>
      </c>
      <c r="AM12" s="288"/>
      <c r="AN12" s="288"/>
      <c r="AO12" s="288"/>
      <c r="AP12" s="288"/>
    </row>
    <row r="13" spans="2:74" ht="16">
      <c r="B13" s="265"/>
      <c r="C13" s="292" t="s">
        <v>384</v>
      </c>
      <c r="D13" s="287"/>
      <c r="E13" s="283"/>
      <c r="F13" s="283"/>
      <c r="G13" s="284"/>
      <c r="H13" s="293">
        <f t="shared" si="5"/>
        <v>0</v>
      </c>
      <c r="I13" s="59"/>
      <c r="J13" s="283"/>
      <c r="K13" s="283"/>
      <c r="L13" s="283"/>
      <c r="M13" s="293">
        <v>0</v>
      </c>
      <c r="N13" s="271"/>
      <c r="O13" s="283"/>
      <c r="P13" s="283"/>
      <c r="Q13" s="283"/>
      <c r="R13" s="293">
        <f t="shared" si="0"/>
        <v>0</v>
      </c>
      <c r="S13" s="271"/>
      <c r="T13" s="283">
        <v>0</v>
      </c>
      <c r="U13" s="283">
        <v>0</v>
      </c>
      <c r="V13" s="283">
        <v>35.69</v>
      </c>
      <c r="W13" s="293">
        <f t="shared" si="1"/>
        <v>35.69</v>
      </c>
      <c r="X13" s="271"/>
      <c r="Y13" s="283">
        <v>0</v>
      </c>
      <c r="Z13" s="283">
        <v>0</v>
      </c>
      <c r="AA13" s="283">
        <v>0</v>
      </c>
      <c r="AB13" s="293">
        <f t="shared" si="6"/>
        <v>0</v>
      </c>
      <c r="AC13" s="271"/>
      <c r="AD13" s="283">
        <v>0</v>
      </c>
      <c r="AE13" s="283">
        <v>0</v>
      </c>
      <c r="AF13" s="283">
        <v>0</v>
      </c>
      <c r="AG13" s="293">
        <f t="shared" si="3"/>
        <v>0</v>
      </c>
      <c r="AH13" s="288"/>
      <c r="AI13" s="283">
        <v>0</v>
      </c>
      <c r="AJ13" s="283">
        <v>0</v>
      </c>
      <c r="AK13" s="283">
        <v>0</v>
      </c>
      <c r="AL13" s="293">
        <f t="shared" si="4"/>
        <v>0</v>
      </c>
      <c r="AM13" s="288"/>
      <c r="AN13" s="288"/>
      <c r="AO13" s="288"/>
      <c r="AP13" s="288"/>
    </row>
    <row r="14" spans="2:74" ht="16">
      <c r="B14" s="265"/>
      <c r="C14" s="294" t="s">
        <v>385</v>
      </c>
      <c r="D14" s="295"/>
      <c r="E14" s="296"/>
      <c r="F14" s="296"/>
      <c r="G14" s="296"/>
      <c r="H14" s="297">
        <f>SUM(H11:H13)</f>
        <v>-535.97299999999996</v>
      </c>
      <c r="I14" s="59"/>
      <c r="J14" s="296"/>
      <c r="K14" s="296"/>
      <c r="L14" s="296"/>
      <c r="M14" s="297">
        <f>SUM(M11:M13)</f>
        <v>711.3</v>
      </c>
      <c r="N14" s="271"/>
      <c r="O14" s="296"/>
      <c r="P14" s="296"/>
      <c r="Q14" s="296"/>
      <c r="R14" s="297">
        <f>SUM(R11:R13)</f>
        <v>-82</v>
      </c>
      <c r="S14" s="271"/>
      <c r="T14" s="296"/>
      <c r="U14" s="296"/>
      <c r="V14" s="296"/>
      <c r="W14" s="297">
        <f>SUM(W11:W13)</f>
        <v>737.69</v>
      </c>
      <c r="X14" s="271"/>
      <c r="Y14" s="296"/>
      <c r="Z14" s="296"/>
      <c r="AA14" s="296"/>
      <c r="AB14" s="297">
        <f>SUM(AB11:AB13)</f>
        <v>-87</v>
      </c>
      <c r="AC14" s="271"/>
      <c r="AD14" s="296"/>
      <c r="AE14" s="296"/>
      <c r="AF14" s="296"/>
      <c r="AG14" s="297">
        <f>SUM(AG11:AG13)</f>
        <v>45.8</v>
      </c>
      <c r="AH14" s="297"/>
      <c r="AI14" s="296"/>
      <c r="AJ14" s="296"/>
      <c r="AK14" s="296"/>
      <c r="AL14" s="297">
        <f>SUM(AL11:AL13)</f>
        <v>285</v>
      </c>
      <c r="AM14" s="297"/>
      <c r="AN14" s="297"/>
      <c r="AO14" s="297"/>
      <c r="AP14" s="297"/>
    </row>
    <row r="15" spans="2:74" ht="16">
      <c r="B15" s="265"/>
      <c r="C15" s="298"/>
      <c r="D15" s="287"/>
      <c r="E15" s="299"/>
      <c r="F15" s="299"/>
      <c r="G15" s="299"/>
      <c r="H15" s="299"/>
      <c r="I15" s="271"/>
      <c r="J15" s="299"/>
      <c r="K15" s="299"/>
      <c r="L15" s="299"/>
      <c r="M15" s="299"/>
      <c r="N15" s="271"/>
      <c r="O15" s="299"/>
      <c r="P15" s="299"/>
      <c r="Q15" s="299"/>
      <c r="R15" s="299"/>
      <c r="S15" s="271"/>
      <c r="T15" s="299"/>
      <c r="U15" s="299"/>
      <c r="V15" s="299"/>
      <c r="W15" s="299"/>
      <c r="X15" s="271"/>
      <c r="Y15" s="299"/>
      <c r="Z15" s="299"/>
      <c r="AA15" s="299"/>
      <c r="AB15" s="299"/>
      <c r="AC15" s="271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</row>
    <row r="16" spans="2:74" ht="16">
      <c r="B16" s="265"/>
      <c r="C16" s="266" t="s">
        <v>14</v>
      </c>
      <c r="D16" s="267"/>
      <c r="E16" s="300"/>
      <c r="F16" s="300"/>
      <c r="G16" s="300"/>
      <c r="H16" s="301">
        <f>Tax_Rate</f>
        <v>0.21</v>
      </c>
      <c r="I16" s="271"/>
      <c r="J16" s="300"/>
      <c r="K16" s="300"/>
      <c r="L16" s="300"/>
      <c r="M16" s="301">
        <v>0.23400000000000001</v>
      </c>
      <c r="N16" s="302"/>
      <c r="O16" s="300"/>
      <c r="P16" s="300"/>
      <c r="Q16" s="300"/>
      <c r="R16" s="301">
        <v>0.2</v>
      </c>
      <c r="S16" s="271"/>
      <c r="T16" s="300"/>
      <c r="U16" s="300"/>
      <c r="V16" s="300"/>
      <c r="W16" s="301">
        <v>0.2</v>
      </c>
      <c r="X16" s="271"/>
      <c r="Y16" s="300"/>
      <c r="Z16" s="300"/>
      <c r="AA16" s="300"/>
      <c r="AB16" s="301">
        <v>0.2</v>
      </c>
      <c r="AC16" s="271"/>
      <c r="AD16" s="300"/>
      <c r="AE16" s="300"/>
      <c r="AF16" s="300"/>
      <c r="AG16" s="301">
        <v>0.2</v>
      </c>
      <c r="AH16" s="301"/>
      <c r="AI16" s="300"/>
      <c r="AJ16" s="300"/>
      <c r="AK16" s="300"/>
      <c r="AL16" s="301">
        <v>0.23899999999999999</v>
      </c>
      <c r="AM16" s="301"/>
      <c r="AO16" s="301"/>
      <c r="AP16" s="301"/>
    </row>
    <row r="17" spans="2:42" ht="16">
      <c r="B17" s="265"/>
      <c r="C17" s="267"/>
      <c r="D17" s="267"/>
      <c r="E17" s="267"/>
      <c r="F17" s="267"/>
      <c r="G17" s="303"/>
      <c r="H17" s="300"/>
      <c r="I17" s="271"/>
      <c r="J17" s="267"/>
      <c r="K17" s="267"/>
      <c r="L17" s="303"/>
      <c r="M17" s="300"/>
      <c r="N17" s="271"/>
      <c r="O17" s="267"/>
      <c r="P17" s="267"/>
      <c r="Q17" s="303"/>
      <c r="R17" s="300"/>
      <c r="S17" s="271"/>
      <c r="T17" s="267"/>
      <c r="U17" s="267"/>
      <c r="V17" s="303"/>
      <c r="W17" s="300"/>
      <c r="X17" s="271"/>
      <c r="Y17" s="267"/>
      <c r="Z17" s="267"/>
      <c r="AA17" s="303"/>
      <c r="AB17" s="300"/>
      <c r="AC17" s="271"/>
      <c r="AD17" s="267"/>
      <c r="AE17" s="267"/>
      <c r="AF17" s="303"/>
      <c r="AG17" s="300"/>
      <c r="AH17" s="300"/>
      <c r="AI17" s="267"/>
      <c r="AJ17" s="267"/>
      <c r="AK17" s="303"/>
      <c r="AL17" s="300"/>
      <c r="AM17" s="300"/>
      <c r="AN17" s="300"/>
      <c r="AO17" s="300"/>
      <c r="AP17" s="300"/>
    </row>
    <row r="18" spans="2:42" ht="16">
      <c r="B18" s="265"/>
      <c r="C18" s="287"/>
      <c r="D18" s="287"/>
      <c r="E18" s="304" t="s">
        <v>386</v>
      </c>
      <c r="F18" s="305"/>
      <c r="G18" s="305"/>
      <c r="H18" s="305"/>
      <c r="I18" s="271"/>
      <c r="J18" s="304" t="s">
        <v>386</v>
      </c>
      <c r="K18" s="305"/>
      <c r="L18" s="305"/>
      <c r="M18" s="305"/>
      <c r="N18" s="271"/>
      <c r="O18" s="304" t="s">
        <v>386</v>
      </c>
      <c r="P18" s="305"/>
      <c r="Q18" s="305"/>
      <c r="R18" s="305"/>
      <c r="S18" s="271"/>
      <c r="T18" s="304" t="s">
        <v>386</v>
      </c>
      <c r="U18" s="305"/>
      <c r="V18" s="305"/>
      <c r="W18" s="305"/>
      <c r="X18" s="271"/>
      <c r="Y18" s="304" t="s">
        <v>386</v>
      </c>
      <c r="Z18" s="305"/>
      <c r="AA18" s="305"/>
      <c r="AB18" s="305"/>
      <c r="AC18" s="271"/>
      <c r="AD18" s="304" t="s">
        <v>386</v>
      </c>
      <c r="AE18" s="305"/>
      <c r="AF18" s="305"/>
      <c r="AG18" s="305"/>
      <c r="AH18" s="306"/>
      <c r="AI18" s="304" t="s">
        <v>386</v>
      </c>
      <c r="AJ18" s="305"/>
      <c r="AK18" s="305"/>
      <c r="AL18" s="305"/>
      <c r="AM18" s="306"/>
      <c r="AN18" s="306"/>
      <c r="AO18" s="306"/>
      <c r="AP18" s="306"/>
    </row>
    <row r="19" spans="2:42" ht="16">
      <c r="B19" s="265"/>
      <c r="C19" s="286" t="s">
        <v>387</v>
      </c>
      <c r="D19" s="298"/>
      <c r="E19" s="307"/>
      <c r="F19" s="308"/>
      <c r="G19" s="308"/>
      <c r="H19" s="309">
        <f>[1]DCF!G22</f>
        <v>-88.775000000000006</v>
      </c>
      <c r="I19" s="271"/>
      <c r="J19" s="307"/>
      <c r="K19" s="308"/>
      <c r="L19" s="308"/>
      <c r="M19" s="309">
        <v>-1477</v>
      </c>
      <c r="N19" s="271"/>
      <c r="O19" s="307"/>
      <c r="P19" s="308"/>
      <c r="Q19" s="308"/>
      <c r="R19" s="309">
        <v>-851</v>
      </c>
      <c r="S19" s="271"/>
      <c r="T19" s="307"/>
      <c r="U19" s="308"/>
      <c r="V19" s="308"/>
      <c r="W19" s="309">
        <v>-1707</v>
      </c>
      <c r="X19" s="271"/>
      <c r="Y19" s="307"/>
      <c r="Z19" s="308"/>
      <c r="AA19" s="308"/>
      <c r="AB19" s="309">
        <v>-254</v>
      </c>
      <c r="AC19" s="271"/>
      <c r="AD19" s="307"/>
      <c r="AE19" s="308"/>
      <c r="AF19" s="308"/>
      <c r="AG19" s="284">
        <v>-263</v>
      </c>
      <c r="AH19" s="309"/>
      <c r="AI19" s="307"/>
      <c r="AJ19" s="308"/>
      <c r="AK19" s="308"/>
      <c r="AL19" s="309">
        <v>-689</v>
      </c>
      <c r="AM19" s="309"/>
      <c r="AN19" s="309"/>
      <c r="AO19" s="309"/>
      <c r="AP19" s="309"/>
    </row>
    <row r="20" spans="2:42" ht="16">
      <c r="B20" s="265"/>
      <c r="C20" s="286" t="s">
        <v>388</v>
      </c>
      <c r="D20" s="298"/>
      <c r="E20" s="307"/>
      <c r="F20" s="308"/>
      <c r="G20" s="308"/>
      <c r="H20" s="309">
        <f>[1]DCF!G23</f>
        <v>0</v>
      </c>
      <c r="I20" s="271"/>
      <c r="J20" s="307"/>
      <c r="K20" s="308"/>
      <c r="L20" s="308"/>
      <c r="M20" s="284">
        <v>0</v>
      </c>
      <c r="N20" s="271"/>
      <c r="O20" s="307"/>
      <c r="P20" s="308"/>
      <c r="Q20" s="308"/>
      <c r="R20" s="284">
        <v>0</v>
      </c>
      <c r="S20" s="271"/>
      <c r="T20" s="307"/>
      <c r="U20" s="308"/>
      <c r="V20" s="308"/>
      <c r="W20" s="284">
        <v>0</v>
      </c>
      <c r="X20" s="271"/>
      <c r="Y20" s="307"/>
      <c r="Z20" s="308"/>
      <c r="AA20" s="308"/>
      <c r="AB20" s="284">
        <v>0</v>
      </c>
      <c r="AC20" s="271"/>
      <c r="AD20" s="307"/>
      <c r="AE20" s="308"/>
      <c r="AF20" s="308"/>
      <c r="AG20" s="284">
        <v>0</v>
      </c>
      <c r="AH20" s="284"/>
      <c r="AI20" s="307"/>
      <c r="AJ20" s="308"/>
      <c r="AK20" s="308"/>
      <c r="AL20" s="284">
        <v>0</v>
      </c>
      <c r="AM20" s="284"/>
      <c r="AN20" s="284"/>
      <c r="AO20" s="284"/>
      <c r="AP20" s="284"/>
    </row>
    <row r="21" spans="2:42" ht="16">
      <c r="B21" s="265"/>
      <c r="C21" s="286" t="s">
        <v>389</v>
      </c>
      <c r="D21" s="298"/>
      <c r="E21" s="307"/>
      <c r="F21" s="308"/>
      <c r="G21" s="308"/>
      <c r="H21" s="309">
        <f>[1]DCF!G24</f>
        <v>0</v>
      </c>
      <c r="I21" s="271"/>
      <c r="J21" s="307"/>
      <c r="K21" s="308"/>
      <c r="L21" s="308"/>
      <c r="M21" s="284">
        <v>0</v>
      </c>
      <c r="N21" s="271"/>
      <c r="O21" s="307"/>
      <c r="P21" s="308"/>
      <c r="Q21" s="308"/>
      <c r="R21" s="284">
        <v>0</v>
      </c>
      <c r="S21" s="271"/>
      <c r="T21" s="307"/>
      <c r="U21" s="308"/>
      <c r="V21" s="308"/>
      <c r="W21" s="284">
        <v>0</v>
      </c>
      <c r="X21" s="271"/>
      <c r="Y21" s="307"/>
      <c r="Z21" s="308"/>
      <c r="AA21" s="308"/>
      <c r="AB21" s="284">
        <v>0</v>
      </c>
      <c r="AC21" s="271"/>
      <c r="AD21" s="307"/>
      <c r="AE21" s="308"/>
      <c r="AF21" s="308"/>
      <c r="AG21" s="284">
        <v>0</v>
      </c>
      <c r="AH21" s="284"/>
      <c r="AI21" s="307"/>
      <c r="AJ21" s="308"/>
      <c r="AK21" s="308"/>
      <c r="AL21" s="284">
        <v>0</v>
      </c>
      <c r="AM21" s="284"/>
      <c r="AO21" s="284"/>
      <c r="AP21" s="284"/>
    </row>
    <row r="22" spans="2:42" ht="16">
      <c r="B22" s="265"/>
      <c r="C22" s="286" t="s">
        <v>162</v>
      </c>
      <c r="D22" s="298"/>
      <c r="E22" s="307"/>
      <c r="F22" s="308"/>
      <c r="G22" s="308"/>
      <c r="H22" s="309">
        <f>[1]DCF!G25</f>
        <v>0</v>
      </c>
      <c r="I22" s="271"/>
      <c r="J22" s="307"/>
      <c r="K22" s="308"/>
      <c r="L22" s="308"/>
      <c r="M22" s="284">
        <v>0</v>
      </c>
      <c r="N22" s="271"/>
      <c r="O22" s="307"/>
      <c r="P22" s="308"/>
      <c r="Q22" s="308"/>
      <c r="R22" s="284">
        <v>0</v>
      </c>
      <c r="S22" s="271"/>
      <c r="T22" s="307"/>
      <c r="U22" s="308"/>
      <c r="V22" s="308"/>
      <c r="W22" s="284">
        <v>0</v>
      </c>
      <c r="X22" s="271"/>
      <c r="Y22" s="307"/>
      <c r="Z22" s="308"/>
      <c r="AA22" s="308"/>
      <c r="AB22" s="284">
        <v>0</v>
      </c>
      <c r="AC22" s="271"/>
      <c r="AD22" s="307"/>
      <c r="AE22" s="308"/>
      <c r="AF22" s="308"/>
      <c r="AG22" s="284">
        <v>0</v>
      </c>
      <c r="AH22" s="284"/>
      <c r="AI22" s="307"/>
      <c r="AJ22" s="308"/>
      <c r="AK22" s="308"/>
      <c r="AL22" s="284">
        <v>0</v>
      </c>
      <c r="AM22" s="284"/>
      <c r="AN22" s="284"/>
      <c r="AO22" s="284"/>
      <c r="AP22" s="284"/>
    </row>
    <row r="23" spans="2:42" ht="16">
      <c r="B23" s="265"/>
      <c r="C23" s="286" t="s">
        <v>390</v>
      </c>
      <c r="D23" s="298"/>
      <c r="E23" s="307"/>
      <c r="F23" s="308"/>
      <c r="G23" s="308"/>
      <c r="H23" s="309">
        <f>[1]DCF!G26</f>
        <v>0</v>
      </c>
      <c r="I23" s="271"/>
      <c r="J23" s="307"/>
      <c r="K23" s="308"/>
      <c r="L23" s="308"/>
      <c r="M23" s="284">
        <v>604</v>
      </c>
      <c r="N23" s="271"/>
      <c r="O23" s="307"/>
      <c r="P23" s="308"/>
      <c r="Q23" s="308"/>
      <c r="R23" s="284">
        <v>1260</v>
      </c>
      <c r="S23" s="271"/>
      <c r="T23" s="307"/>
      <c r="U23" s="308"/>
      <c r="V23" s="308"/>
      <c r="W23" s="284">
        <v>2492</v>
      </c>
      <c r="X23" s="271"/>
      <c r="Y23" s="307"/>
      <c r="Z23" s="308"/>
      <c r="AA23" s="308"/>
      <c r="AB23" s="284">
        <v>329</v>
      </c>
      <c r="AC23" s="271"/>
      <c r="AD23" s="307"/>
      <c r="AE23" s="308"/>
      <c r="AF23" s="308"/>
      <c r="AG23" s="284">
        <v>442</v>
      </c>
      <c r="AH23" s="284"/>
      <c r="AI23" s="307"/>
      <c r="AJ23" s="308"/>
      <c r="AK23" s="308"/>
      <c r="AL23" s="284">
        <v>2.9</v>
      </c>
      <c r="AM23" s="284"/>
      <c r="AN23" s="284"/>
      <c r="AO23" s="284"/>
      <c r="AP23" s="284"/>
    </row>
    <row r="24" spans="2:42" ht="16">
      <c r="B24" s="265"/>
      <c r="C24" s="286" t="s">
        <v>165</v>
      </c>
      <c r="D24" s="298"/>
      <c r="E24" s="307"/>
      <c r="F24" s="308"/>
      <c r="G24" s="308"/>
      <c r="H24" s="309">
        <f>[1]DCF!G27</f>
        <v>0</v>
      </c>
      <c r="I24" s="271"/>
      <c r="J24" s="307"/>
      <c r="K24" s="308"/>
      <c r="L24" s="308"/>
      <c r="M24" s="284">
        <v>0</v>
      </c>
      <c r="N24" s="271"/>
      <c r="O24" s="307"/>
      <c r="P24" s="308"/>
      <c r="Q24" s="308"/>
      <c r="R24" s="284">
        <v>0</v>
      </c>
      <c r="S24" s="271"/>
      <c r="T24" s="307"/>
      <c r="U24" s="308"/>
      <c r="V24" s="308"/>
      <c r="W24" s="284">
        <v>0</v>
      </c>
      <c r="X24" s="271"/>
      <c r="Y24" s="307"/>
      <c r="Z24" s="308"/>
      <c r="AA24" s="308"/>
      <c r="AB24" s="284">
        <v>0</v>
      </c>
      <c r="AC24" s="271"/>
      <c r="AD24" s="307"/>
      <c r="AE24" s="308"/>
      <c r="AF24" s="308"/>
      <c r="AG24" s="284">
        <v>0</v>
      </c>
      <c r="AH24" s="284"/>
      <c r="AI24" s="307"/>
      <c r="AJ24" s="308"/>
      <c r="AK24" s="308"/>
      <c r="AL24" s="284">
        <v>0</v>
      </c>
      <c r="AM24" s="284"/>
      <c r="AN24" s="284"/>
      <c r="AO24" s="284"/>
      <c r="AP24" s="284"/>
    </row>
    <row r="25" spans="2:42" ht="16">
      <c r="B25" s="265"/>
      <c r="C25" s="286" t="s">
        <v>168</v>
      </c>
      <c r="D25" s="298"/>
      <c r="E25" s="307"/>
      <c r="F25" s="308"/>
      <c r="G25" s="308"/>
      <c r="H25" s="309">
        <f>[1]DCF!G28</f>
        <v>0</v>
      </c>
      <c r="I25" s="310"/>
      <c r="J25" s="307"/>
      <c r="K25" s="308"/>
      <c r="L25" s="308"/>
      <c r="M25" s="284">
        <v>0</v>
      </c>
      <c r="N25" s="271"/>
      <c r="O25" s="307"/>
      <c r="P25" s="308"/>
      <c r="Q25" s="308"/>
      <c r="R25" s="284">
        <v>0</v>
      </c>
      <c r="S25" s="271"/>
      <c r="T25" s="307"/>
      <c r="U25" s="308"/>
      <c r="V25" s="308"/>
      <c r="W25" s="284">
        <v>0</v>
      </c>
      <c r="X25" s="271"/>
      <c r="Y25" s="307"/>
      <c r="Z25" s="308"/>
      <c r="AA25" s="308"/>
      <c r="AB25" s="284">
        <v>0</v>
      </c>
      <c r="AC25" s="271"/>
      <c r="AD25" s="307"/>
      <c r="AE25" s="308"/>
      <c r="AF25" s="308"/>
      <c r="AG25" s="284">
        <v>0</v>
      </c>
      <c r="AH25" s="284"/>
      <c r="AI25" s="307"/>
      <c r="AJ25" s="308"/>
      <c r="AK25" s="308"/>
      <c r="AL25" s="284">
        <v>0</v>
      </c>
      <c r="AM25" s="284"/>
      <c r="AN25" s="284"/>
      <c r="AO25" s="284"/>
      <c r="AP25" s="284"/>
    </row>
    <row r="26" spans="2:42" ht="16">
      <c r="B26" s="265"/>
      <c r="C26" s="286" t="s">
        <v>391</v>
      </c>
      <c r="D26" s="298"/>
      <c r="E26" s="307"/>
      <c r="F26" s="308"/>
      <c r="G26" s="308"/>
      <c r="H26" s="309">
        <v>0</v>
      </c>
      <c r="I26" s="271"/>
      <c r="J26" s="307"/>
      <c r="K26" s="308"/>
      <c r="L26" s="308"/>
      <c r="M26" s="284">
        <v>0</v>
      </c>
      <c r="N26" s="271"/>
      <c r="O26" s="307"/>
      <c r="P26" s="308"/>
      <c r="Q26" s="308"/>
      <c r="R26" s="284">
        <v>0</v>
      </c>
      <c r="S26" s="271"/>
      <c r="T26" s="307"/>
      <c r="U26" s="308"/>
      <c r="V26" s="308"/>
      <c r="W26" s="284">
        <v>0</v>
      </c>
      <c r="X26" s="271"/>
      <c r="Y26" s="307"/>
      <c r="Z26" s="308"/>
      <c r="AA26" s="308"/>
      <c r="AB26" s="284">
        <v>0</v>
      </c>
      <c r="AC26" s="271"/>
      <c r="AD26" s="307"/>
      <c r="AE26" s="308"/>
      <c r="AF26" s="308"/>
      <c r="AG26" s="284">
        <v>0</v>
      </c>
      <c r="AH26" s="284"/>
      <c r="AI26" s="307"/>
      <c r="AJ26" s="308"/>
      <c r="AK26" s="308"/>
      <c r="AL26" s="284">
        <v>0</v>
      </c>
      <c r="AM26" s="284"/>
      <c r="AO26" s="284"/>
      <c r="AP26" s="284"/>
    </row>
    <row r="27" spans="2:42" ht="16">
      <c r="B27" s="265"/>
      <c r="C27" s="286" t="s">
        <v>392</v>
      </c>
      <c r="D27" s="298"/>
      <c r="E27" s="307"/>
      <c r="F27" s="308"/>
      <c r="G27" s="308"/>
      <c r="H27" s="309">
        <f>[1]DCF!G30</f>
        <v>0</v>
      </c>
      <c r="I27" s="271"/>
      <c r="J27" s="307"/>
      <c r="K27" s="308"/>
      <c r="L27" s="308"/>
      <c r="M27" s="284">
        <v>0</v>
      </c>
      <c r="N27" s="271"/>
      <c r="O27" s="307"/>
      <c r="P27" s="308"/>
      <c r="Q27" s="308"/>
      <c r="R27" s="284">
        <v>0</v>
      </c>
      <c r="S27" s="271"/>
      <c r="T27" s="307"/>
      <c r="U27" s="308"/>
      <c r="V27" s="308"/>
      <c r="W27" s="284"/>
      <c r="X27" s="271"/>
      <c r="Y27" s="307"/>
      <c r="Z27" s="308"/>
      <c r="AA27" s="308"/>
      <c r="AB27" s="284">
        <v>0</v>
      </c>
      <c r="AC27" s="271"/>
      <c r="AD27" s="307"/>
      <c r="AE27" s="308"/>
      <c r="AF27" s="308"/>
      <c r="AG27" s="284">
        <v>0</v>
      </c>
      <c r="AH27" s="284"/>
      <c r="AI27" s="307"/>
      <c r="AJ27" s="308"/>
      <c r="AK27" s="308"/>
      <c r="AL27" s="284"/>
      <c r="AM27" s="284"/>
      <c r="AN27" s="284"/>
      <c r="AO27" s="284"/>
      <c r="AP27" s="284"/>
    </row>
    <row r="28" spans="2:42" ht="16">
      <c r="B28" s="265"/>
      <c r="C28" s="267"/>
      <c r="D28" s="267"/>
      <c r="E28" s="267"/>
      <c r="F28" s="267"/>
      <c r="G28" s="267"/>
      <c r="H28" s="267"/>
      <c r="I28" s="271"/>
      <c r="J28" s="267"/>
      <c r="K28" s="267"/>
      <c r="L28" s="267"/>
      <c r="M28" s="267"/>
      <c r="N28" s="271"/>
      <c r="O28" s="267"/>
      <c r="P28" s="267"/>
      <c r="Q28" s="267"/>
      <c r="R28" s="267"/>
      <c r="S28" s="271"/>
      <c r="T28" s="267"/>
      <c r="U28" s="267"/>
      <c r="V28" s="267"/>
      <c r="W28" s="267"/>
      <c r="X28" s="271"/>
      <c r="Y28" s="267"/>
      <c r="Z28" s="267"/>
      <c r="AA28" s="267"/>
      <c r="AB28" s="267"/>
      <c r="AC28" s="271"/>
      <c r="AD28" s="267"/>
      <c r="AE28" s="267"/>
      <c r="AF28" s="267"/>
      <c r="AG28" s="267"/>
      <c r="AH28" s="267"/>
      <c r="AI28" s="267"/>
      <c r="AJ28" s="267"/>
      <c r="AK28" s="267"/>
      <c r="AL28" s="267"/>
      <c r="AM28" s="267"/>
      <c r="AN28" s="267"/>
      <c r="AO28" s="267"/>
      <c r="AP28" s="267"/>
    </row>
    <row r="29" spans="2:42" ht="16">
      <c r="B29" s="265"/>
      <c r="C29" s="267"/>
      <c r="D29" s="267"/>
      <c r="E29" s="304" t="s">
        <v>393</v>
      </c>
      <c r="F29" s="311"/>
      <c r="G29" s="311"/>
      <c r="H29" s="312"/>
      <c r="I29" s="271"/>
      <c r="J29" s="304" t="s">
        <v>393</v>
      </c>
      <c r="K29" s="311"/>
      <c r="L29" s="311"/>
      <c r="M29" s="312"/>
      <c r="N29" s="271"/>
      <c r="O29" s="304" t="s">
        <v>393</v>
      </c>
      <c r="P29" s="311"/>
      <c r="Q29" s="311"/>
      <c r="R29" s="312"/>
      <c r="S29" s="271"/>
      <c r="T29" s="304" t="s">
        <v>393</v>
      </c>
      <c r="U29" s="311"/>
      <c r="V29" s="311"/>
      <c r="W29" s="312"/>
      <c r="X29" s="271"/>
      <c r="Y29" s="304" t="s">
        <v>393</v>
      </c>
      <c r="Z29" s="311"/>
      <c r="AA29" s="311"/>
      <c r="AB29" s="312"/>
      <c r="AC29" s="271"/>
      <c r="AD29" s="304" t="s">
        <v>393</v>
      </c>
      <c r="AE29" s="311"/>
      <c r="AF29" s="311"/>
      <c r="AG29" s="312"/>
      <c r="AH29" s="308"/>
      <c r="AI29" s="304" t="s">
        <v>393</v>
      </c>
      <c r="AJ29" s="311"/>
      <c r="AK29" s="311"/>
      <c r="AL29" s="312"/>
      <c r="AM29" s="308"/>
      <c r="AN29" s="308"/>
      <c r="AO29" s="308"/>
      <c r="AP29" s="308"/>
    </row>
    <row r="30" spans="2:42" ht="16">
      <c r="B30" s="265"/>
      <c r="C30" s="267"/>
      <c r="D30" s="267"/>
      <c r="E30" s="279">
        <f>Forward_Year_1</f>
        <v>46022</v>
      </c>
      <c r="F30" s="279">
        <f>Forward_Year_2</f>
        <v>46387</v>
      </c>
      <c r="G30" s="279">
        <f>Forward_Year_3</f>
        <v>46752</v>
      </c>
      <c r="H30" s="313"/>
      <c r="I30" s="271"/>
      <c r="J30" s="279">
        <f>Forward_Year_1</f>
        <v>46022</v>
      </c>
      <c r="K30" s="279">
        <f>Forward_Year_2</f>
        <v>46387</v>
      </c>
      <c r="L30" s="279">
        <f>Forward_Year_3</f>
        <v>46752</v>
      </c>
      <c r="M30" s="313"/>
      <c r="N30" s="271"/>
      <c r="O30" s="279">
        <f>Forward_Year_1</f>
        <v>46022</v>
      </c>
      <c r="P30" s="279">
        <f>Forward_Year_2</f>
        <v>46387</v>
      </c>
      <c r="Q30" s="279">
        <f>Forward_Year_3</f>
        <v>46752</v>
      </c>
      <c r="R30" s="313"/>
      <c r="S30" s="271"/>
      <c r="T30" s="279">
        <f>Forward_Year_1</f>
        <v>46022</v>
      </c>
      <c r="U30" s="279">
        <f>Forward_Year_2</f>
        <v>46387</v>
      </c>
      <c r="V30" s="279">
        <f>Forward_Year_3</f>
        <v>46752</v>
      </c>
      <c r="W30" s="313"/>
      <c r="X30" s="271"/>
      <c r="Y30" s="279">
        <f>Forward_Year_1</f>
        <v>46022</v>
      </c>
      <c r="Z30" s="279">
        <f>Forward_Year_2</f>
        <v>46387</v>
      </c>
      <c r="AA30" s="279">
        <f>Forward_Year_3</f>
        <v>46752</v>
      </c>
      <c r="AB30" s="313"/>
      <c r="AC30" s="271"/>
      <c r="AD30" s="279">
        <f>Forward_Year_1</f>
        <v>46022</v>
      </c>
      <c r="AE30" s="279">
        <f>Forward_Year_2</f>
        <v>46387</v>
      </c>
      <c r="AF30" s="279">
        <f>Forward_Year_3</f>
        <v>46752</v>
      </c>
      <c r="AG30" s="313"/>
      <c r="AH30" s="308"/>
      <c r="AI30" s="279">
        <f>Forward_Year_1</f>
        <v>46022</v>
      </c>
      <c r="AJ30" s="279">
        <f>Forward_Year_2</f>
        <v>46387</v>
      </c>
      <c r="AK30" s="279">
        <f>Forward_Year_3</f>
        <v>46752</v>
      </c>
      <c r="AL30" s="313"/>
      <c r="AM30" s="308"/>
      <c r="AN30" s="308"/>
      <c r="AO30" s="308"/>
      <c r="AP30" s="308"/>
    </row>
    <row r="31" spans="2:42" ht="16">
      <c r="B31" s="265"/>
      <c r="C31" s="292" t="s">
        <v>394</v>
      </c>
      <c r="D31" s="287"/>
      <c r="E31" s="314">
        <f>Model!K62/Units</f>
        <v>673</v>
      </c>
      <c r="F31" s="314">
        <f>Model!L62/Units</f>
        <v>745</v>
      </c>
      <c r="G31" s="314">
        <f>Model!M62/Units</f>
        <v>1200.4972976846398</v>
      </c>
      <c r="H31" s="308"/>
      <c r="I31" s="271"/>
      <c r="J31" s="314">
        <v>3177</v>
      </c>
      <c r="K31" s="314">
        <v>3554</v>
      </c>
      <c r="L31" s="314">
        <v>3896</v>
      </c>
      <c r="M31" s="308"/>
      <c r="N31" s="271"/>
      <c r="O31" s="314">
        <v>0</v>
      </c>
      <c r="P31" s="314">
        <v>1567</v>
      </c>
      <c r="Q31" s="314">
        <v>1487</v>
      </c>
      <c r="R31" s="308"/>
      <c r="S31" s="271"/>
      <c r="T31" s="314">
        <v>0</v>
      </c>
      <c r="U31" s="314">
        <v>959</v>
      </c>
      <c r="V31" s="314">
        <v>1220</v>
      </c>
      <c r="W31" s="308"/>
      <c r="X31" s="271"/>
      <c r="Y31" s="314">
        <v>0</v>
      </c>
      <c r="Z31" s="314">
        <v>684</v>
      </c>
      <c r="AA31" s="314">
        <v>906</v>
      </c>
      <c r="AB31" s="308"/>
      <c r="AC31" s="271"/>
      <c r="AD31" s="314">
        <v>629</v>
      </c>
      <c r="AE31" s="314">
        <v>745</v>
      </c>
      <c r="AF31" s="314">
        <v>877</v>
      </c>
      <c r="AG31" s="308"/>
      <c r="AH31" s="308"/>
      <c r="AI31" s="314">
        <v>578</v>
      </c>
      <c r="AJ31" s="314">
        <v>615</v>
      </c>
      <c r="AK31" s="314">
        <v>669</v>
      </c>
      <c r="AL31" s="308"/>
      <c r="AM31" s="308"/>
      <c r="AN31" s="308"/>
      <c r="AO31" s="308"/>
      <c r="AP31" s="308"/>
    </row>
    <row r="32" spans="2:42" ht="16">
      <c r="B32" s="265"/>
      <c r="C32" s="292" t="s">
        <v>395</v>
      </c>
      <c r="D32" s="287"/>
      <c r="E32" s="315">
        <f>Model!K83/Units</f>
        <v>-508.22188069164571</v>
      </c>
      <c r="F32" s="315">
        <f>Model!L83/Units</f>
        <v>-364.82964444486214</v>
      </c>
      <c r="G32" s="315">
        <f>Model!M83/Units</f>
        <v>320.16960304134932</v>
      </c>
      <c r="H32" s="308"/>
      <c r="I32" s="271"/>
      <c r="J32" s="315">
        <v>636</v>
      </c>
      <c r="K32" s="315">
        <v>1104</v>
      </c>
      <c r="L32" s="315">
        <v>1304</v>
      </c>
      <c r="M32" s="308"/>
      <c r="N32" s="271"/>
      <c r="O32" s="314">
        <v>0</v>
      </c>
      <c r="P32" s="315">
        <v>342</v>
      </c>
      <c r="Q32" s="315">
        <v>357</v>
      </c>
      <c r="R32" s="308"/>
      <c r="S32" s="271"/>
      <c r="T32" s="314">
        <v>0</v>
      </c>
      <c r="U32" s="315">
        <v>41</v>
      </c>
      <c r="V32" s="315">
        <v>264</v>
      </c>
      <c r="W32" s="308"/>
      <c r="X32" s="271"/>
      <c r="Y32" s="314">
        <v>0</v>
      </c>
      <c r="Z32" s="315">
        <v>184</v>
      </c>
      <c r="AA32" s="315">
        <v>463</v>
      </c>
      <c r="AB32" s="308"/>
      <c r="AC32" s="271"/>
      <c r="AD32" s="315">
        <v>77</v>
      </c>
      <c r="AE32" s="315">
        <v>149</v>
      </c>
      <c r="AF32" s="315">
        <v>247</v>
      </c>
      <c r="AG32" s="308"/>
      <c r="AH32" s="308"/>
      <c r="AI32" s="315">
        <f>248-19</f>
        <v>229</v>
      </c>
      <c r="AJ32" s="315">
        <v>278</v>
      </c>
      <c r="AK32" s="315">
        <v>330</v>
      </c>
      <c r="AL32" s="308"/>
      <c r="AM32" s="308"/>
      <c r="AN32" s="308"/>
      <c r="AO32" s="308"/>
      <c r="AP32" s="308"/>
    </row>
    <row r="33" spans="2:42" ht="16">
      <c r="B33" s="265"/>
      <c r="C33" s="292" t="s">
        <v>396</v>
      </c>
      <c r="D33" s="287"/>
      <c r="E33" s="315">
        <f>Model!K81/Units</f>
        <v>-586.93659000000002</v>
      </c>
      <c r="F33" s="315">
        <f>Model!L81/Units</f>
        <v>-451.26659560674341</v>
      </c>
      <c r="G33" s="315">
        <f>Model!M81/Units</f>
        <v>212.2698189579362</v>
      </c>
      <c r="H33" s="308"/>
      <c r="I33" s="271"/>
      <c r="J33" s="315">
        <v>526</v>
      </c>
      <c r="K33" s="315">
        <v>858</v>
      </c>
      <c r="L33" s="315">
        <v>1040</v>
      </c>
      <c r="M33" s="308"/>
      <c r="N33" s="271"/>
      <c r="O33" s="314">
        <v>0</v>
      </c>
      <c r="P33" s="315">
        <v>189</v>
      </c>
      <c r="Q33" s="315">
        <v>238</v>
      </c>
      <c r="R33" s="308"/>
      <c r="S33" s="271"/>
      <c r="T33" s="314">
        <v>0</v>
      </c>
      <c r="U33" s="315">
        <v>-128</v>
      </c>
      <c r="V33" s="315">
        <v>122</v>
      </c>
      <c r="W33" s="308"/>
      <c r="X33" s="271"/>
      <c r="Y33" s="314">
        <v>0</v>
      </c>
      <c r="Z33" s="315">
        <v>73</v>
      </c>
      <c r="AA33" s="315">
        <v>185</v>
      </c>
      <c r="AB33" s="308"/>
      <c r="AC33" s="271"/>
      <c r="AD33" s="315">
        <v>-6</v>
      </c>
      <c r="AE33" s="315">
        <v>80</v>
      </c>
      <c r="AF33" s="315">
        <v>144</v>
      </c>
      <c r="AG33" s="308"/>
      <c r="AH33" s="308"/>
      <c r="AI33" s="315">
        <v>204</v>
      </c>
      <c r="AJ33" s="315">
        <v>219</v>
      </c>
      <c r="AK33" s="315">
        <v>248</v>
      </c>
      <c r="AL33" s="308"/>
      <c r="AM33" s="308"/>
      <c r="AN33" s="308"/>
      <c r="AO33" s="308"/>
      <c r="AP33" s="308"/>
    </row>
    <row r="34" spans="2:42" ht="16">
      <c r="B34" s="316"/>
      <c r="C34" s="271"/>
      <c r="D34" s="271"/>
      <c r="E34" s="271"/>
      <c r="F34" s="271"/>
      <c r="G34" s="271"/>
      <c r="H34" s="271"/>
      <c r="I34" s="271"/>
      <c r="J34" s="317"/>
      <c r="K34" s="317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</row>
    <row r="35" spans="2:42" ht="16">
      <c r="B35" s="316"/>
      <c r="C35" s="271"/>
      <c r="D35" s="271"/>
      <c r="E35" s="304" t="s">
        <v>397</v>
      </c>
      <c r="F35" s="311"/>
      <c r="G35" s="311"/>
      <c r="H35" s="311"/>
      <c r="I35" s="271"/>
      <c r="J35" s="304" t="s">
        <v>397</v>
      </c>
      <c r="K35" s="311"/>
      <c r="L35" s="311"/>
      <c r="M35" s="311"/>
      <c r="N35" s="271"/>
      <c r="O35" s="304" t="s">
        <v>397</v>
      </c>
      <c r="P35" s="311"/>
      <c r="Q35" s="311"/>
      <c r="R35" s="311"/>
      <c r="S35" s="271"/>
      <c r="T35" s="304" t="s">
        <v>397</v>
      </c>
      <c r="U35" s="311"/>
      <c r="V35" s="311"/>
      <c r="W35" s="311"/>
      <c r="X35" s="271"/>
      <c r="Y35" s="304" t="s">
        <v>397</v>
      </c>
      <c r="Z35" s="311"/>
      <c r="AA35" s="311"/>
      <c r="AB35" s="311"/>
      <c r="AC35" s="271"/>
      <c r="AD35" s="304" t="s">
        <v>397</v>
      </c>
      <c r="AE35" s="311"/>
      <c r="AF35" s="311"/>
      <c r="AG35" s="311"/>
      <c r="AH35" s="318"/>
      <c r="AI35" s="304" t="s">
        <v>397</v>
      </c>
      <c r="AJ35" s="311"/>
      <c r="AK35" s="311"/>
      <c r="AL35" s="311"/>
      <c r="AM35" s="318"/>
      <c r="AN35" s="318"/>
      <c r="AO35" s="318"/>
      <c r="AP35" s="318"/>
    </row>
    <row r="36" spans="2:42" ht="16">
      <c r="B36" s="316"/>
      <c r="C36" s="319" t="s">
        <v>398</v>
      </c>
      <c r="D36" s="319"/>
      <c r="E36" s="320"/>
      <c r="F36" s="278"/>
      <c r="G36" s="278"/>
      <c r="H36" s="321">
        <f>Share_Price</f>
        <v>23.66</v>
      </c>
      <c r="I36" s="271"/>
      <c r="J36" s="320"/>
      <c r="K36" s="278"/>
      <c r="L36" s="278"/>
      <c r="M36" s="321">
        <v>55.69</v>
      </c>
      <c r="N36" s="271"/>
      <c r="O36" s="320"/>
      <c r="P36" s="278"/>
      <c r="Q36" s="278"/>
      <c r="R36" s="321">
        <v>20.74</v>
      </c>
      <c r="S36" s="271"/>
      <c r="T36" s="320"/>
      <c r="U36" s="278"/>
      <c r="V36" s="278"/>
      <c r="W36" s="321">
        <v>14.42</v>
      </c>
      <c r="X36" s="271"/>
      <c r="Y36" s="320"/>
      <c r="Z36" s="278"/>
      <c r="AA36" s="278"/>
      <c r="AB36" s="321">
        <v>27.83</v>
      </c>
      <c r="AC36" s="271"/>
      <c r="AD36" s="320"/>
      <c r="AE36" s="278"/>
      <c r="AF36" s="278"/>
      <c r="AG36" s="321">
        <v>14.31</v>
      </c>
      <c r="AH36" s="321"/>
      <c r="AI36" s="320"/>
      <c r="AJ36" s="278"/>
      <c r="AK36" s="278"/>
      <c r="AL36" s="321">
        <v>23.29</v>
      </c>
      <c r="AM36" s="321"/>
      <c r="AO36" s="321"/>
      <c r="AP36" s="321"/>
    </row>
    <row r="37" spans="2:42" ht="16">
      <c r="B37" s="316"/>
      <c r="C37" s="319" t="s">
        <v>399</v>
      </c>
      <c r="D37" s="319"/>
      <c r="E37" s="320"/>
      <c r="F37" s="278"/>
      <c r="G37" s="278"/>
      <c r="H37" s="322">
        <f>Diluted</f>
        <v>97.56</v>
      </c>
      <c r="I37" s="271"/>
      <c r="J37" s="320"/>
      <c r="K37" s="278"/>
      <c r="L37" s="278"/>
      <c r="M37" s="322">
        <v>193</v>
      </c>
      <c r="N37" s="271"/>
      <c r="O37" s="320"/>
      <c r="P37" s="278"/>
      <c r="Q37" s="278"/>
      <c r="R37" s="322">
        <v>104.8</v>
      </c>
      <c r="S37" s="271"/>
      <c r="T37" s="320"/>
      <c r="U37" s="278"/>
      <c r="V37" s="278"/>
      <c r="W37" s="323">
        <v>80.3</v>
      </c>
      <c r="X37" s="271"/>
      <c r="Y37" s="320"/>
      <c r="Z37" s="278"/>
      <c r="AA37" s="278"/>
      <c r="AB37" s="323">
        <v>89.5</v>
      </c>
      <c r="AC37" s="271"/>
      <c r="AD37" s="320"/>
      <c r="AE37" s="278"/>
      <c r="AF37" s="278"/>
      <c r="AG37" s="323">
        <v>225.2</v>
      </c>
      <c r="AH37" s="323"/>
      <c r="AI37" s="320"/>
      <c r="AJ37" s="278"/>
      <c r="AK37" s="278"/>
      <c r="AL37" s="323">
        <v>122.9</v>
      </c>
      <c r="AM37" s="323"/>
      <c r="AN37" s="323"/>
      <c r="AO37" s="323"/>
      <c r="AP37" s="323"/>
    </row>
    <row r="38" spans="2:42" ht="16">
      <c r="B38" s="316"/>
      <c r="C38" s="319" t="s">
        <v>400</v>
      </c>
      <c r="D38" s="319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</row>
    <row r="39" spans="2:42" ht="16">
      <c r="B39" s="316"/>
      <c r="C39" s="271"/>
      <c r="D39" s="271"/>
      <c r="E39" s="271"/>
      <c r="F39" s="324" t="s">
        <v>371</v>
      </c>
      <c r="G39" s="324" t="s">
        <v>401</v>
      </c>
      <c r="H39" s="324" t="s">
        <v>402</v>
      </c>
      <c r="I39" s="271"/>
      <c r="J39" s="271"/>
      <c r="K39" s="324" t="s">
        <v>371</v>
      </c>
      <c r="L39" s="324" t="s">
        <v>401</v>
      </c>
      <c r="M39" s="324" t="s">
        <v>402</v>
      </c>
      <c r="N39" s="271"/>
      <c r="O39" s="271"/>
      <c r="P39" s="325" t="s">
        <v>371</v>
      </c>
      <c r="Q39" s="325" t="s">
        <v>401</v>
      </c>
      <c r="R39" s="325" t="s">
        <v>402</v>
      </c>
      <c r="S39" s="271"/>
      <c r="T39" s="271"/>
      <c r="U39" s="325" t="s">
        <v>371</v>
      </c>
      <c r="V39" s="325" t="s">
        <v>401</v>
      </c>
      <c r="W39" s="325" t="s">
        <v>402</v>
      </c>
      <c r="X39" s="271"/>
      <c r="Y39" s="271"/>
      <c r="Z39" s="325" t="s">
        <v>371</v>
      </c>
      <c r="AA39" s="325" t="s">
        <v>401</v>
      </c>
      <c r="AB39" s="325" t="s">
        <v>402</v>
      </c>
      <c r="AC39" s="271"/>
      <c r="AD39" s="271"/>
      <c r="AE39" s="325" t="s">
        <v>371</v>
      </c>
      <c r="AF39" s="325" t="s">
        <v>401</v>
      </c>
      <c r="AG39" s="325" t="s">
        <v>402</v>
      </c>
      <c r="AH39" s="325"/>
      <c r="AI39" s="271"/>
      <c r="AJ39" s="325" t="s">
        <v>371</v>
      </c>
      <c r="AK39" s="325" t="s">
        <v>401</v>
      </c>
      <c r="AL39" s="325" t="s">
        <v>402</v>
      </c>
      <c r="AM39" s="325"/>
      <c r="AN39" s="325"/>
      <c r="AO39" s="325"/>
      <c r="AP39" s="325"/>
    </row>
    <row r="40" spans="2:42" ht="16">
      <c r="B40" s="316"/>
      <c r="C40" s="271"/>
      <c r="D40" s="271"/>
      <c r="E40" s="271"/>
      <c r="F40" s="326"/>
      <c r="G40" s="327"/>
      <c r="H40" s="328">
        <f t="shared" ref="H40:H48" si="7">IF(G40&lt;H$35,F40-((F40*G40)/H$35),0)</f>
        <v>0</v>
      </c>
      <c r="I40" s="271"/>
      <c r="J40" s="271"/>
      <c r="K40" s="326"/>
      <c r="L40" s="327"/>
      <c r="M40" s="328">
        <f>IF(L40&lt;M$35,K40-((K40*L40)/M$35),0)</f>
        <v>0</v>
      </c>
      <c r="N40" s="271"/>
      <c r="O40" s="271"/>
      <c r="P40" s="326"/>
      <c r="Q40" s="327"/>
      <c r="R40" s="328">
        <f>IF(Q40&lt;R$35,P40-((P40*Q40)/R$35),0)</f>
        <v>0</v>
      </c>
      <c r="S40" s="271"/>
      <c r="T40" s="271"/>
      <c r="U40" s="326"/>
      <c r="V40" s="327"/>
      <c r="W40" s="328">
        <f>IF(V40&lt;W$35,U40-((U40*V40)/W$35),0)</f>
        <v>0</v>
      </c>
      <c r="X40" s="271"/>
      <c r="Y40" s="271"/>
      <c r="Z40" s="326"/>
      <c r="AA40" s="327"/>
      <c r="AB40" s="328">
        <f>IF(AA40&lt;AB$35,Z40-((Z40*AA40)/AB$35),0)</f>
        <v>0</v>
      </c>
      <c r="AC40" s="271"/>
      <c r="AD40" s="271"/>
      <c r="AE40" s="326"/>
      <c r="AF40" s="327"/>
      <c r="AG40" s="328">
        <f>IF(AF40&lt;AG$35,AE40-((AE40*AF40)/AG$35),0)</f>
        <v>0</v>
      </c>
      <c r="AH40" s="328"/>
      <c r="AI40" s="271"/>
      <c r="AJ40" s="326"/>
      <c r="AK40" s="327"/>
      <c r="AL40" s="328">
        <f>IF(AK40&lt;AL$35,AJ40-((AJ40*AK40)/AL$35),0)</f>
        <v>0</v>
      </c>
      <c r="AM40" s="328"/>
      <c r="AN40" s="328"/>
      <c r="AO40" s="328"/>
      <c r="AP40" s="328"/>
    </row>
    <row r="41" spans="2:42" ht="16">
      <c r="B41" s="316"/>
      <c r="C41" s="271"/>
      <c r="D41" s="271"/>
      <c r="E41" s="271"/>
      <c r="F41" s="326"/>
      <c r="G41" s="327"/>
      <c r="H41" s="328">
        <f t="shared" si="7"/>
        <v>0</v>
      </c>
      <c r="I41" s="271"/>
      <c r="J41" s="271"/>
      <c r="K41" s="326"/>
      <c r="L41" s="327"/>
      <c r="M41" s="328">
        <f t="shared" ref="M41:M45" si="8">IF(L41&lt;M$35,K41-((K41*L41)/M$35),0)</f>
        <v>0</v>
      </c>
      <c r="N41" s="271"/>
      <c r="O41" s="271"/>
      <c r="P41" s="326"/>
      <c r="Q41" s="327"/>
      <c r="R41" s="328">
        <f t="shared" ref="R41:R45" si="9">IF(Q41&lt;R$35,P41-((P41*Q41)/R$35),0)</f>
        <v>0</v>
      </c>
      <c r="S41" s="271"/>
      <c r="T41" s="271"/>
      <c r="U41" s="326"/>
      <c r="V41" s="327"/>
      <c r="W41" s="328">
        <f t="shared" ref="W41:W45" si="10">IF(V41&lt;W$35,U41-((U41*V41)/W$35),0)</f>
        <v>0</v>
      </c>
      <c r="X41" s="271"/>
      <c r="Y41" s="271"/>
      <c r="Z41" s="326"/>
      <c r="AA41" s="327"/>
      <c r="AB41" s="328">
        <f t="shared" ref="AB41:AB45" si="11">IF(AA41&lt;AB$35,Z41-((Z41*AA41)/AB$35),0)</f>
        <v>0</v>
      </c>
      <c r="AC41" s="271"/>
      <c r="AD41" s="271"/>
      <c r="AE41" s="326"/>
      <c r="AF41" s="327"/>
      <c r="AG41" s="328">
        <f t="shared" ref="AG41:AG45" si="12">IF(AF41&lt;AG$35,AE41-((AE41*AF41)/AG$35),0)</f>
        <v>0</v>
      </c>
      <c r="AH41" s="328"/>
      <c r="AI41" s="271"/>
      <c r="AJ41" s="326"/>
      <c r="AK41" s="327"/>
      <c r="AL41" s="328">
        <f t="shared" ref="AL41:AL45" si="13">IF(AK41&lt;AL$35,AJ41-((AJ41*AK41)/AL$35),0)</f>
        <v>0</v>
      </c>
      <c r="AM41" s="328"/>
      <c r="AN41" s="328"/>
      <c r="AO41" s="328"/>
      <c r="AP41" s="328"/>
    </row>
    <row r="42" spans="2:42" ht="16">
      <c r="B42" s="316"/>
      <c r="C42" s="271"/>
      <c r="D42" s="271"/>
      <c r="E42" s="271"/>
      <c r="F42" s="326"/>
      <c r="G42" s="327"/>
      <c r="H42" s="328">
        <f t="shared" si="7"/>
        <v>0</v>
      </c>
      <c r="I42" s="271"/>
      <c r="J42" s="271"/>
      <c r="K42" s="326"/>
      <c r="L42" s="327"/>
      <c r="M42" s="328">
        <f t="shared" si="8"/>
        <v>0</v>
      </c>
      <c r="N42" s="271"/>
      <c r="O42" s="271"/>
      <c r="P42" s="326"/>
      <c r="Q42" s="327"/>
      <c r="R42" s="328">
        <f t="shared" si="9"/>
        <v>0</v>
      </c>
      <c r="S42" s="271"/>
      <c r="T42" s="271"/>
      <c r="U42" s="326"/>
      <c r="V42" s="327"/>
      <c r="W42" s="328">
        <f t="shared" si="10"/>
        <v>0</v>
      </c>
      <c r="X42" s="271"/>
      <c r="Y42" s="271"/>
      <c r="Z42" s="326"/>
      <c r="AA42" s="327"/>
      <c r="AB42" s="328">
        <f t="shared" si="11"/>
        <v>0</v>
      </c>
      <c r="AC42" s="271"/>
      <c r="AD42" s="271"/>
      <c r="AE42" s="326"/>
      <c r="AF42" s="327"/>
      <c r="AG42" s="328">
        <f t="shared" si="12"/>
        <v>0</v>
      </c>
      <c r="AH42" s="328"/>
      <c r="AI42" s="271"/>
      <c r="AJ42" s="326"/>
      <c r="AK42" s="327"/>
      <c r="AL42" s="328">
        <f t="shared" si="13"/>
        <v>0</v>
      </c>
      <c r="AM42" s="328"/>
      <c r="AN42" s="328"/>
      <c r="AO42" s="328"/>
      <c r="AP42" s="328"/>
    </row>
    <row r="43" spans="2:42" ht="16">
      <c r="B43" s="316"/>
      <c r="C43" s="271"/>
      <c r="D43" s="271"/>
      <c r="E43" s="271"/>
      <c r="F43" s="326"/>
      <c r="G43" s="327"/>
      <c r="H43" s="328">
        <f t="shared" si="7"/>
        <v>0</v>
      </c>
      <c r="I43" s="271"/>
      <c r="J43" s="271"/>
      <c r="K43" s="326"/>
      <c r="L43" s="327"/>
      <c r="M43" s="328">
        <f t="shared" si="8"/>
        <v>0</v>
      </c>
      <c r="N43" s="271"/>
      <c r="O43" s="271"/>
      <c r="P43" s="326"/>
      <c r="Q43" s="327"/>
      <c r="R43" s="328">
        <f t="shared" si="9"/>
        <v>0</v>
      </c>
      <c r="S43" s="271"/>
      <c r="T43" s="271"/>
      <c r="U43" s="326"/>
      <c r="V43" s="327"/>
      <c r="W43" s="328">
        <f t="shared" si="10"/>
        <v>0</v>
      </c>
      <c r="X43" s="271"/>
      <c r="Y43" s="271"/>
      <c r="Z43" s="326"/>
      <c r="AA43" s="327"/>
      <c r="AB43" s="328">
        <f t="shared" si="11"/>
        <v>0</v>
      </c>
      <c r="AC43" s="271"/>
      <c r="AD43" s="271"/>
      <c r="AE43" s="326"/>
      <c r="AF43" s="327"/>
      <c r="AG43" s="328">
        <f t="shared" si="12"/>
        <v>0</v>
      </c>
      <c r="AH43" s="328"/>
      <c r="AI43" s="271"/>
      <c r="AJ43" s="326"/>
      <c r="AK43" s="327"/>
      <c r="AL43" s="328">
        <f t="shared" si="13"/>
        <v>0</v>
      </c>
      <c r="AM43" s="328"/>
      <c r="AN43" s="328"/>
      <c r="AO43" s="328"/>
      <c r="AP43" s="328"/>
    </row>
    <row r="44" spans="2:42" ht="16">
      <c r="B44" s="316"/>
      <c r="C44" s="271"/>
      <c r="D44" s="271"/>
      <c r="E44" s="271"/>
      <c r="F44" s="326"/>
      <c r="G44" s="327"/>
      <c r="H44" s="328">
        <f t="shared" si="7"/>
        <v>0</v>
      </c>
      <c r="I44" s="271"/>
      <c r="J44" s="271"/>
      <c r="K44" s="326"/>
      <c r="L44" s="327"/>
      <c r="M44" s="328">
        <f t="shared" si="8"/>
        <v>0</v>
      </c>
      <c r="N44" s="271"/>
      <c r="O44" s="271"/>
      <c r="P44" s="326"/>
      <c r="Q44" s="327"/>
      <c r="R44" s="328">
        <f t="shared" si="9"/>
        <v>0</v>
      </c>
      <c r="S44" s="271"/>
      <c r="T44" s="271"/>
      <c r="U44" s="326"/>
      <c r="V44" s="327"/>
      <c r="W44" s="328">
        <f t="shared" si="10"/>
        <v>0</v>
      </c>
      <c r="X44" s="271"/>
      <c r="Y44" s="271"/>
      <c r="Z44" s="326"/>
      <c r="AA44" s="327"/>
      <c r="AB44" s="328">
        <f t="shared" si="11"/>
        <v>0</v>
      </c>
      <c r="AC44" s="271"/>
      <c r="AD44" s="271"/>
      <c r="AE44" s="326"/>
      <c r="AF44" s="327"/>
      <c r="AG44" s="328">
        <f t="shared" si="12"/>
        <v>0</v>
      </c>
      <c r="AH44" s="328"/>
      <c r="AI44" s="271"/>
      <c r="AJ44" s="326"/>
      <c r="AK44" s="327"/>
      <c r="AL44" s="328">
        <f t="shared" si="13"/>
        <v>0</v>
      </c>
      <c r="AM44" s="328"/>
      <c r="AN44" s="328"/>
      <c r="AO44" s="328"/>
      <c r="AP44" s="328"/>
    </row>
    <row r="45" spans="2:42" ht="16">
      <c r="B45" s="316"/>
      <c r="C45" s="271"/>
      <c r="D45" s="271"/>
      <c r="E45" s="271"/>
      <c r="F45" s="326"/>
      <c r="G45" s="327"/>
      <c r="H45" s="328">
        <f t="shared" si="7"/>
        <v>0</v>
      </c>
      <c r="I45" s="271"/>
      <c r="J45" s="271"/>
      <c r="K45" s="326"/>
      <c r="L45" s="327"/>
      <c r="M45" s="328">
        <f t="shared" si="8"/>
        <v>0</v>
      </c>
      <c r="N45" s="271"/>
      <c r="O45" s="271"/>
      <c r="P45" s="326"/>
      <c r="Q45" s="327"/>
      <c r="R45" s="328">
        <f t="shared" si="9"/>
        <v>0</v>
      </c>
      <c r="S45" s="271"/>
      <c r="T45" s="271"/>
      <c r="U45" s="326"/>
      <c r="V45" s="327"/>
      <c r="W45" s="328">
        <f t="shared" si="10"/>
        <v>0</v>
      </c>
      <c r="X45" s="271"/>
      <c r="Y45" s="271"/>
      <c r="Z45" s="326"/>
      <c r="AA45" s="327"/>
      <c r="AB45" s="328">
        <f t="shared" si="11"/>
        <v>0</v>
      </c>
      <c r="AC45" s="271"/>
      <c r="AD45" s="271"/>
      <c r="AE45" s="326"/>
      <c r="AF45" s="327"/>
      <c r="AG45" s="328">
        <f t="shared" si="12"/>
        <v>0</v>
      </c>
      <c r="AH45" s="328"/>
      <c r="AI45" s="271"/>
      <c r="AJ45" s="326"/>
      <c r="AK45" s="327"/>
      <c r="AL45" s="328">
        <f t="shared" si="13"/>
        <v>0</v>
      </c>
      <c r="AM45" s="328"/>
      <c r="AN45" s="328"/>
      <c r="AO45" s="328"/>
      <c r="AP45" s="328"/>
    </row>
    <row r="46" spans="2:42" ht="16">
      <c r="B46" s="316"/>
      <c r="C46" s="271"/>
      <c r="D46" s="271"/>
      <c r="E46" s="271"/>
      <c r="F46" s="326"/>
      <c r="G46" s="327"/>
      <c r="H46" s="328">
        <f t="shared" si="7"/>
        <v>0</v>
      </c>
      <c r="I46" s="271"/>
      <c r="J46" s="271"/>
      <c r="K46" s="326"/>
      <c r="L46" s="327"/>
      <c r="M46" s="328">
        <f>IF(L46&lt;M$35,K46-((K46*L46)/M$35),0)</f>
        <v>0</v>
      </c>
      <c r="N46" s="271"/>
      <c r="O46" s="271"/>
      <c r="P46" s="326"/>
      <c r="Q46" s="327"/>
      <c r="R46" s="328">
        <f>IF(Q46&lt;R$35,P46-((P46*Q46)/R$35),0)</f>
        <v>0</v>
      </c>
      <c r="S46" s="271"/>
      <c r="T46" s="271"/>
      <c r="U46" s="326"/>
      <c r="V46" s="327"/>
      <c r="W46" s="328">
        <f>IF(V46&lt;W$35,U46-((U46*V46)/W$35),0)</f>
        <v>0</v>
      </c>
      <c r="X46" s="271"/>
      <c r="Y46" s="271"/>
      <c r="Z46" s="326"/>
      <c r="AA46" s="327"/>
      <c r="AB46" s="328">
        <f>IF(AA46&lt;AB$35,Z46-((Z46*AA46)/AB$35),0)</f>
        <v>0</v>
      </c>
      <c r="AC46" s="271"/>
      <c r="AD46" s="271"/>
      <c r="AE46" s="326"/>
      <c r="AF46" s="327"/>
      <c r="AG46" s="328">
        <f>IF(AF46&lt;AG$35,AE46-((AE46*AF46)/AG$35),0)</f>
        <v>0</v>
      </c>
      <c r="AH46" s="328"/>
      <c r="AI46" s="271"/>
      <c r="AJ46" s="326"/>
      <c r="AK46" s="327"/>
      <c r="AL46" s="328">
        <f>IF(AK46&lt;AL$35,AJ46-((AJ46*AK46)/AL$35),0)</f>
        <v>0</v>
      </c>
      <c r="AM46" s="328"/>
      <c r="AN46" s="328"/>
      <c r="AO46" s="328"/>
      <c r="AP46" s="328"/>
    </row>
    <row r="47" spans="2:42" ht="16">
      <c r="B47" s="316"/>
      <c r="C47" s="271"/>
      <c r="D47" s="271"/>
      <c r="E47" s="271"/>
      <c r="F47" s="326"/>
      <c r="G47" s="327"/>
      <c r="H47" s="328">
        <f t="shared" si="7"/>
        <v>0</v>
      </c>
      <c r="I47" s="271"/>
      <c r="J47" s="271"/>
      <c r="K47" s="326"/>
      <c r="L47" s="327"/>
      <c r="M47" s="328">
        <f t="shared" ref="M47:M48" si="14">IF(L47&lt;M$35,K47-((K47*L47)/M$35),0)</f>
        <v>0</v>
      </c>
      <c r="N47" s="271"/>
      <c r="O47" s="271"/>
      <c r="P47" s="326"/>
      <c r="Q47" s="327"/>
      <c r="R47" s="328">
        <f t="shared" ref="R47:R48" si="15">IF(Q47&lt;R$35,P47-((P47*Q47)/R$35),0)</f>
        <v>0</v>
      </c>
      <c r="S47" s="271"/>
      <c r="T47" s="271"/>
      <c r="U47" s="326"/>
      <c r="V47" s="327"/>
      <c r="W47" s="328">
        <f t="shared" ref="W47:W48" si="16">IF(V47&lt;W$35,U47-((U47*V47)/W$35),0)</f>
        <v>0</v>
      </c>
      <c r="X47" s="271"/>
      <c r="Y47" s="271"/>
      <c r="Z47" s="326"/>
      <c r="AA47" s="327"/>
      <c r="AB47" s="328">
        <f t="shared" ref="AB47:AB48" si="17">IF(AA47&lt;AB$35,Z47-((Z47*AA47)/AB$35),0)</f>
        <v>0</v>
      </c>
      <c r="AC47" s="271"/>
      <c r="AD47" s="271"/>
      <c r="AE47" s="326"/>
      <c r="AF47" s="327"/>
      <c r="AG47" s="328">
        <f t="shared" ref="AG47:AG48" si="18">IF(AF47&lt;AG$35,AE47-((AE47*AF47)/AG$35),0)</f>
        <v>0</v>
      </c>
      <c r="AH47" s="328"/>
      <c r="AI47" s="271"/>
      <c r="AJ47" s="326"/>
      <c r="AK47" s="327"/>
      <c r="AL47" s="328">
        <f t="shared" ref="AL47:AL48" si="19">IF(AK47&lt;AL$35,AJ47-((AJ47*AK47)/AL$35),0)</f>
        <v>0</v>
      </c>
      <c r="AM47" s="328"/>
      <c r="AN47" s="328"/>
      <c r="AO47" s="328"/>
      <c r="AP47" s="328"/>
    </row>
    <row r="48" spans="2:42" ht="16">
      <c r="B48" s="316"/>
      <c r="C48" s="271"/>
      <c r="D48" s="271"/>
      <c r="E48" s="271"/>
      <c r="F48" s="326"/>
      <c r="G48" s="327"/>
      <c r="H48" s="328">
        <f t="shared" si="7"/>
        <v>0</v>
      </c>
      <c r="I48" s="328"/>
      <c r="J48" s="271"/>
      <c r="K48" s="326"/>
      <c r="L48" s="327"/>
      <c r="M48" s="328">
        <f t="shared" si="14"/>
        <v>0</v>
      </c>
      <c r="N48" s="271"/>
      <c r="O48" s="271"/>
      <c r="P48" s="326"/>
      <c r="Q48" s="327"/>
      <c r="R48" s="328">
        <f t="shared" si="15"/>
        <v>0</v>
      </c>
      <c r="S48" s="271"/>
      <c r="T48" s="271"/>
      <c r="U48" s="326"/>
      <c r="V48" s="327"/>
      <c r="W48" s="328">
        <f t="shared" si="16"/>
        <v>0</v>
      </c>
      <c r="X48" s="271"/>
      <c r="Y48" s="271"/>
      <c r="Z48" s="326"/>
      <c r="AA48" s="327"/>
      <c r="AB48" s="328">
        <f t="shared" si="17"/>
        <v>0</v>
      </c>
      <c r="AC48" s="271"/>
      <c r="AD48" s="271"/>
      <c r="AE48" s="326"/>
      <c r="AF48" s="327"/>
      <c r="AG48" s="328">
        <f t="shared" si="18"/>
        <v>0</v>
      </c>
      <c r="AH48" s="328"/>
      <c r="AI48" s="271"/>
      <c r="AJ48" s="326"/>
      <c r="AK48" s="327"/>
      <c r="AL48" s="328">
        <f t="shared" si="19"/>
        <v>0</v>
      </c>
      <c r="AM48" s="328"/>
      <c r="AN48" s="328"/>
      <c r="AO48" s="328"/>
      <c r="AP48" s="328"/>
    </row>
    <row r="49" spans="2:42" ht="16">
      <c r="B49" s="316"/>
      <c r="C49" s="271"/>
      <c r="D49" s="271"/>
      <c r="E49" s="271"/>
      <c r="F49" s="326"/>
      <c r="G49" s="327"/>
      <c r="H49" s="329"/>
      <c r="I49" s="271"/>
      <c r="J49" s="271"/>
      <c r="K49" s="326"/>
      <c r="L49" s="327"/>
      <c r="M49" s="329"/>
      <c r="N49" s="271"/>
      <c r="O49" s="271"/>
      <c r="P49" s="326"/>
      <c r="Q49" s="327"/>
      <c r="R49" s="329"/>
      <c r="S49" s="271"/>
      <c r="T49" s="271"/>
      <c r="U49" s="326"/>
      <c r="V49" s="327"/>
      <c r="W49" s="329"/>
      <c r="X49" s="271"/>
      <c r="Y49" s="271"/>
      <c r="Z49" s="326"/>
      <c r="AA49" s="327"/>
      <c r="AB49" s="329"/>
      <c r="AC49" s="271"/>
      <c r="AD49" s="271"/>
      <c r="AE49" s="326"/>
      <c r="AF49" s="327"/>
      <c r="AG49" s="329"/>
      <c r="AH49" s="329"/>
      <c r="AI49" s="271"/>
      <c r="AJ49" s="326"/>
      <c r="AK49" s="327"/>
      <c r="AL49" s="329"/>
      <c r="AM49" s="329"/>
      <c r="AN49" s="329"/>
      <c r="AO49" s="329"/>
      <c r="AP49" s="329"/>
    </row>
    <row r="50" spans="2:42" ht="16">
      <c r="B50" s="316"/>
      <c r="C50" s="319" t="s">
        <v>403</v>
      </c>
      <c r="D50" s="271"/>
      <c r="E50" s="330" t="s">
        <v>404</v>
      </c>
      <c r="F50" s="330" t="s">
        <v>405</v>
      </c>
      <c r="G50" s="330" t="s">
        <v>406</v>
      </c>
      <c r="H50" s="330" t="s">
        <v>402</v>
      </c>
      <c r="I50" s="271"/>
      <c r="J50" s="330" t="s">
        <v>404</v>
      </c>
      <c r="K50" s="330" t="s">
        <v>405</v>
      </c>
      <c r="L50" s="330" t="s">
        <v>406</v>
      </c>
      <c r="M50" s="330" t="s">
        <v>402</v>
      </c>
      <c r="N50" s="271"/>
      <c r="O50" s="330" t="s">
        <v>404</v>
      </c>
      <c r="P50" s="330" t="s">
        <v>405</v>
      </c>
      <c r="Q50" s="330" t="s">
        <v>406</v>
      </c>
      <c r="R50" s="330" t="s">
        <v>402</v>
      </c>
      <c r="S50" s="271"/>
      <c r="T50" s="330" t="s">
        <v>404</v>
      </c>
      <c r="U50" s="330" t="s">
        <v>405</v>
      </c>
      <c r="V50" s="330" t="s">
        <v>406</v>
      </c>
      <c r="W50" s="330" t="s">
        <v>402</v>
      </c>
      <c r="X50" s="271"/>
      <c r="Y50" s="330" t="s">
        <v>404</v>
      </c>
      <c r="Z50" s="330" t="s">
        <v>405</v>
      </c>
      <c r="AA50" s="330" t="s">
        <v>406</v>
      </c>
      <c r="AB50" s="330" t="s">
        <v>402</v>
      </c>
      <c r="AC50" s="271"/>
      <c r="AD50" s="330" t="s">
        <v>404</v>
      </c>
      <c r="AE50" s="330" t="s">
        <v>405</v>
      </c>
      <c r="AF50" s="330" t="s">
        <v>406</v>
      </c>
      <c r="AG50" s="330" t="s">
        <v>402</v>
      </c>
      <c r="AH50" s="331"/>
      <c r="AI50" s="330" t="s">
        <v>404</v>
      </c>
      <c r="AJ50" s="330" t="s">
        <v>405</v>
      </c>
      <c r="AK50" s="330" t="s">
        <v>406</v>
      </c>
      <c r="AL50" s="330" t="s">
        <v>402</v>
      </c>
      <c r="AM50" s="331"/>
      <c r="AN50" s="331"/>
      <c r="AO50" s="331"/>
      <c r="AP50" s="331"/>
    </row>
    <row r="51" spans="2:42" ht="16">
      <c r="B51" s="316"/>
      <c r="C51" s="271"/>
      <c r="D51" s="271"/>
      <c r="E51" s="332"/>
      <c r="F51" s="333"/>
      <c r="G51" s="321"/>
      <c r="H51" s="328">
        <f>IFERROR(IF(G51&gt;H$35,0,(+F51/G51)*E51/F51), 0)</f>
        <v>0</v>
      </c>
      <c r="I51" s="271"/>
      <c r="J51" s="332"/>
      <c r="K51" s="333"/>
      <c r="L51" s="321"/>
      <c r="M51" s="328">
        <f>IFERROR(IF(L51&gt;M$35,0,(+K51/L51)*J51/K51),0)</f>
        <v>0</v>
      </c>
      <c r="N51" s="271"/>
      <c r="O51" s="332"/>
      <c r="P51" s="333"/>
      <c r="Q51" s="321"/>
      <c r="R51" s="328">
        <f>IFERROR(IF(Q51&gt;R$35,0,(+P51/Q51)*O51/P51),0)</f>
        <v>0</v>
      </c>
      <c r="S51" s="334"/>
      <c r="T51" s="332"/>
      <c r="U51" s="333"/>
      <c r="V51" s="321"/>
      <c r="W51" s="328">
        <f>IFERROR(IF(V51&gt;W$35,0,(+U51/V51)*T51/U51),0)</f>
        <v>0</v>
      </c>
      <c r="X51" s="334"/>
      <c r="Y51" s="332"/>
      <c r="Z51" s="333"/>
      <c r="AA51" s="321"/>
      <c r="AB51" s="328">
        <f>IFERROR(IF(AA51&gt;AB$35,0,+Y51/AA51-(AB$35*(Y51/AA51)-Y51)*0.5/AB$35),0)</f>
        <v>0</v>
      </c>
      <c r="AC51" s="334"/>
      <c r="AD51" s="332"/>
      <c r="AE51" s="333"/>
      <c r="AF51" s="321"/>
      <c r="AG51" s="328">
        <f>IFERROR(IF(AF51&gt;AG$35,0,+AD51/AF51-(AG$35*(AD51/AF51)-AD51)*0.5/AG$35),0)</f>
        <v>0</v>
      </c>
      <c r="AH51" s="328"/>
      <c r="AI51" s="332"/>
      <c r="AJ51" s="333"/>
      <c r="AK51" s="321"/>
      <c r="AL51" s="328">
        <f>IFERROR(IF(AK51&gt;AL$35,0,+AI51/AK51-(AL$35*(AI51/AK51)-AI51)*0.5/AL$35),0)</f>
        <v>0</v>
      </c>
      <c r="AM51" s="328"/>
      <c r="AN51" s="328"/>
      <c r="AO51" s="328"/>
      <c r="AP51" s="328"/>
    </row>
    <row r="52" spans="2:42" ht="16">
      <c r="B52" s="316"/>
      <c r="C52" s="271"/>
      <c r="D52" s="271"/>
      <c r="E52" s="332"/>
      <c r="F52" s="333"/>
      <c r="G52" s="321"/>
      <c r="H52" s="328">
        <f>IFERROR(IF(G52&gt;H$35,0,(+F52/G52)*E52/F52),0)</f>
        <v>0</v>
      </c>
      <c r="I52" s="271"/>
      <c r="J52" s="332"/>
      <c r="K52" s="333"/>
      <c r="L52" s="321"/>
      <c r="M52" s="328">
        <f>IFERROR(IF(L52&gt;M$35,0,(+K52/L52)*J52/K52),0)</f>
        <v>0</v>
      </c>
      <c r="N52" s="271"/>
      <c r="O52" s="332"/>
      <c r="P52" s="333"/>
      <c r="Q52" s="321"/>
      <c r="R52" s="328">
        <f>IFERROR(IF(Q52&gt;R$35,0,(+P52/Q52)*O52/P52),0)</f>
        <v>0</v>
      </c>
      <c r="S52" s="271"/>
      <c r="T52" s="332"/>
      <c r="U52" s="333"/>
      <c r="V52" s="321"/>
      <c r="W52" s="328">
        <f>IFERROR(IF(V52&gt;W$35,0,(+U52/V52)*T52/U52),0)</f>
        <v>0</v>
      </c>
      <c r="X52" s="271"/>
      <c r="Y52" s="332"/>
      <c r="Z52" s="333"/>
      <c r="AA52" s="321"/>
      <c r="AB52" s="328">
        <f>IFERROR(IF(AA52&gt;AB$35,0,(+Z52/AA52)*Y52/Z52),0)</f>
        <v>0</v>
      </c>
      <c r="AC52" s="271"/>
      <c r="AD52" s="332"/>
      <c r="AE52" s="333"/>
      <c r="AF52" s="321"/>
      <c r="AG52" s="328">
        <f>IFERROR(IF(AF52&gt;AG$35,0,(+AE52/AF52)*AD52/AE52),0)</f>
        <v>0</v>
      </c>
      <c r="AH52" s="328"/>
      <c r="AI52" s="332"/>
      <c r="AJ52" s="333"/>
      <c r="AK52" s="321"/>
      <c r="AL52" s="328">
        <f>IFERROR(IF(AK52&gt;AL$35,0,(+AJ52/AK52)*AI52/AJ52),0)</f>
        <v>0</v>
      </c>
      <c r="AM52" s="328"/>
      <c r="AN52" s="328"/>
      <c r="AO52" s="328"/>
      <c r="AP52" s="328"/>
    </row>
    <row r="53" spans="2:42" ht="16">
      <c r="B53" s="316"/>
      <c r="C53" s="271"/>
      <c r="D53" s="271"/>
      <c r="E53" s="271"/>
      <c r="F53" s="326"/>
      <c r="G53" s="327"/>
      <c r="H53" s="329"/>
      <c r="I53" s="271"/>
      <c r="J53" s="271"/>
      <c r="K53" s="326"/>
      <c r="L53" s="327"/>
      <c r="M53" s="329"/>
      <c r="N53" s="271"/>
      <c r="O53" s="271"/>
      <c r="P53" s="326"/>
      <c r="Q53" s="327"/>
      <c r="R53" s="329"/>
      <c r="S53" s="271"/>
      <c r="T53" s="271"/>
      <c r="U53" s="326"/>
      <c r="V53" s="327"/>
      <c r="W53" s="329"/>
      <c r="X53" s="271"/>
      <c r="Y53" s="271"/>
      <c r="Z53" s="326"/>
      <c r="AA53" s="327"/>
      <c r="AB53" s="329"/>
      <c r="AC53" s="271"/>
      <c r="AD53" s="271"/>
      <c r="AE53" s="326"/>
      <c r="AF53" s="327"/>
      <c r="AG53" s="329"/>
      <c r="AH53" s="329"/>
      <c r="AI53" s="271"/>
      <c r="AJ53" s="326"/>
      <c r="AK53" s="327"/>
      <c r="AL53" s="329"/>
      <c r="AM53" s="329"/>
      <c r="AN53" s="329"/>
      <c r="AO53" s="329"/>
      <c r="AP53" s="329"/>
    </row>
    <row r="54" spans="2:42" ht="16">
      <c r="B54" s="316"/>
      <c r="C54" s="271"/>
      <c r="D54" s="271"/>
      <c r="E54" s="271"/>
      <c r="F54" s="326"/>
      <c r="G54" s="325" t="s">
        <v>407</v>
      </c>
      <c r="H54" s="325" t="s">
        <v>402</v>
      </c>
      <c r="I54" s="271"/>
      <c r="J54" s="271"/>
      <c r="K54" s="326"/>
      <c r="L54" s="325" t="s">
        <v>407</v>
      </c>
      <c r="M54" s="325" t="s">
        <v>402</v>
      </c>
      <c r="N54" s="271"/>
      <c r="O54" s="271"/>
      <c r="P54" s="326"/>
      <c r="Q54" s="325" t="s">
        <v>407</v>
      </c>
      <c r="R54" s="325" t="s">
        <v>402</v>
      </c>
      <c r="S54" s="271"/>
      <c r="T54" s="271"/>
      <c r="U54" s="326"/>
      <c r="V54" s="325" t="s">
        <v>407</v>
      </c>
      <c r="W54" s="325" t="s">
        <v>402</v>
      </c>
      <c r="X54" s="271"/>
      <c r="Y54" s="271"/>
      <c r="Z54" s="326"/>
      <c r="AA54" s="325" t="s">
        <v>407</v>
      </c>
      <c r="AB54" s="325" t="s">
        <v>402</v>
      </c>
      <c r="AC54" s="271"/>
      <c r="AD54" s="271"/>
      <c r="AE54" s="326"/>
      <c r="AF54" s="325" t="s">
        <v>407</v>
      </c>
      <c r="AG54" s="325" t="s">
        <v>402</v>
      </c>
      <c r="AH54" s="325"/>
      <c r="AI54" s="271"/>
      <c r="AJ54" s="326"/>
      <c r="AK54" s="325" t="s">
        <v>407</v>
      </c>
      <c r="AL54" s="325" t="s">
        <v>402</v>
      </c>
      <c r="AM54" s="325"/>
      <c r="AN54" s="325"/>
      <c r="AO54" s="325"/>
      <c r="AP54" s="325"/>
    </row>
    <row r="55" spans="2:42" ht="16">
      <c r="B55" s="316"/>
      <c r="C55" s="319" t="s">
        <v>408</v>
      </c>
      <c r="D55" s="271"/>
      <c r="E55" s="271"/>
      <c r="F55" s="326"/>
      <c r="G55" s="326">
        <f>(321+105+91+71)/Units</f>
        <v>0.58799999999999997</v>
      </c>
      <c r="H55" s="328">
        <f>+G55</f>
        <v>0.58799999999999997</v>
      </c>
      <c r="I55" s="328"/>
      <c r="J55" s="271"/>
      <c r="K55" s="326"/>
      <c r="L55" s="326">
        <v>0</v>
      </c>
      <c r="M55" s="328">
        <f>+L55</f>
        <v>0</v>
      </c>
      <c r="N55" s="271"/>
      <c r="O55" s="271"/>
      <c r="P55" s="326"/>
      <c r="Q55" s="326">
        <v>0</v>
      </c>
      <c r="R55" s="328">
        <f>+Q55</f>
        <v>0</v>
      </c>
      <c r="S55" s="271"/>
      <c r="T55" s="271"/>
      <c r="U55" s="326"/>
      <c r="V55" s="326">
        <v>2</v>
      </c>
      <c r="W55" s="328">
        <f>+V55</f>
        <v>2</v>
      </c>
      <c r="X55" s="271"/>
      <c r="Y55" s="271"/>
      <c r="Z55" s="326"/>
      <c r="AA55" s="326">
        <f>(3470929+976862+513318)/AB36/1000000</f>
        <v>0.17826478620194036</v>
      </c>
      <c r="AB55" s="328">
        <f>+AA55</f>
        <v>0.17826478620194036</v>
      </c>
      <c r="AC55" s="271"/>
      <c r="AD55" s="271"/>
      <c r="AE55" s="326"/>
      <c r="AF55" s="326">
        <f>(8164661+1555793+809887+769882+769882)/AG36/1000000</f>
        <v>0.84347344514325651</v>
      </c>
      <c r="AG55" s="328">
        <f>+AF55</f>
        <v>0.84347344514325651</v>
      </c>
      <c r="AH55" s="328"/>
      <c r="AI55" s="271"/>
      <c r="AJ55" s="326"/>
      <c r="AK55" s="326">
        <v>0</v>
      </c>
      <c r="AL55" s="328">
        <f>+AK55</f>
        <v>0</v>
      </c>
      <c r="AM55" s="328"/>
      <c r="AN55" s="328"/>
      <c r="AO55" s="328"/>
      <c r="AP55" s="328"/>
    </row>
    <row r="56" spans="2:42" ht="16">
      <c r="B56" s="316"/>
      <c r="C56" s="319"/>
      <c r="D56" s="271"/>
      <c r="E56" s="271"/>
      <c r="F56" s="326"/>
      <c r="G56" s="326"/>
      <c r="H56" s="326"/>
      <c r="I56" s="271"/>
      <c r="J56" s="271"/>
      <c r="K56" s="326"/>
      <c r="L56" s="326"/>
      <c r="M56" s="326"/>
      <c r="N56" s="271"/>
      <c r="O56" s="271"/>
      <c r="P56" s="326"/>
      <c r="Q56" s="326"/>
      <c r="R56" s="326"/>
      <c r="S56" s="271"/>
      <c r="T56" s="271"/>
      <c r="U56" s="326"/>
      <c r="V56" s="326"/>
      <c r="W56" s="326"/>
      <c r="X56" s="271"/>
      <c r="Y56" s="271"/>
      <c r="Z56" s="326"/>
      <c r="AA56" s="326"/>
      <c r="AB56" s="326"/>
      <c r="AC56" s="271"/>
      <c r="AD56" s="271"/>
      <c r="AE56" s="326"/>
      <c r="AF56" s="326"/>
      <c r="AG56" s="326"/>
      <c r="AH56" s="326"/>
      <c r="AI56" s="271"/>
      <c r="AJ56" s="326"/>
      <c r="AK56" s="326"/>
      <c r="AL56" s="326"/>
      <c r="AM56" s="326"/>
      <c r="AN56" s="326"/>
      <c r="AO56" s="326"/>
      <c r="AP56" s="326"/>
    </row>
    <row r="57" spans="2:42" ht="16">
      <c r="B57" s="316"/>
      <c r="C57" s="319" t="s">
        <v>409</v>
      </c>
      <c r="D57" s="319"/>
      <c r="E57" s="271"/>
      <c r="F57" s="271"/>
      <c r="G57" s="271"/>
      <c r="H57" s="335">
        <f>+H55+SUM(H40:H48)+SUM(H51:H52)+H37</f>
        <v>98.147999999999996</v>
      </c>
      <c r="I57" s="271"/>
      <c r="J57" s="271"/>
      <c r="K57" s="271"/>
      <c r="L57" s="271"/>
      <c r="M57" s="335">
        <f>+M55+SUM(M40:M48)+SUM(M51:M52)+M37</f>
        <v>193</v>
      </c>
      <c r="N57" s="271"/>
      <c r="O57" s="271"/>
      <c r="P57" s="271"/>
      <c r="Q57" s="271"/>
      <c r="R57" s="335">
        <f>+R55+SUM(R40:R48)+SUM(R51:R52)+R37</f>
        <v>104.8</v>
      </c>
      <c r="S57" s="271"/>
      <c r="T57" s="271"/>
      <c r="U57" s="271"/>
      <c r="V57" s="271"/>
      <c r="W57" s="335">
        <f>+W55+SUM(W40:W48)+SUM(W51:W52)+W37</f>
        <v>82.3</v>
      </c>
      <c r="X57" s="271"/>
      <c r="Y57" s="271"/>
      <c r="Z57" s="271"/>
      <c r="AA57" s="271"/>
      <c r="AB57" s="335">
        <f>+AB55+SUM(AB40:AB48)+SUM(AB51:AB52)+AB37</f>
        <v>89.678264786201936</v>
      </c>
      <c r="AC57" s="271"/>
      <c r="AD57" s="271"/>
      <c r="AE57" s="271"/>
      <c r="AF57" s="271"/>
      <c r="AG57" s="335">
        <f>+AG55+SUM(AG40:AG48)+SUM(AG51:AG52)+AG37</f>
        <v>226.04347344514323</v>
      </c>
      <c r="AH57" s="335"/>
      <c r="AI57" s="271"/>
      <c r="AJ57" s="271"/>
      <c r="AK57" s="271"/>
      <c r="AL57" s="335">
        <f>+AL55+SUM(AL40:AL48)+SUM(AL51:AL52)+AL37</f>
        <v>122.9</v>
      </c>
      <c r="AM57" s="335"/>
      <c r="AN57" s="335"/>
      <c r="AO57" s="335"/>
      <c r="AP57" s="335"/>
    </row>
    <row r="58" spans="2:42" ht="16">
      <c r="B58" s="316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329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</row>
    <row r="59" spans="2:42" ht="16">
      <c r="B59" s="316"/>
      <c r="C59" s="271"/>
      <c r="D59" s="271"/>
      <c r="E59" s="304" t="s">
        <v>410</v>
      </c>
      <c r="F59" s="311"/>
      <c r="G59" s="311"/>
      <c r="H59" s="311"/>
      <c r="I59" s="271"/>
      <c r="J59" s="304" t="s">
        <v>410</v>
      </c>
      <c r="K59" s="311"/>
      <c r="L59" s="311"/>
      <c r="M59" s="311"/>
      <c r="N59" s="271"/>
      <c r="O59" s="304" t="s">
        <v>410</v>
      </c>
      <c r="P59" s="311"/>
      <c r="Q59" s="311"/>
      <c r="R59" s="311"/>
      <c r="S59" s="271"/>
      <c r="T59" s="304" t="s">
        <v>410</v>
      </c>
      <c r="U59" s="311"/>
      <c r="V59" s="311"/>
      <c r="W59" s="311"/>
      <c r="X59" s="271"/>
      <c r="Y59" s="304" t="s">
        <v>410</v>
      </c>
      <c r="Z59" s="311"/>
      <c r="AA59" s="311"/>
      <c r="AB59" s="311"/>
      <c r="AC59" s="271"/>
      <c r="AD59" s="304" t="s">
        <v>410</v>
      </c>
      <c r="AE59" s="311"/>
      <c r="AF59" s="311"/>
      <c r="AG59" s="311"/>
      <c r="AH59" s="318"/>
      <c r="AI59" s="304" t="s">
        <v>410</v>
      </c>
      <c r="AJ59" s="311"/>
      <c r="AK59" s="311"/>
      <c r="AL59" s="311"/>
      <c r="AM59" s="318"/>
      <c r="AN59" s="318"/>
      <c r="AO59" s="318"/>
      <c r="AP59" s="318"/>
    </row>
    <row r="60" spans="2:42" ht="16">
      <c r="B60" s="316"/>
      <c r="C60" s="271"/>
      <c r="D60" s="271"/>
      <c r="E60" s="320"/>
      <c r="F60" s="278"/>
      <c r="G60" s="278"/>
      <c r="H60" s="336"/>
      <c r="I60" s="271"/>
      <c r="J60" s="320"/>
      <c r="K60" s="278"/>
      <c r="L60" s="278"/>
      <c r="M60" s="278"/>
      <c r="N60" s="271"/>
      <c r="O60" s="320"/>
      <c r="P60" s="278"/>
      <c r="Q60" s="278"/>
      <c r="R60" s="278"/>
      <c r="S60" s="271"/>
      <c r="T60" s="320"/>
      <c r="U60" s="278"/>
      <c r="V60" s="278"/>
      <c r="W60" s="278"/>
      <c r="X60" s="271"/>
      <c r="Y60" s="320"/>
      <c r="Z60" s="278"/>
      <c r="AA60" s="278"/>
      <c r="AB60" s="278"/>
      <c r="AC60" s="271"/>
      <c r="AD60" s="320"/>
      <c r="AE60" s="278"/>
      <c r="AF60" s="278"/>
      <c r="AG60" s="278"/>
      <c r="AH60" s="278"/>
      <c r="AI60" s="320"/>
      <c r="AJ60" s="278"/>
      <c r="AK60" s="278"/>
      <c r="AL60" s="278"/>
      <c r="AM60" s="278"/>
      <c r="AN60" s="278"/>
      <c r="AO60" s="278"/>
      <c r="AP60" s="278"/>
    </row>
    <row r="61" spans="2:42" ht="16">
      <c r="B61" s="316"/>
      <c r="C61" s="271" t="s">
        <v>411</v>
      </c>
      <c r="D61" s="271"/>
      <c r="E61" s="320"/>
      <c r="F61" s="278"/>
      <c r="G61" s="278"/>
      <c r="H61" s="337">
        <f>+H57*H36</f>
        <v>2322.1816800000001</v>
      </c>
      <c r="I61" s="271"/>
      <c r="J61" s="320"/>
      <c r="K61" s="278"/>
      <c r="L61" s="278"/>
      <c r="M61" s="337">
        <f>+M57*M36</f>
        <v>10748.17</v>
      </c>
      <c r="N61" s="271"/>
      <c r="O61" s="320"/>
      <c r="P61" s="278"/>
      <c r="Q61" s="278"/>
      <c r="R61" s="337">
        <f>+R57*R36</f>
        <v>2173.5519999999997</v>
      </c>
      <c r="S61" s="271"/>
      <c r="T61" s="320"/>
      <c r="U61" s="278"/>
      <c r="V61" s="278"/>
      <c r="W61" s="337">
        <f>+W57*W36</f>
        <v>1186.7659999999998</v>
      </c>
      <c r="X61" s="271"/>
      <c r="Y61" s="320"/>
      <c r="Z61" s="278"/>
      <c r="AA61" s="278"/>
      <c r="AB61" s="337">
        <f>+AB57*AB36</f>
        <v>2495.7461089999997</v>
      </c>
      <c r="AC61" s="271"/>
      <c r="AD61" s="320"/>
      <c r="AE61" s="278"/>
      <c r="AF61" s="278"/>
      <c r="AG61" s="337">
        <f>+AG57*AG36</f>
        <v>3234.6821049999999</v>
      </c>
      <c r="AH61" s="337"/>
      <c r="AI61" s="320"/>
      <c r="AJ61" s="278"/>
      <c r="AK61" s="278"/>
      <c r="AL61" s="337">
        <f>+AL57*AL36</f>
        <v>2862.3409999999999</v>
      </c>
      <c r="AM61" s="337"/>
      <c r="AN61" s="337"/>
      <c r="AO61" s="337"/>
      <c r="AP61" s="337"/>
    </row>
    <row r="62" spans="2:42" ht="16">
      <c r="B62" s="316"/>
      <c r="C62" s="271" t="s">
        <v>412</v>
      </c>
      <c r="D62" s="271"/>
      <c r="E62" s="271"/>
      <c r="F62" s="271"/>
      <c r="G62" s="271"/>
      <c r="H62" s="338">
        <f>+H61+SUM(H19:H27)</f>
        <v>2233.4066800000001</v>
      </c>
      <c r="I62" s="271"/>
      <c r="J62" s="271"/>
      <c r="K62" s="271"/>
      <c r="L62" s="271"/>
      <c r="M62" s="338">
        <f>+M61+SUM(M19:M27)</f>
        <v>9875.17</v>
      </c>
      <c r="N62" s="271"/>
      <c r="O62" s="271"/>
      <c r="P62" s="271"/>
      <c r="Q62" s="271"/>
      <c r="R62" s="338">
        <f>+R61+SUM(R19:R27)</f>
        <v>2582.5519999999997</v>
      </c>
      <c r="S62" s="271"/>
      <c r="T62" s="271"/>
      <c r="U62" s="271"/>
      <c r="V62" s="271"/>
      <c r="W62" s="338">
        <f>+W61+SUM(W19:W27)</f>
        <v>1971.7659999999998</v>
      </c>
      <c r="X62" s="271"/>
      <c r="Y62" s="271"/>
      <c r="Z62" s="271"/>
      <c r="AA62" s="271"/>
      <c r="AB62" s="338">
        <f>+AB61+SUM(AB19:AB27)</f>
        <v>2570.7461089999997</v>
      </c>
      <c r="AC62" s="271"/>
      <c r="AD62" s="271"/>
      <c r="AE62" s="271"/>
      <c r="AF62" s="271"/>
      <c r="AG62" s="338">
        <f>+AG61+SUM(AG19:AG27)</f>
        <v>3413.6821049999999</v>
      </c>
      <c r="AH62" s="338"/>
      <c r="AI62" s="271"/>
      <c r="AJ62" s="271"/>
      <c r="AK62" s="271"/>
      <c r="AL62" s="338">
        <f>+AL61+SUM(AL19:AL27)</f>
        <v>2176.241</v>
      </c>
      <c r="AM62" s="338"/>
      <c r="AN62" s="338"/>
      <c r="AO62" s="338"/>
      <c r="AP62" s="338"/>
    </row>
    <row r="63" spans="2:42" ht="16">
      <c r="B63" s="316"/>
      <c r="C63" s="271" t="s">
        <v>413</v>
      </c>
      <c r="D63" s="271"/>
      <c r="E63" s="271"/>
      <c r="F63" s="271"/>
      <c r="G63" s="271"/>
      <c r="H63" s="339">
        <v>2.2400000000000002</v>
      </c>
      <c r="I63" s="271"/>
      <c r="J63" s="271"/>
      <c r="K63" s="271"/>
      <c r="L63" s="271"/>
      <c r="M63" s="339">
        <v>1.27</v>
      </c>
      <c r="N63" s="271"/>
      <c r="O63" s="271"/>
      <c r="P63" s="271"/>
      <c r="Q63" s="271"/>
      <c r="R63" s="339">
        <v>1.26</v>
      </c>
      <c r="S63" s="271"/>
      <c r="T63" s="271"/>
      <c r="U63" s="271"/>
      <c r="V63" s="271"/>
      <c r="W63" s="339">
        <v>2.15</v>
      </c>
      <c r="X63" s="271"/>
      <c r="Y63" s="271"/>
      <c r="Z63" s="271"/>
      <c r="AA63" s="271"/>
      <c r="AB63" s="339">
        <v>1.08</v>
      </c>
      <c r="AC63" s="271"/>
      <c r="AD63" s="271"/>
      <c r="AE63" s="271"/>
      <c r="AF63" s="271"/>
      <c r="AG63" s="339">
        <v>1.78</v>
      </c>
      <c r="AH63" s="339"/>
      <c r="AI63" s="271"/>
      <c r="AJ63" s="271"/>
      <c r="AK63" s="271"/>
      <c r="AL63" s="339">
        <v>2.56</v>
      </c>
      <c r="AM63" s="339"/>
      <c r="AN63" s="339"/>
      <c r="AO63" s="339"/>
      <c r="AP63" s="339"/>
    </row>
    <row r="64" spans="2:42" ht="16">
      <c r="B64" s="316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</row>
    <row r="65" spans="2:42" ht="16">
      <c r="B65" s="316"/>
      <c r="C65" s="271"/>
      <c r="D65" s="271"/>
      <c r="E65" s="304" t="s">
        <v>414</v>
      </c>
      <c r="F65" s="311"/>
      <c r="G65" s="311"/>
      <c r="H65" s="311"/>
      <c r="I65" s="271"/>
      <c r="J65" s="304" t="s">
        <v>414</v>
      </c>
      <c r="K65" s="311"/>
      <c r="L65" s="311"/>
      <c r="M65" s="311"/>
      <c r="N65" s="271"/>
      <c r="O65" s="304" t="s">
        <v>414</v>
      </c>
      <c r="P65" s="311"/>
      <c r="Q65" s="311"/>
      <c r="R65" s="311"/>
      <c r="S65" s="271"/>
      <c r="T65" s="304" t="s">
        <v>414</v>
      </c>
      <c r="U65" s="311"/>
      <c r="V65" s="311"/>
      <c r="W65" s="311"/>
      <c r="X65" s="271"/>
      <c r="Y65" s="304" t="s">
        <v>414</v>
      </c>
      <c r="Z65" s="311"/>
      <c r="AA65" s="311"/>
      <c r="AB65" s="311"/>
      <c r="AC65" s="271"/>
      <c r="AD65" s="304" t="s">
        <v>414</v>
      </c>
      <c r="AE65" s="311"/>
      <c r="AF65" s="311"/>
      <c r="AG65" s="311"/>
      <c r="AH65" s="318"/>
      <c r="AI65" s="304" t="s">
        <v>414</v>
      </c>
      <c r="AJ65" s="311"/>
      <c r="AK65" s="311"/>
      <c r="AL65" s="311"/>
      <c r="AM65" s="318"/>
      <c r="AN65" s="318"/>
      <c r="AO65" s="318"/>
      <c r="AP65" s="318"/>
    </row>
    <row r="66" spans="2:42" ht="16">
      <c r="B66" s="316"/>
      <c r="C66" s="271"/>
      <c r="D66" s="271"/>
      <c r="E66" s="340" t="str">
        <f>H7</f>
        <v>LTM</v>
      </c>
      <c r="F66" s="279">
        <f>E30</f>
        <v>46022</v>
      </c>
      <c r="G66" s="279">
        <f>F30</f>
        <v>46387</v>
      </c>
      <c r="H66" s="279">
        <f>G30</f>
        <v>46752</v>
      </c>
      <c r="I66" s="271"/>
      <c r="J66" s="340" t="str">
        <f>M7</f>
        <v>LTM</v>
      </c>
      <c r="K66" s="340">
        <f>J30</f>
        <v>46022</v>
      </c>
      <c r="L66" s="340">
        <f>K30</f>
        <v>46387</v>
      </c>
      <c r="M66" s="340">
        <f>L30</f>
        <v>46752</v>
      </c>
      <c r="N66" s="271"/>
      <c r="O66" s="340" t="str">
        <f>R7</f>
        <v>LTM</v>
      </c>
      <c r="P66" s="340">
        <f>O30</f>
        <v>46022</v>
      </c>
      <c r="Q66" s="340">
        <f>P30</f>
        <v>46387</v>
      </c>
      <c r="R66" s="340">
        <f>Q30</f>
        <v>46752</v>
      </c>
      <c r="S66" s="271"/>
      <c r="T66" s="340" t="str">
        <f>W7</f>
        <v>LTM</v>
      </c>
      <c r="U66" s="340">
        <f>T30</f>
        <v>46022</v>
      </c>
      <c r="V66" s="340">
        <f>U30</f>
        <v>46387</v>
      </c>
      <c r="W66" s="340">
        <f>V30</f>
        <v>46752</v>
      </c>
      <c r="X66" s="271"/>
      <c r="Y66" s="340" t="str">
        <f>AB7</f>
        <v>LTM</v>
      </c>
      <c r="Z66" s="340">
        <f>Y30</f>
        <v>46022</v>
      </c>
      <c r="AA66" s="340">
        <f>Z30</f>
        <v>46387</v>
      </c>
      <c r="AB66" s="340">
        <f>AA30</f>
        <v>46752</v>
      </c>
      <c r="AC66" s="271"/>
      <c r="AD66" s="340" t="str">
        <f>AG7</f>
        <v>LTM</v>
      </c>
      <c r="AE66" s="340">
        <f>AD30</f>
        <v>46022</v>
      </c>
      <c r="AF66" s="340">
        <f>AE30</f>
        <v>46387</v>
      </c>
      <c r="AG66" s="340">
        <f>AF30</f>
        <v>46752</v>
      </c>
      <c r="AH66" s="341"/>
      <c r="AI66" s="340" t="str">
        <f>AL7</f>
        <v>LTM</v>
      </c>
      <c r="AJ66" s="340">
        <f>AI30</f>
        <v>46022</v>
      </c>
      <c r="AK66" s="340">
        <f>AJ30</f>
        <v>46387</v>
      </c>
      <c r="AL66" s="340">
        <f>AK30</f>
        <v>46752</v>
      </c>
      <c r="AM66" s="341"/>
      <c r="AN66" s="341"/>
      <c r="AO66" s="341"/>
      <c r="AP66" s="341"/>
    </row>
    <row r="67" spans="2:42" ht="16">
      <c r="B67" s="316"/>
      <c r="C67" s="271" t="s">
        <v>415</v>
      </c>
      <c r="D67" s="271"/>
      <c r="E67" s="342">
        <f>IFERROR(IF(OR(+H$62/H8&lt;0,+H$62/H8&gt;=100),"NM",+H$62/H8), "N/A")</f>
        <v>3.9865888652874713</v>
      </c>
      <c r="F67" s="342">
        <f>IFERROR(IF(OR(+H62/E31&lt;0,+H62/E31&gt;=100),"NM",+H62/E31), "N/A")</f>
        <v>3.3185834769687963</v>
      </c>
      <c r="G67" s="342">
        <f t="shared" ref="G67:H68" si="20">IFERROR(IF(OR(+$H$62/F31&lt;0,+$H$62/F31&gt;=100),"NM",+$H$62/F31), "N/A")</f>
        <v>2.9978613154362415</v>
      </c>
      <c r="H67" s="342">
        <f t="shared" si="20"/>
        <v>1.8604012556358929</v>
      </c>
      <c r="I67" s="271"/>
      <c r="J67" s="342">
        <f>IFERROR(IF(OR(+M$62/M8&lt;0,+M$62/M8&gt;=100),"NM",+M$62/M8),"N/A")</f>
        <v>3.1917162249515192</v>
      </c>
      <c r="K67" s="342">
        <f>IFERROR(IF(OR(+$M$62/J31&lt;0,+$M$62/J31&gt;=100),"NM",+$M$62/J31), "N/A")</f>
        <v>3.1083317595215614</v>
      </c>
      <c r="L67" s="342">
        <f t="shared" ref="L67:M67" si="21">IFERROR(IF(OR(+$M$62/K31&lt;0,+$M$62/K31&gt;=100),"NM",+$M$62/K31), "N/A")</f>
        <v>2.7786072031513789</v>
      </c>
      <c r="M67" s="342">
        <f t="shared" si="21"/>
        <v>2.5346945585215606</v>
      </c>
      <c r="N67" s="271"/>
      <c r="O67" s="342">
        <f>IFERROR(IF(OR(+R$62/R8&lt;0,+R$62/R8&gt;=100),"NM",+R$62/R8),"N/A")</f>
        <v>1.0702660588479069</v>
      </c>
      <c r="P67" s="342" t="str">
        <f>IFERROR(IF(OR(+$R$62/O31&lt;0,+$R$62/O31&gt;=100),"NM",+$R$62/O31), "N/A")</f>
        <v>N/A</v>
      </c>
      <c r="Q67" s="342">
        <f>IFERROR(IF(OR(+R62/P31&lt;0,+R62/P31&gt;=100),"NM",+R62/P31), "N/A")</f>
        <v>1.6480867900446712</v>
      </c>
      <c r="R67" s="342">
        <f>IFERROR(IF(OR(+R62/Q31&lt;0,+R62/Q31&gt;=100),"NM",+R62/Q31), "N/A")</f>
        <v>1.7367531943510421</v>
      </c>
      <c r="S67" s="271"/>
      <c r="T67" s="342">
        <f>IFERROR(IF(OR(+W$62/W8&lt;0,+W$62/W8&gt;=100),"NM",+W$62/W8),"N/A")</f>
        <v>1.1083563799887577</v>
      </c>
      <c r="U67" s="342" t="str">
        <f>IFERROR(IF(OR(+$W$62/T31&lt;0,+$W$62/T31&gt;=100),"NM",+$W$62/T31), "N/A")</f>
        <v>N/A</v>
      </c>
      <c r="V67" s="342">
        <f t="shared" ref="V67:W68" si="22">IFERROR(IF(OR(+$W$62/U31&lt;0,+$W$62/U31&gt;=100),"NM",+$W$62/U31), "N/A")</f>
        <v>2.0560646506777891</v>
      </c>
      <c r="W67" s="342">
        <f t="shared" si="22"/>
        <v>1.6162016393442622</v>
      </c>
      <c r="X67" s="271"/>
      <c r="Y67" s="342">
        <f>IFERROR(IF(OR(+AB$62/AB8&lt;0,+AB$62/AB8&gt;=100),"NM",+AB$62/AB8),"N/A")</f>
        <v>5.8962066720183479</v>
      </c>
      <c r="Z67" s="342" t="str">
        <f>IFERROR(IF(OR(+$AB$62/Y31&lt;0,+$AB$62/Y31&gt;=100),"NM",+$AB$62/Y31), "N/A")</f>
        <v>N/A</v>
      </c>
      <c r="AA67" s="342">
        <f t="shared" ref="AA67:AB67" si="23">IFERROR(IF(OR(+$AB$62/Z31&lt;0,+$AB$62/Z31&gt;=100),"NM",+$AB$62/Z31), "N/A")</f>
        <v>3.7584007441520462</v>
      </c>
      <c r="AB67" s="342">
        <f t="shared" si="23"/>
        <v>2.8374681114790286</v>
      </c>
      <c r="AC67" s="271"/>
      <c r="AD67" s="342">
        <f>IFERROR(IF(OR(+AG$62/AG8&lt;0,+AG$62/AG8&gt;=100),"NM",+AG$62/AG8),"N/A")</f>
        <v>5.6989684557595988</v>
      </c>
      <c r="AE67" s="342">
        <f t="shared" ref="AE67:AF67" si="24">IFERROR(IF(OR(+$AG$62/AD31&lt;0,+$AG$62/AD31&gt;=100),"NM",+$AG$62/AD31), "N/A")</f>
        <v>5.4271575596184416</v>
      </c>
      <c r="AF67" s="342">
        <f t="shared" si="24"/>
        <v>4.5821236308724833</v>
      </c>
      <c r="AG67" s="342">
        <f>IFERROR(IF(OR(+$AG$62/AF31&lt;0,+$AG$62/AF31&gt;=100),"NM",+$AG$62/AF31), "N/A")</f>
        <v>3.8924539395667046</v>
      </c>
      <c r="AH67" s="342"/>
      <c r="AI67" s="342">
        <f>IFERROR(IF(OR(+AL$62/AL8&lt;0,+AL$62/AL8&gt;=100),"NM",+AL$62/AL8),"N/A")</f>
        <v>3.7651228373702423</v>
      </c>
      <c r="AJ67" s="342">
        <f t="shared" ref="AJ67:AK67" si="25">IFERROR(IF(OR(+$AG$62/AI31&lt;0,+$AG$62/AI31&gt;=100),"NM",+$AG$62/AI31), "N/A")</f>
        <v>5.9060244031141869</v>
      </c>
      <c r="AK67" s="342">
        <f t="shared" si="25"/>
        <v>5.5507026097560974</v>
      </c>
      <c r="AL67" s="342">
        <f>IFERROR(IF(OR(+$AG$62/AK31&lt;0,+$AG$62/AK31&gt;=100),"NM",+$AG$62/AK31), "N/A")</f>
        <v>5.1026638340807171</v>
      </c>
      <c r="AM67" s="342"/>
      <c r="AN67" s="342"/>
      <c r="AO67" s="342"/>
      <c r="AP67" s="342"/>
    </row>
    <row r="68" spans="2:42" ht="16">
      <c r="B68" s="316"/>
      <c r="C68" s="271" t="s">
        <v>416</v>
      </c>
      <c r="D68" s="271"/>
      <c r="E68" s="342" t="str">
        <f>IFERROR(IF(OR(+H$62/H14&lt;0,+H$62/H14&gt;=100),"NM",+H$62/H14), "N/A")</f>
        <v>NM</v>
      </c>
      <c r="F68" s="342" t="str">
        <f>IFERROR(IF(OR(+$H$62/E32&lt;0,+$H$62/E32&gt;=100),"NM",+$H$62/E32), "N/A")</f>
        <v>NM</v>
      </c>
      <c r="G68" s="342" t="str">
        <f t="shared" si="20"/>
        <v>NM</v>
      </c>
      <c r="H68" s="342">
        <f t="shared" si="20"/>
        <v>6.9756986883965988</v>
      </c>
      <c r="I68" s="271"/>
      <c r="J68" s="342">
        <f>IFERROR(IF(OR(+M$62/M14&lt;0,+M$62/M14&gt;=100),"NM",+M$62/M14),"N/A")</f>
        <v>13.883270068887953</v>
      </c>
      <c r="K68" s="342">
        <f>IFERROR(IF(OR(+$M$62/J32&lt;0,+$M$62/J32&gt;=100),"NM",+$M$62/J32),"N/A")</f>
        <v>15.526996855345912</v>
      </c>
      <c r="L68" s="342">
        <f t="shared" ref="L68:M68" si="26">IFERROR(IF(OR(+$M$62/K32&lt;0,+$M$62/K32&gt;=100),"NM",+$M$62/K32),"N/A")</f>
        <v>8.9449003623188403</v>
      </c>
      <c r="M68" s="342">
        <f t="shared" si="26"/>
        <v>7.5729831288343563</v>
      </c>
      <c r="N68" s="271"/>
      <c r="O68" s="342" t="str">
        <f>IFERROR(IF(OR(+$R$62/R14&lt;0,+$R$62/R14&gt;=100),"NM",+$R$62/R14),"N/A")</f>
        <v>NM</v>
      </c>
      <c r="P68" s="342" t="str">
        <f>IFERROR(IF(OR(+$R$62/O32&lt;0,+$R$62/O32&gt;=100),"NM",+$R$62/O32),"N/A")</f>
        <v>N/A</v>
      </c>
      <c r="Q68" s="342">
        <f t="shared" ref="Q68:R68" si="27">IFERROR(IF(OR(+$R$62/P32&lt;0,+$R$62/P32&gt;=100),"NM",+$R$62/P32),"N/A")</f>
        <v>7.5513216374268994</v>
      </c>
      <c r="R68" s="342">
        <f t="shared" si="27"/>
        <v>7.2340392156862734</v>
      </c>
      <c r="S68" s="271"/>
      <c r="T68" s="342">
        <f>IFERROR(IF(OR(+W$62/W14&lt;0,+W$62/W14&gt;=100),"NM",+W$62/W14),"N/A")</f>
        <v>2.6728924073797931</v>
      </c>
      <c r="U68" s="342" t="str">
        <f>IFERROR(IF(OR(+$W$62/T32&lt;0,+$W$62/T32&gt;=100),"NM",+$W$62/T32), "N/A")</f>
        <v>N/A</v>
      </c>
      <c r="V68" s="342">
        <f t="shared" si="22"/>
        <v>48.091853658536579</v>
      </c>
      <c r="W68" s="342">
        <f t="shared" si="22"/>
        <v>7.4688106060606057</v>
      </c>
      <c r="X68" s="271"/>
      <c r="Y68" s="342" t="str">
        <f>IFERROR(IF(OR(+AB$62/AB14&lt;0,+AB$62/AB14&gt;=100),"NM",+AB$62/AB14),"N/A")</f>
        <v>NM</v>
      </c>
      <c r="Z68" s="342" t="str">
        <f>IFERROR(IF(OR(+$AB$62/Y32&lt;0,+$AB$62/Y32&gt;=100),"NM",+$AB$62/Y32),"N/A")</f>
        <v>N/A</v>
      </c>
      <c r="AA68" s="342">
        <f t="shared" ref="AA68:AB68" si="28">IFERROR(IF(OR(+$AB$62/Z32&lt;0,+$AB$62/Z32&gt;=100),"NM",+$AB$62/Z32),"N/A")</f>
        <v>13.971446244565216</v>
      </c>
      <c r="AB68" s="342">
        <f t="shared" si="28"/>
        <v>5.5523674060475159</v>
      </c>
      <c r="AC68" s="271"/>
      <c r="AD68" s="342">
        <f>IFERROR(IF(OR(+AG$62/AG14&lt;0,+AG$62/AG14&gt;=100),"NM",+AG$62/AG14),"N/A")</f>
        <v>74.534543777292583</v>
      </c>
      <c r="AE68" s="342">
        <f>IFERROR(IF(OR(+$AG$62/AD32&lt;0,+$AG$62/AD32&gt;=100),"NM",+$AG$62/AD32),"N/A")</f>
        <v>44.333533831168829</v>
      </c>
      <c r="AF68" s="342">
        <f t="shared" ref="AF68:AG68" si="29">IFERROR(IF(OR(+$AG$62/AE32&lt;0,+$AG$62/AE32&gt;=100),"NM",+$AG$62/AE32),"N/A")</f>
        <v>22.910618154362414</v>
      </c>
      <c r="AG68" s="342">
        <f t="shared" si="29"/>
        <v>13.82057532388664</v>
      </c>
      <c r="AH68" s="342"/>
      <c r="AI68" s="342">
        <f>IFERROR(IF(OR(+AL$62/AL14&lt;0,+AL$62/AL14&gt;=100),"NM",+AL$62/AL14),"N/A")</f>
        <v>7.635933333333333</v>
      </c>
      <c r="AJ68" s="342">
        <f>IFERROR(IF(OR(+$AG$62/AI32&lt;0,+$AG$62/AI32&gt;=100),"NM",+$AG$62/AI32),"N/A")</f>
        <v>14.906908755458515</v>
      </c>
      <c r="AK68" s="342">
        <f t="shared" ref="AK68:AL68" si="30">IFERROR(IF(OR(+$AG$62/AJ32&lt;0,+$AG$62/AJ32&gt;=100),"NM",+$AG$62/AJ32),"N/A")</f>
        <v>12.2794320323741</v>
      </c>
      <c r="AL68" s="342">
        <f t="shared" si="30"/>
        <v>10.344491227272727</v>
      </c>
      <c r="AM68" s="342"/>
      <c r="AN68" s="342"/>
      <c r="AO68" s="342"/>
      <c r="AP68" s="342"/>
    </row>
    <row r="69" spans="2:42" ht="16">
      <c r="B69" s="316"/>
      <c r="C69" s="271" t="s">
        <v>417</v>
      </c>
      <c r="D69" s="271"/>
      <c r="E69" s="342" t="str">
        <f>IFERROR(IF(OR(+H$61/H9&lt;0,+H$61/H9&gt;=100),"NM",+H$61/H9), "N/A")</f>
        <v>NM</v>
      </c>
      <c r="F69" s="342" t="str">
        <f>IFERROR(IF(OR($H$61/E$33&lt;0,+$H$61/E$33&gt;=100),"NM",+$H$61/E$33), "N/A")</f>
        <v>NM</v>
      </c>
      <c r="G69" s="342" t="str">
        <f>IFERROR(IF(OR(H61/F$33&lt;0,+H61/F$33&gt;=100),"NM",+H61/F$33), "N/A")</f>
        <v>NM</v>
      </c>
      <c r="H69" s="342">
        <f>IFERROR(IF(OR(H61/G$33&lt;0,+H61/G$33&gt;=100),"NM",+H61/G$33), "N/A")</f>
        <v>10.939763794023719</v>
      </c>
      <c r="I69" s="271"/>
      <c r="J69" s="342">
        <f>IFERROR(IF(OR(+M$61/M9&lt;0,+M$61/M9&gt;=100),"NM",+M$61/M9), "N/A")</f>
        <v>20.669557692307691</v>
      </c>
      <c r="K69" s="342">
        <f>IFERROR(IF(OR($M$61/J$33&lt;0,+$M$61/J$33&gt;=100),"NM",+$M$61/J$33), "N/A")</f>
        <v>20.433783269961978</v>
      </c>
      <c r="L69" s="342">
        <f>IFERROR(IF(OR(M61/K$33&lt;0,+M61/K$33&gt;=100),"NM",+M61/K$33), "N/A")</f>
        <v>12.527004662004662</v>
      </c>
      <c r="M69" s="342">
        <f t="shared" ref="M69" si="31">IFERROR(IF(OR(M61/L$33&lt;0,+M61/L$33&gt;=100),"NM",+M61/L$33), "N/A")</f>
        <v>10.334778846153846</v>
      </c>
      <c r="N69" s="271"/>
      <c r="O69" s="342" t="str">
        <f>IFERROR(IF(OR(+R$61/R9&lt;0,+R$61/R9&gt;=100),"NM",+R$61/R9), "N/A")</f>
        <v>NM</v>
      </c>
      <c r="P69" s="342" t="str">
        <f>IFERROR(IF(OR($R$61/O$33&lt;0,+$R$61/O$33&gt;=100),"NM",+$R$61/O$33), "N/A")</f>
        <v>N/A</v>
      </c>
      <c r="Q69" s="342">
        <f>IFERROR(IF(OR(R61/P$33&lt;0,+R61/P$33&gt;=100),"NM",+R61/P$33), "N/A")</f>
        <v>11.50027513227513</v>
      </c>
      <c r="R69" s="342">
        <f t="shared" ref="R69" si="32">IFERROR(IF(OR(R61/Q$33&lt;0,+R61/Q$33&gt;=100),"NM",+R61/Q$33), "N/A")</f>
        <v>9.1325714285714277</v>
      </c>
      <c r="S69" s="271"/>
      <c r="T69" s="342">
        <f>IFERROR(IF(OR(+W$61/W9&lt;0,+W$61/W9&gt;=100),"NM",+W$61/W9),"N/A")</f>
        <v>1.580247669773635</v>
      </c>
      <c r="U69" s="342" t="str">
        <f>IFERROR(IF(OR(+W$61/T33&lt;0,+W$61/T33&gt;=100),"NM",+W$61/T33),"N/A")</f>
        <v>N/A</v>
      </c>
      <c r="V69" s="342" t="str">
        <f>IFERROR(IF(OR(+W$61/U33&lt;0,+W$61/U33&gt;=100),"NM",+W$61/U33),"N/A")</f>
        <v>NM</v>
      </c>
      <c r="W69" s="342">
        <f>IFERROR(IF(OR(+W$61/V33&lt;0,+W$61/V33&gt;=100),"NM",+W$61/V33),"N/A")</f>
        <v>9.7275901639344244</v>
      </c>
      <c r="X69" s="271"/>
      <c r="Y69" s="342" t="str">
        <f>IFERROR(IF(OR(+AB$61/AB9&lt;0,+AB$61/AB9&gt;=100),"NM",+AB$61/AB9),"N/A")</f>
        <v>NM</v>
      </c>
      <c r="Z69" s="342" t="str">
        <f>IFERROR(IF(OR(+$AB$61/Y33&lt;0,+$AB$61/Y33&gt;=100),"NM",+$AB$61/Y33),"N/A")</f>
        <v>N/A</v>
      </c>
      <c r="AA69" s="342">
        <f t="shared" ref="AA69:AB69" si="33">IFERROR(IF(OR(+$AB$61/Z33&lt;0,+$AB$61/Z33&gt;=100),"NM",+$AB$61/Z33),"N/A")</f>
        <v>34.188302863013696</v>
      </c>
      <c r="AB69" s="342">
        <f t="shared" si="33"/>
        <v>13.490519508108106</v>
      </c>
      <c r="AC69" s="271"/>
      <c r="AD69" s="342" t="str">
        <f>IFERROR(IF(OR(+AG$61/AG9&lt;0,+AG$61/AG9&gt;=100),"NM",+AG$61/AG9),"N/A")</f>
        <v>NM</v>
      </c>
      <c r="AE69" s="342" t="str">
        <f>IFERROR(IF(OR(+$AG$61/AD33&lt;0,+$AG$61/AD33&gt;=100),"NM",+$AG$61/AD33),"N/A")</f>
        <v>NM</v>
      </c>
      <c r="AF69" s="342">
        <f t="shared" ref="AF69:AG69" si="34">IFERROR(IF(OR(+$AG$61/AE33&lt;0,+$AG$61/AE33&gt;=100),"NM",+$AG$61/AE33),"N/A")</f>
        <v>40.4335263125</v>
      </c>
      <c r="AG69" s="342">
        <f t="shared" si="34"/>
        <v>22.463070173611111</v>
      </c>
      <c r="AH69" s="342"/>
      <c r="AI69" s="342">
        <f>IFERROR(IF(OR(+AL$61/AL9&lt;0,+AL$61/AL9&gt;=100),"NM",+AL$61/AL9),"N/A")</f>
        <v>13.070050228310501</v>
      </c>
      <c r="AJ69" s="342">
        <f>IFERROR(IF(OR(+$AG$61/AI33&lt;0,+$AG$61/AI33&gt;=100),"NM",+$AG$61/AI33),"N/A")</f>
        <v>15.856284828431372</v>
      </c>
      <c r="AK69" s="342">
        <f t="shared" ref="AK69:AL69" si="35">IFERROR(IF(OR(+$AG$61/AJ33&lt;0,+$AG$61/AJ33&gt;=100),"NM",+$AG$61/AJ33),"N/A")</f>
        <v>14.770237922374429</v>
      </c>
      <c r="AL69" s="342">
        <f t="shared" si="35"/>
        <v>13.043073004032257</v>
      </c>
      <c r="AM69" s="342"/>
      <c r="AN69" s="342"/>
      <c r="AO69" s="342"/>
      <c r="AP69" s="342"/>
    </row>
    <row r="70" spans="2:42" ht="16">
      <c r="B70" s="316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</row>
    <row r="71" spans="2:42" ht="16">
      <c r="B71" s="316"/>
      <c r="C71" s="271"/>
      <c r="D71" s="271"/>
      <c r="E71" s="304" t="s">
        <v>418</v>
      </c>
      <c r="F71" s="311"/>
      <c r="G71" s="311"/>
      <c r="H71" s="311"/>
      <c r="I71" s="271"/>
      <c r="J71" s="304" t="s">
        <v>418</v>
      </c>
      <c r="K71" s="311"/>
      <c r="L71" s="311"/>
      <c r="M71" s="311"/>
      <c r="N71" s="271"/>
      <c r="O71" s="304" t="s">
        <v>418</v>
      </c>
      <c r="P71" s="311"/>
      <c r="Q71" s="311"/>
      <c r="R71" s="311"/>
      <c r="S71" s="271"/>
      <c r="T71" s="304" t="s">
        <v>418</v>
      </c>
      <c r="U71" s="311"/>
      <c r="V71" s="311"/>
      <c r="W71" s="311"/>
      <c r="X71" s="271"/>
      <c r="Y71" s="304" t="s">
        <v>418</v>
      </c>
      <c r="Z71" s="311"/>
      <c r="AA71" s="311"/>
      <c r="AB71" s="311"/>
      <c r="AC71" s="271"/>
      <c r="AD71" s="304" t="s">
        <v>418</v>
      </c>
      <c r="AE71" s="311"/>
      <c r="AF71" s="311"/>
      <c r="AG71" s="311"/>
      <c r="AH71" s="318"/>
      <c r="AI71" s="304" t="s">
        <v>418</v>
      </c>
      <c r="AJ71" s="311"/>
      <c r="AK71" s="311"/>
      <c r="AL71" s="311"/>
      <c r="AM71" s="318"/>
      <c r="AN71" s="318"/>
      <c r="AO71" s="318"/>
      <c r="AP71" s="318"/>
    </row>
    <row r="72" spans="2:42" ht="16">
      <c r="B72" s="316"/>
      <c r="C72" s="271"/>
      <c r="D72" s="271"/>
      <c r="E72" s="343"/>
      <c r="F72" s="343"/>
      <c r="G72" s="343"/>
      <c r="H72" s="343"/>
      <c r="I72" s="271"/>
      <c r="J72" s="343"/>
      <c r="K72" s="343"/>
      <c r="L72" s="343"/>
      <c r="M72" s="343"/>
      <c r="N72" s="271"/>
      <c r="O72" s="343"/>
      <c r="P72" s="343"/>
      <c r="Q72" s="343"/>
      <c r="R72" s="343"/>
      <c r="S72" s="271"/>
      <c r="T72" s="343"/>
      <c r="U72" s="343"/>
      <c r="V72" s="343"/>
      <c r="W72" s="343"/>
      <c r="X72" s="271"/>
      <c r="Y72" s="343"/>
      <c r="Z72" s="343"/>
      <c r="AA72" s="343"/>
      <c r="AB72" s="343"/>
      <c r="AC72" s="271"/>
      <c r="AD72" s="343"/>
      <c r="AE72" s="343"/>
      <c r="AF72" s="343"/>
      <c r="AG72" s="343"/>
      <c r="AH72" s="271"/>
      <c r="AI72" s="343"/>
      <c r="AJ72" s="343"/>
      <c r="AK72" s="343"/>
      <c r="AL72" s="343"/>
      <c r="AM72" s="271"/>
      <c r="AN72" s="271"/>
      <c r="AO72" s="271"/>
      <c r="AP72" s="271"/>
    </row>
    <row r="73" spans="2:42" ht="16">
      <c r="B73" s="316"/>
      <c r="C73" s="271" t="str">
        <f>TEXT(Forward_Year_1,"yyyy-mm-dd")&amp;" "&amp;C31</f>
        <v>2025-12-31 Revenue:</v>
      </c>
      <c r="D73" s="271"/>
      <c r="E73" s="343"/>
      <c r="F73" s="343"/>
      <c r="G73" s="343"/>
      <c r="H73" s="344">
        <f>+E31</f>
        <v>673</v>
      </c>
      <c r="I73" s="271"/>
      <c r="J73" s="343"/>
      <c r="K73" s="343"/>
      <c r="L73" s="343"/>
      <c r="M73" s="344">
        <f>+J31</f>
        <v>3177</v>
      </c>
      <c r="N73" s="271"/>
      <c r="O73" s="343"/>
      <c r="P73" s="343"/>
      <c r="Q73" s="343"/>
      <c r="R73" s="344">
        <f>+O31</f>
        <v>0</v>
      </c>
      <c r="S73" s="271"/>
      <c r="T73" s="343"/>
      <c r="U73" s="343"/>
      <c r="V73" s="343"/>
      <c r="W73" s="344">
        <f>+T31</f>
        <v>0</v>
      </c>
      <c r="X73" s="271"/>
      <c r="Y73" s="343"/>
      <c r="Z73" s="343"/>
      <c r="AA73" s="343"/>
      <c r="AB73" s="344">
        <f>+Y31</f>
        <v>0</v>
      </c>
      <c r="AC73" s="271"/>
      <c r="AD73" s="343"/>
      <c r="AE73" s="343"/>
      <c r="AF73" s="343"/>
      <c r="AG73" s="344">
        <f>+AD31</f>
        <v>629</v>
      </c>
      <c r="AH73" s="344"/>
      <c r="AI73" s="343"/>
      <c r="AJ73" s="343"/>
      <c r="AK73" s="343"/>
      <c r="AL73" s="344">
        <f>+AI31</f>
        <v>578</v>
      </c>
      <c r="AM73" s="344"/>
      <c r="AN73" s="344"/>
      <c r="AO73" s="344"/>
      <c r="AP73" s="344"/>
    </row>
    <row r="74" spans="2:42" ht="16">
      <c r="B74" s="316"/>
      <c r="C74" s="271" t="str">
        <f>TEXT(Forward_Year_1,"yyyy-mm-dd")&amp;" "&amp;C32</f>
        <v>2025-12-31 EBITDA:</v>
      </c>
      <c r="D74" s="271"/>
      <c r="E74" s="343"/>
      <c r="F74" s="343"/>
      <c r="G74" s="343"/>
      <c r="H74" s="345">
        <f>+E32</f>
        <v>-508.22188069164571</v>
      </c>
      <c r="I74" s="271"/>
      <c r="J74" s="343"/>
      <c r="K74" s="343"/>
      <c r="L74" s="343"/>
      <c r="M74" s="345">
        <f>+J32</f>
        <v>636</v>
      </c>
      <c r="N74" s="271"/>
      <c r="O74" s="343"/>
      <c r="P74" s="343"/>
      <c r="Q74" s="343"/>
      <c r="R74" s="345">
        <f>+O32</f>
        <v>0</v>
      </c>
      <c r="S74" s="271"/>
      <c r="T74" s="343"/>
      <c r="U74" s="343"/>
      <c r="V74" s="343"/>
      <c r="W74" s="345">
        <f>+T32</f>
        <v>0</v>
      </c>
      <c r="X74" s="271"/>
      <c r="Y74" s="343"/>
      <c r="Z74" s="343"/>
      <c r="AA74" s="343"/>
      <c r="AB74" s="345">
        <f>+Y32</f>
        <v>0</v>
      </c>
      <c r="AC74" s="271"/>
      <c r="AD74" s="343"/>
      <c r="AE74" s="343"/>
      <c r="AF74" s="343"/>
      <c r="AG74" s="345">
        <f>+AD32</f>
        <v>77</v>
      </c>
      <c r="AH74" s="345"/>
      <c r="AI74" s="343"/>
      <c r="AJ74" s="343"/>
      <c r="AK74" s="343"/>
      <c r="AL74" s="345">
        <f>+AI32</f>
        <v>229</v>
      </c>
      <c r="AM74" s="345"/>
      <c r="AN74" s="345"/>
      <c r="AO74" s="345"/>
      <c r="AP74" s="345"/>
    </row>
    <row r="75" spans="2:42" ht="16">
      <c r="B75" s="316"/>
      <c r="C75" s="271" t="str">
        <f>TEXT(Forward_Year_1,"yyyy-mm-dd")&amp;" "&amp;C33</f>
        <v>2025-12-31 Reported Net Income:</v>
      </c>
      <c r="D75" s="271"/>
      <c r="E75" s="343"/>
      <c r="F75" s="343"/>
      <c r="G75" s="343"/>
      <c r="H75" s="345">
        <f>+E33</f>
        <v>-586.93659000000002</v>
      </c>
      <c r="I75" s="271"/>
      <c r="J75" s="343"/>
      <c r="K75" s="343"/>
      <c r="L75" s="343"/>
      <c r="M75" s="345">
        <f>+J33</f>
        <v>526</v>
      </c>
      <c r="N75" s="271"/>
      <c r="O75" s="343"/>
      <c r="P75" s="343"/>
      <c r="Q75" s="343"/>
      <c r="R75" s="345">
        <f>+O33</f>
        <v>0</v>
      </c>
      <c r="S75" s="271"/>
      <c r="T75" s="343"/>
      <c r="U75" s="343"/>
      <c r="V75" s="343"/>
      <c r="W75" s="345">
        <f>+T33</f>
        <v>0</v>
      </c>
      <c r="X75" s="271"/>
      <c r="Y75" s="343"/>
      <c r="Z75" s="343"/>
      <c r="AA75" s="343"/>
      <c r="AB75" s="345">
        <f>+Y33</f>
        <v>0</v>
      </c>
      <c r="AC75" s="271"/>
      <c r="AD75" s="343"/>
      <c r="AE75" s="343"/>
      <c r="AF75" s="343"/>
      <c r="AG75" s="345">
        <f>+AD33</f>
        <v>-6</v>
      </c>
      <c r="AH75" s="345"/>
      <c r="AI75" s="343"/>
      <c r="AJ75" s="343"/>
      <c r="AK75" s="343"/>
      <c r="AL75" s="345">
        <f>+AI33</f>
        <v>204</v>
      </c>
      <c r="AM75" s="345"/>
      <c r="AN75" s="345"/>
      <c r="AO75" s="345"/>
      <c r="AP75" s="345"/>
    </row>
    <row r="76" spans="2:42" ht="16">
      <c r="B76" s="316"/>
      <c r="C76" s="271"/>
      <c r="D76" s="271"/>
      <c r="E76" s="343"/>
      <c r="F76" s="343"/>
      <c r="G76" s="343"/>
      <c r="H76" s="343"/>
      <c r="I76" s="271"/>
      <c r="J76" s="343"/>
      <c r="K76" s="343"/>
      <c r="L76" s="343"/>
      <c r="M76" s="343"/>
      <c r="N76" s="271"/>
      <c r="O76" s="343"/>
      <c r="P76" s="343"/>
      <c r="Q76" s="343"/>
      <c r="R76" s="343"/>
      <c r="S76" s="271"/>
      <c r="T76" s="343"/>
      <c r="U76" s="343"/>
      <c r="V76" s="343"/>
      <c r="W76" s="343"/>
      <c r="X76" s="271"/>
      <c r="Y76" s="343"/>
      <c r="Z76" s="343"/>
      <c r="AA76" s="343"/>
      <c r="AB76" s="343"/>
      <c r="AC76" s="271"/>
      <c r="AD76" s="343"/>
      <c r="AE76" s="343"/>
      <c r="AF76" s="343"/>
      <c r="AG76" s="343"/>
      <c r="AH76" s="271"/>
      <c r="AI76" s="343"/>
      <c r="AJ76" s="343"/>
      <c r="AK76" s="343"/>
      <c r="AL76" s="343"/>
      <c r="AM76" s="271"/>
      <c r="AN76" s="271"/>
      <c r="AO76" s="271"/>
      <c r="AP76" s="271"/>
    </row>
    <row r="77" spans="2:42" ht="16">
      <c r="B77" s="316"/>
      <c r="C77" s="271" t="str">
        <f>TEXT(Forward_Year_2,"yyyy-mm-dd")&amp;" "&amp;C31</f>
        <v>2026-12-31 Revenue:</v>
      </c>
      <c r="D77" s="271"/>
      <c r="E77" s="343"/>
      <c r="F77" s="343"/>
      <c r="G77" s="343"/>
      <c r="H77" s="346">
        <f>+F31</f>
        <v>745</v>
      </c>
      <c r="I77" s="271"/>
      <c r="J77" s="343"/>
      <c r="K77" s="343"/>
      <c r="L77" s="343"/>
      <c r="M77" s="346">
        <f>+K31</f>
        <v>3554</v>
      </c>
      <c r="N77" s="271"/>
      <c r="O77" s="343"/>
      <c r="P77" s="343"/>
      <c r="Q77" s="343"/>
      <c r="R77" s="346">
        <f>+P31</f>
        <v>1567</v>
      </c>
      <c r="S77" s="271"/>
      <c r="T77" s="343"/>
      <c r="U77" s="343"/>
      <c r="V77" s="343"/>
      <c r="W77" s="346">
        <f>+U31</f>
        <v>959</v>
      </c>
      <c r="X77" s="271"/>
      <c r="Y77" s="343"/>
      <c r="Z77" s="343"/>
      <c r="AA77" s="343"/>
      <c r="AB77" s="346">
        <f>+Z31</f>
        <v>684</v>
      </c>
      <c r="AC77" s="271"/>
      <c r="AD77" s="343"/>
      <c r="AE77" s="343"/>
      <c r="AF77" s="343"/>
      <c r="AG77" s="346">
        <f>+AE31</f>
        <v>745</v>
      </c>
      <c r="AH77" s="346"/>
      <c r="AI77" s="343"/>
      <c r="AJ77" s="343"/>
      <c r="AK77" s="343"/>
      <c r="AL77" s="346">
        <f>+AJ31</f>
        <v>615</v>
      </c>
      <c r="AM77" s="346"/>
      <c r="AN77" s="346"/>
      <c r="AO77" s="346"/>
      <c r="AP77" s="346"/>
    </row>
    <row r="78" spans="2:42" ht="16">
      <c r="B78" s="316"/>
      <c r="C78" s="271" t="str">
        <f>TEXT(Forward_Year_2,"yyyy-mm-dd")&amp;" "&amp;C32</f>
        <v>2026-12-31 EBITDA:</v>
      </c>
      <c r="D78" s="271"/>
      <c r="E78" s="343"/>
      <c r="F78" s="343"/>
      <c r="G78" s="343"/>
      <c r="H78" s="345">
        <f>+F32</f>
        <v>-364.82964444486214</v>
      </c>
      <c r="I78" s="271"/>
      <c r="J78" s="343"/>
      <c r="K78" s="343"/>
      <c r="L78" s="343"/>
      <c r="M78" s="345">
        <f>+K32</f>
        <v>1104</v>
      </c>
      <c r="N78" s="271"/>
      <c r="O78" s="343"/>
      <c r="P78" s="343"/>
      <c r="Q78" s="343"/>
      <c r="R78" s="345">
        <f>+P32</f>
        <v>342</v>
      </c>
      <c r="S78" s="271"/>
      <c r="T78" s="343"/>
      <c r="U78" s="343"/>
      <c r="V78" s="343"/>
      <c r="W78" s="345">
        <f>+U32</f>
        <v>41</v>
      </c>
      <c r="X78" s="271"/>
      <c r="Y78" s="343"/>
      <c r="Z78" s="343"/>
      <c r="AA78" s="343"/>
      <c r="AB78" s="345">
        <f>+Z32</f>
        <v>184</v>
      </c>
      <c r="AC78" s="271"/>
      <c r="AD78" s="343"/>
      <c r="AE78" s="343"/>
      <c r="AF78" s="343"/>
      <c r="AG78" s="345">
        <f>+AE32</f>
        <v>149</v>
      </c>
      <c r="AH78" s="345"/>
      <c r="AI78" s="343"/>
      <c r="AJ78" s="343"/>
      <c r="AK78" s="343"/>
      <c r="AL78" s="345">
        <f>+AJ32</f>
        <v>278</v>
      </c>
      <c r="AM78" s="345"/>
      <c r="AN78" s="345"/>
      <c r="AO78" s="345"/>
      <c r="AP78" s="345"/>
    </row>
    <row r="79" spans="2:42" ht="16">
      <c r="B79" s="316"/>
      <c r="C79" s="271" t="str">
        <f>TEXT(Forward_Year_2,"yyyy-mm-dd")&amp;" "&amp;C33</f>
        <v>2026-12-31 Reported Net Income:</v>
      </c>
      <c r="D79" s="271"/>
      <c r="E79" s="343"/>
      <c r="F79" s="343"/>
      <c r="G79" s="343"/>
      <c r="H79" s="345">
        <f>+F33</f>
        <v>-451.26659560674341</v>
      </c>
      <c r="I79" s="271"/>
      <c r="J79" s="343"/>
      <c r="K79" s="343"/>
      <c r="L79" s="343"/>
      <c r="M79" s="345">
        <f>+K33</f>
        <v>858</v>
      </c>
      <c r="N79" s="271"/>
      <c r="O79" s="343"/>
      <c r="P79" s="343"/>
      <c r="Q79" s="343"/>
      <c r="R79" s="345">
        <f>+P33</f>
        <v>189</v>
      </c>
      <c r="S79" s="271"/>
      <c r="T79" s="343"/>
      <c r="U79" s="343"/>
      <c r="V79" s="343"/>
      <c r="W79" s="345">
        <f>+U33</f>
        <v>-128</v>
      </c>
      <c r="X79" s="271"/>
      <c r="Y79" s="343"/>
      <c r="Z79" s="343"/>
      <c r="AA79" s="343"/>
      <c r="AB79" s="345">
        <f>+Z33</f>
        <v>73</v>
      </c>
      <c r="AC79" s="271"/>
      <c r="AD79" s="343"/>
      <c r="AE79" s="343"/>
      <c r="AF79" s="343"/>
      <c r="AG79" s="345">
        <f>+AE33</f>
        <v>80</v>
      </c>
      <c r="AH79" s="345"/>
      <c r="AI79" s="343"/>
      <c r="AJ79" s="343"/>
      <c r="AK79" s="343"/>
      <c r="AL79" s="345">
        <f>+AJ33</f>
        <v>219</v>
      </c>
      <c r="AM79" s="345"/>
      <c r="AN79" s="345"/>
      <c r="AO79" s="345"/>
      <c r="AP79" s="345"/>
    </row>
    <row r="80" spans="2:42" ht="16">
      <c r="B80" s="316"/>
      <c r="C80" s="271"/>
      <c r="D80" s="271"/>
      <c r="E80" s="343"/>
      <c r="F80" s="343"/>
      <c r="G80" s="343"/>
      <c r="H80" s="343"/>
      <c r="I80" s="271"/>
      <c r="J80" s="343"/>
      <c r="K80" s="343"/>
      <c r="L80" s="343"/>
      <c r="M80" s="343"/>
      <c r="N80" s="271"/>
      <c r="O80" s="343"/>
      <c r="P80" s="343"/>
      <c r="Q80" s="343"/>
      <c r="R80" s="343"/>
      <c r="S80" s="271"/>
      <c r="T80" s="343"/>
      <c r="U80" s="343"/>
      <c r="V80" s="343"/>
      <c r="W80" s="343"/>
      <c r="X80" s="271"/>
      <c r="Y80" s="343"/>
      <c r="Z80" s="343"/>
      <c r="AA80" s="343"/>
      <c r="AB80" s="343"/>
      <c r="AC80" s="271"/>
      <c r="AD80" s="343"/>
      <c r="AE80" s="343"/>
      <c r="AF80" s="343"/>
      <c r="AG80" s="343"/>
      <c r="AH80" s="271"/>
      <c r="AI80" s="343"/>
      <c r="AJ80" s="343"/>
      <c r="AK80" s="343"/>
      <c r="AL80" s="343"/>
      <c r="AM80" s="271"/>
      <c r="AN80" s="271"/>
      <c r="AO80" s="271"/>
      <c r="AP80" s="271"/>
    </row>
    <row r="81" spans="2:42" ht="16">
      <c r="B81" s="316"/>
      <c r="C81" s="271" t="str">
        <f>TEXT(Forward_Year_3,"yyyy-mm-dd")&amp;" "&amp;C31</f>
        <v>2027-12-31 Revenue:</v>
      </c>
      <c r="D81" s="271"/>
      <c r="E81" s="343"/>
      <c r="F81" s="343"/>
      <c r="G81" s="343"/>
      <c r="H81" s="345">
        <f>+G31</f>
        <v>1200.4972976846398</v>
      </c>
      <c r="I81" s="271"/>
      <c r="J81" s="343"/>
      <c r="K81" s="343"/>
      <c r="L81" s="343"/>
      <c r="M81" s="345">
        <f>+L31</f>
        <v>3896</v>
      </c>
      <c r="N81" s="271"/>
      <c r="O81" s="343"/>
      <c r="P81" s="343"/>
      <c r="Q81" s="343"/>
      <c r="R81" s="345">
        <f>+Q31</f>
        <v>1487</v>
      </c>
      <c r="S81" s="271"/>
      <c r="T81" s="343"/>
      <c r="U81" s="343"/>
      <c r="V81" s="343"/>
      <c r="W81" s="345">
        <f>+V31</f>
        <v>1220</v>
      </c>
      <c r="X81" s="271"/>
      <c r="Y81" s="343"/>
      <c r="Z81" s="343"/>
      <c r="AA81" s="343"/>
      <c r="AB81" s="345">
        <f>+AA31</f>
        <v>906</v>
      </c>
      <c r="AC81" s="271"/>
      <c r="AD81" s="343"/>
      <c r="AE81" s="343"/>
      <c r="AF81" s="343"/>
      <c r="AG81" s="345">
        <f>+AF31</f>
        <v>877</v>
      </c>
      <c r="AH81" s="345"/>
      <c r="AI81" s="343"/>
      <c r="AJ81" s="343"/>
      <c r="AK81" s="343"/>
      <c r="AL81" s="345">
        <f>+AK31</f>
        <v>669</v>
      </c>
      <c r="AM81" s="345"/>
      <c r="AN81" s="345"/>
      <c r="AO81" s="345"/>
      <c r="AP81" s="345"/>
    </row>
    <row r="82" spans="2:42" ht="16">
      <c r="B82" s="316"/>
      <c r="C82" s="271" t="str">
        <f>TEXT(Forward_Year_3,"yyyy-mm-dd")&amp;" "&amp;C32</f>
        <v>2027-12-31 EBITDA:</v>
      </c>
      <c r="D82" s="271"/>
      <c r="E82" s="343"/>
      <c r="F82" s="343"/>
      <c r="G82" s="343"/>
      <c r="H82" s="345">
        <f>+G32</f>
        <v>320.16960304134932</v>
      </c>
      <c r="I82" s="271"/>
      <c r="J82" s="343"/>
      <c r="K82" s="343"/>
      <c r="L82" s="343"/>
      <c r="M82" s="345">
        <f>+L32</f>
        <v>1304</v>
      </c>
      <c r="N82" s="271"/>
      <c r="O82" s="343"/>
      <c r="P82" s="343"/>
      <c r="Q82" s="343"/>
      <c r="R82" s="345">
        <f>+Q32</f>
        <v>357</v>
      </c>
      <c r="S82" s="271"/>
      <c r="T82" s="343"/>
      <c r="U82" s="343"/>
      <c r="V82" s="343"/>
      <c r="W82" s="345">
        <f>+V32</f>
        <v>264</v>
      </c>
      <c r="X82" s="271"/>
      <c r="Y82" s="343"/>
      <c r="Z82" s="343"/>
      <c r="AA82" s="343"/>
      <c r="AB82" s="345">
        <f>+AA32</f>
        <v>463</v>
      </c>
      <c r="AC82" s="271"/>
      <c r="AD82" s="343"/>
      <c r="AE82" s="343"/>
      <c r="AF82" s="343"/>
      <c r="AG82" s="345">
        <f>+AF32</f>
        <v>247</v>
      </c>
      <c r="AH82" s="345"/>
      <c r="AI82" s="343"/>
      <c r="AJ82" s="343"/>
      <c r="AK82" s="343"/>
      <c r="AL82" s="345">
        <f>+AK32</f>
        <v>330</v>
      </c>
      <c r="AM82" s="345"/>
      <c r="AN82" s="345"/>
      <c r="AO82" s="345"/>
      <c r="AP82" s="345"/>
    </row>
    <row r="83" spans="2:42" ht="16">
      <c r="B83" s="316"/>
      <c r="C83" s="271" t="str">
        <f>TEXT(Forward_Year_3,"yyyy-mm-dd")&amp;" "&amp;C33</f>
        <v>2027-12-31 Reported Net Income:</v>
      </c>
      <c r="D83" s="271"/>
      <c r="E83" s="343"/>
      <c r="F83" s="343"/>
      <c r="G83" s="343"/>
      <c r="H83" s="345">
        <f>+G33</f>
        <v>212.2698189579362</v>
      </c>
      <c r="I83" s="271"/>
      <c r="J83" s="343"/>
      <c r="K83" s="343"/>
      <c r="L83" s="343"/>
      <c r="M83" s="345">
        <f>+L33</f>
        <v>1040</v>
      </c>
      <c r="N83" s="271"/>
      <c r="O83" s="343"/>
      <c r="P83" s="343"/>
      <c r="Q83" s="343"/>
      <c r="R83" s="345">
        <f>+Q33</f>
        <v>238</v>
      </c>
      <c r="S83" s="271"/>
      <c r="T83" s="343"/>
      <c r="U83" s="343"/>
      <c r="V83" s="343"/>
      <c r="W83" s="345">
        <f>+V33</f>
        <v>122</v>
      </c>
      <c r="X83" s="271"/>
      <c r="Y83" s="343"/>
      <c r="Z83" s="343"/>
      <c r="AA83" s="343"/>
      <c r="AB83" s="345">
        <f>+AA33</f>
        <v>185</v>
      </c>
      <c r="AC83" s="271"/>
      <c r="AD83" s="343"/>
      <c r="AE83" s="343"/>
      <c r="AF83" s="343"/>
      <c r="AG83" s="345">
        <f>+AF33</f>
        <v>144</v>
      </c>
      <c r="AH83" s="345"/>
      <c r="AI83" s="343"/>
      <c r="AJ83" s="343"/>
      <c r="AK83" s="343"/>
      <c r="AL83" s="345">
        <f>+AK33</f>
        <v>248</v>
      </c>
      <c r="AM83" s="345"/>
      <c r="AN83" s="345"/>
      <c r="AO83" s="345"/>
      <c r="AP83" s="345"/>
    </row>
    <row r="84" spans="2:42" ht="16">
      <c r="B84" s="316"/>
      <c r="C84" s="271"/>
      <c r="D84" s="271"/>
      <c r="E84" s="343"/>
      <c r="F84" s="343"/>
      <c r="G84" s="343"/>
      <c r="H84" s="343"/>
      <c r="I84" s="271"/>
      <c r="J84" s="343"/>
      <c r="K84" s="343"/>
      <c r="L84" s="343"/>
      <c r="M84" s="343"/>
      <c r="N84" s="271"/>
      <c r="O84" s="343"/>
      <c r="P84" s="343"/>
      <c r="Q84" s="343"/>
      <c r="R84" s="343"/>
      <c r="S84" s="271"/>
      <c r="T84" s="343"/>
      <c r="U84" s="343"/>
      <c r="V84" s="343"/>
      <c r="W84" s="343"/>
      <c r="X84" s="271"/>
      <c r="Y84" s="343"/>
      <c r="Z84" s="343"/>
      <c r="AA84" s="343"/>
      <c r="AB84" s="343"/>
      <c r="AC84" s="271"/>
      <c r="AD84" s="343"/>
      <c r="AE84" s="343"/>
      <c r="AF84" s="343"/>
      <c r="AG84" s="343"/>
      <c r="AH84" s="271"/>
      <c r="AI84" s="343"/>
      <c r="AJ84" s="343"/>
      <c r="AK84" s="343"/>
      <c r="AL84" s="343"/>
      <c r="AM84" s="271"/>
      <c r="AN84" s="271"/>
      <c r="AO84" s="271"/>
      <c r="AP84" s="271"/>
    </row>
    <row r="85" spans="2:42" ht="16">
      <c r="B85" s="316"/>
      <c r="C85" s="271" t="s">
        <v>419</v>
      </c>
      <c r="D85" s="271"/>
      <c r="E85" s="343"/>
      <c r="F85" s="343"/>
      <c r="G85" s="343"/>
      <c r="H85" s="347">
        <f>IFERROR(+H77/H73-1,"N/A")</f>
        <v>0.10698365527488862</v>
      </c>
      <c r="I85" s="271"/>
      <c r="J85" s="343"/>
      <c r="K85" s="343"/>
      <c r="L85" s="343"/>
      <c r="M85" s="347">
        <f>IFERROR(+M77/M73-1,"N/A")</f>
        <v>0.11866540761724909</v>
      </c>
      <c r="N85" s="271"/>
      <c r="O85" s="343"/>
      <c r="P85" s="343"/>
      <c r="Q85" s="343"/>
      <c r="R85" s="347" t="str">
        <f>IFERROR(+R77/R73-1,"N/A")</f>
        <v>N/A</v>
      </c>
      <c r="S85" s="271"/>
      <c r="T85" s="343"/>
      <c r="U85" s="343"/>
      <c r="V85" s="343"/>
      <c r="W85" s="347" t="str">
        <f>IFERROR(+W77/W73-1,"N/A")</f>
        <v>N/A</v>
      </c>
      <c r="X85" s="271"/>
      <c r="Y85" s="343"/>
      <c r="Z85" s="343"/>
      <c r="AA85" s="343"/>
      <c r="AB85" s="347" t="str">
        <f>IFERROR(+AB77/AB73-1,"N/A")</f>
        <v>N/A</v>
      </c>
      <c r="AC85" s="271"/>
      <c r="AD85" s="343"/>
      <c r="AE85" s="343"/>
      <c r="AF85" s="343"/>
      <c r="AG85" s="347">
        <f>IFERROR(+AG77/AG73-1,"N/A")</f>
        <v>0.18441971383147848</v>
      </c>
      <c r="AH85" s="347"/>
      <c r="AI85" s="343"/>
      <c r="AJ85" s="343"/>
      <c r="AK85" s="343"/>
      <c r="AL85" s="347">
        <f>IFERROR(+AL77/AL73-1,"N/A")</f>
        <v>6.4013840830449809E-2</v>
      </c>
      <c r="AM85" s="347"/>
      <c r="AN85" s="347"/>
      <c r="AO85" s="347"/>
      <c r="AP85" s="347"/>
    </row>
    <row r="86" spans="2:42" ht="16">
      <c r="B86" s="316"/>
      <c r="C86" s="271" t="s">
        <v>420</v>
      </c>
      <c r="D86" s="271"/>
      <c r="E86" s="343"/>
      <c r="F86" s="343"/>
      <c r="G86" s="343"/>
      <c r="H86" s="347">
        <f>IFERROR(+H78/H74-1,"N/A")</f>
        <v>-0.28214494828841141</v>
      </c>
      <c r="I86" s="271"/>
      <c r="J86" s="343"/>
      <c r="K86" s="343"/>
      <c r="L86" s="343"/>
      <c r="M86" s="347">
        <f>IFERROR(+M78/M74-1,"N/A")</f>
        <v>0.73584905660377364</v>
      </c>
      <c r="N86" s="271"/>
      <c r="O86" s="343"/>
      <c r="P86" s="343"/>
      <c r="Q86" s="343"/>
      <c r="R86" s="347" t="str">
        <f>IFERROR(+R78/R74-1,"N/A")</f>
        <v>N/A</v>
      </c>
      <c r="S86" s="271"/>
      <c r="T86" s="343"/>
      <c r="U86" s="343"/>
      <c r="V86" s="343"/>
      <c r="W86" s="347" t="str">
        <f>IFERROR(+W78/W74-1,"N/A")</f>
        <v>N/A</v>
      </c>
      <c r="X86" s="271"/>
      <c r="Y86" s="343"/>
      <c r="Z86" s="343"/>
      <c r="AA86" s="343"/>
      <c r="AB86" s="347" t="str">
        <f>IFERROR(+AB78/AB74-1,"N/A")</f>
        <v>N/A</v>
      </c>
      <c r="AC86" s="271"/>
      <c r="AD86" s="343"/>
      <c r="AE86" s="343"/>
      <c r="AF86" s="343"/>
      <c r="AG86" s="347">
        <f>IFERROR(+AG78/AG74-1,"N/A")</f>
        <v>0.93506493506493515</v>
      </c>
      <c r="AH86" s="347"/>
      <c r="AI86" s="343"/>
      <c r="AJ86" s="343"/>
      <c r="AK86" s="343"/>
      <c r="AL86" s="347">
        <f>IFERROR(+AL78/AL74-1,"N/A")</f>
        <v>0.2139737991266375</v>
      </c>
      <c r="AM86" s="347"/>
      <c r="AN86" s="347"/>
      <c r="AO86" s="347"/>
      <c r="AP86" s="347"/>
    </row>
    <row r="87" spans="2:42" ht="16">
      <c r="B87" s="316"/>
      <c r="C87" s="271"/>
      <c r="D87" s="271"/>
      <c r="E87" s="343"/>
      <c r="F87" s="343"/>
      <c r="G87" s="343"/>
      <c r="H87" s="343"/>
      <c r="I87" s="271"/>
      <c r="J87" s="343"/>
      <c r="K87" s="343"/>
      <c r="L87" s="343"/>
      <c r="M87" s="343"/>
      <c r="N87" s="271"/>
      <c r="O87" s="343"/>
      <c r="P87" s="343"/>
      <c r="Q87" s="343"/>
      <c r="R87" s="343"/>
      <c r="S87" s="271"/>
      <c r="T87" s="343"/>
      <c r="U87" s="343"/>
      <c r="V87" s="343"/>
      <c r="W87" s="343"/>
      <c r="X87" s="271"/>
      <c r="Y87" s="343"/>
      <c r="Z87" s="343"/>
      <c r="AA87" s="343"/>
      <c r="AB87" s="343"/>
      <c r="AC87" s="271"/>
      <c r="AD87" s="343"/>
      <c r="AE87" s="343"/>
      <c r="AF87" s="343"/>
      <c r="AG87" s="343"/>
      <c r="AH87" s="271"/>
      <c r="AI87" s="343"/>
      <c r="AJ87" s="343"/>
      <c r="AK87" s="343"/>
      <c r="AL87" s="343"/>
      <c r="AM87" s="271"/>
      <c r="AN87" s="271"/>
      <c r="AO87" s="271"/>
      <c r="AP87" s="271"/>
    </row>
    <row r="88" spans="2:42" ht="16">
      <c r="B88" s="316"/>
      <c r="C88" s="271" t="s">
        <v>421</v>
      </c>
      <c r="D88" s="271"/>
      <c r="E88" s="343"/>
      <c r="F88" s="343"/>
      <c r="G88" s="343"/>
      <c r="H88" s="347">
        <f>IFERROR(+H14/H8,"N/A")</f>
        <v>-0.95670171179694041</v>
      </c>
      <c r="I88" s="271"/>
      <c r="J88" s="343"/>
      <c r="K88" s="343"/>
      <c r="L88" s="343"/>
      <c r="M88" s="347">
        <f>IFERROR(+M14/M8,"N/A")</f>
        <v>0.22989657401422106</v>
      </c>
      <c r="N88" s="271"/>
      <c r="O88" s="343"/>
      <c r="P88" s="343"/>
      <c r="Q88" s="343"/>
      <c r="R88" s="347">
        <f>IFERROR(+R14/R8,"N/A")</f>
        <v>-3.3982594280978037E-2</v>
      </c>
      <c r="S88" s="271"/>
      <c r="T88" s="343"/>
      <c r="U88" s="343"/>
      <c r="V88" s="343"/>
      <c r="W88" s="347">
        <f>IFERROR(+W14/W8,"N/A")</f>
        <v>0.41466554243957282</v>
      </c>
      <c r="X88" s="271"/>
      <c r="Y88" s="343"/>
      <c r="Z88" s="343"/>
      <c r="AA88" s="343"/>
      <c r="AB88" s="347">
        <f>IFERROR(+AB14/AB8,"N/A")</f>
        <v>-0.19954128440366972</v>
      </c>
      <c r="AC88" s="271"/>
      <c r="AD88" s="343"/>
      <c r="AE88" s="343"/>
      <c r="AF88" s="343"/>
      <c r="AG88" s="347">
        <f>IFERROR(+AG14/AG8,"N/A")</f>
        <v>7.6460767946577621E-2</v>
      </c>
      <c r="AH88" s="347"/>
      <c r="AI88" s="343"/>
      <c r="AJ88" s="343"/>
      <c r="AK88" s="343"/>
      <c r="AL88" s="347">
        <f>IFERROR(+AL14/AL8,"N/A")</f>
        <v>0.49307958477508651</v>
      </c>
      <c r="AM88" s="347"/>
      <c r="AN88" s="347"/>
      <c r="AO88" s="347"/>
      <c r="AP88" s="347"/>
    </row>
    <row r="89" spans="2:42" ht="16">
      <c r="B89" s="316"/>
      <c r="C89" s="271" t="str">
        <f>TEXT(Forward_Year_1,"yyyy-mm-dd")&amp;" EBITDA Margin:"</f>
        <v>2025-12-31 EBITDA Margin:</v>
      </c>
      <c r="D89" s="271"/>
      <c r="E89" s="343"/>
      <c r="F89" s="343"/>
      <c r="G89" s="343"/>
      <c r="H89" s="347">
        <f>IFERROR(+H74/H73,"N/A")</f>
        <v>-0.75515881232042448</v>
      </c>
      <c r="I89" s="271"/>
      <c r="J89" s="343"/>
      <c r="K89" s="343"/>
      <c r="L89" s="343"/>
      <c r="M89" s="347">
        <f>IFERROR(+M74/M73,"N/A")</f>
        <v>0.20018885741265344</v>
      </c>
      <c r="N89" s="271"/>
      <c r="O89" s="343"/>
      <c r="P89" s="343"/>
      <c r="Q89" s="343"/>
      <c r="R89" s="347" t="str">
        <f>IFERROR(+R74/R73,"N/A")</f>
        <v>N/A</v>
      </c>
      <c r="S89" s="271"/>
      <c r="T89" s="343"/>
      <c r="U89" s="343"/>
      <c r="V89" s="343"/>
      <c r="W89" s="347" t="str">
        <f>IFERROR(+W74/W73,"N/A")</f>
        <v>N/A</v>
      </c>
      <c r="X89" s="271"/>
      <c r="Y89" s="343"/>
      <c r="Z89" s="343"/>
      <c r="AA89" s="343"/>
      <c r="AB89" s="347" t="str">
        <f>IFERROR(+AB74/AB73,"N/A")</f>
        <v>N/A</v>
      </c>
      <c r="AC89" s="271"/>
      <c r="AD89" s="343"/>
      <c r="AE89" s="343"/>
      <c r="AF89" s="343"/>
      <c r="AG89" s="347">
        <f>IFERROR(+AG74/AG73,"N/A")</f>
        <v>0.12241653418124006</v>
      </c>
      <c r="AH89" s="347"/>
      <c r="AI89" s="343"/>
      <c r="AJ89" s="343"/>
      <c r="AK89" s="343"/>
      <c r="AL89" s="347">
        <f>IFERROR(+AL74/AL73,"N/A")</f>
        <v>0.3961937716262976</v>
      </c>
      <c r="AM89" s="347"/>
      <c r="AN89" s="347"/>
      <c r="AO89" s="347"/>
      <c r="AP89" s="347"/>
    </row>
    <row r="90" spans="2:42" ht="16">
      <c r="B90" s="316"/>
      <c r="C90" s="271" t="str">
        <f>TEXT(Forward_Year_2,"yyyy-mm-dd")&amp;" EBITDA Margin:"</f>
        <v>2026-12-31 EBITDA Margin:</v>
      </c>
      <c r="D90" s="271"/>
      <c r="E90" s="343"/>
      <c r="F90" s="343"/>
      <c r="G90" s="343"/>
      <c r="H90" s="347">
        <f>IFERROR(+H78/H77,"N/A")</f>
        <v>-0.48970422073135855</v>
      </c>
      <c r="I90" s="271"/>
      <c r="J90" s="343"/>
      <c r="K90" s="343"/>
      <c r="L90" s="343"/>
      <c r="M90" s="347">
        <f>IFERROR(+M78/M77,"N/A")</f>
        <v>0.31063590320765333</v>
      </c>
      <c r="N90" s="271"/>
      <c r="O90" s="343"/>
      <c r="P90" s="343"/>
      <c r="Q90" s="343"/>
      <c r="R90" s="347">
        <f>IFERROR(+R78/R77,"N/A")</f>
        <v>0.21825143586470963</v>
      </c>
      <c r="S90" s="271"/>
      <c r="T90" s="343"/>
      <c r="U90" s="343"/>
      <c r="V90" s="343"/>
      <c r="W90" s="347">
        <f>IFERROR(+W78/W77,"N/A")</f>
        <v>4.2752867570385822E-2</v>
      </c>
      <c r="X90" s="271"/>
      <c r="Y90" s="343"/>
      <c r="Z90" s="343"/>
      <c r="AA90" s="343"/>
      <c r="AB90" s="347">
        <f>IFERROR(+AB78/AB77,"N/A")</f>
        <v>0.26900584795321636</v>
      </c>
      <c r="AC90" s="271"/>
      <c r="AD90" s="343"/>
      <c r="AE90" s="343"/>
      <c r="AF90" s="343"/>
      <c r="AG90" s="347">
        <f>IFERROR(+AG78/AG77,"N/A")</f>
        <v>0.2</v>
      </c>
      <c r="AH90" s="347"/>
      <c r="AI90" s="343"/>
      <c r="AJ90" s="343"/>
      <c r="AK90" s="343"/>
      <c r="AL90" s="347">
        <f>IFERROR(+AL78/AL77,"N/A")</f>
        <v>0.45203252032520325</v>
      </c>
      <c r="AM90" s="347"/>
      <c r="AN90" s="347"/>
      <c r="AO90" s="347"/>
      <c r="AP90" s="347"/>
    </row>
    <row r="91" spans="2:42" ht="16">
      <c r="B91" s="316"/>
      <c r="C91" s="271"/>
      <c r="D91" s="271"/>
      <c r="E91" s="343"/>
      <c r="F91" s="343"/>
      <c r="G91" s="343"/>
      <c r="H91" s="343"/>
      <c r="I91" s="271"/>
      <c r="J91" s="343"/>
      <c r="K91" s="343"/>
      <c r="L91" s="343"/>
      <c r="M91" s="343"/>
      <c r="N91" s="271"/>
      <c r="O91" s="343"/>
      <c r="P91" s="343"/>
      <c r="Q91" s="343"/>
      <c r="R91" s="343"/>
      <c r="S91" s="271"/>
      <c r="T91" s="343"/>
      <c r="U91" s="343"/>
      <c r="V91" s="343"/>
      <c r="W91" s="343"/>
      <c r="X91" s="271"/>
      <c r="Y91" s="343"/>
      <c r="Z91" s="343"/>
      <c r="AA91" s="343"/>
      <c r="AB91" s="343"/>
      <c r="AC91" s="271"/>
      <c r="AD91" s="343"/>
      <c r="AE91" s="343"/>
      <c r="AF91" s="343"/>
      <c r="AG91" s="343"/>
      <c r="AH91" s="271"/>
      <c r="AI91" s="343"/>
      <c r="AJ91" s="343"/>
      <c r="AK91" s="343"/>
      <c r="AL91" s="343"/>
      <c r="AM91" s="271"/>
      <c r="AN91" s="271"/>
      <c r="AO91" s="271"/>
      <c r="AP91" s="271"/>
    </row>
    <row r="92" spans="2:42" ht="16">
      <c r="B92" s="316"/>
      <c r="C92" s="271" t="str">
        <f>TEXT(E66,"mm/dd/yyyy")&amp;" "&amp;C67</f>
        <v>LTM EV / Revenue:</v>
      </c>
      <c r="D92" s="271"/>
      <c r="E92" s="343"/>
      <c r="F92" s="343"/>
      <c r="G92" s="343"/>
      <c r="H92" s="342">
        <f>+E67</f>
        <v>3.9865888652874713</v>
      </c>
      <c r="I92" s="271"/>
      <c r="J92" s="343"/>
      <c r="K92" s="343"/>
      <c r="L92" s="343"/>
      <c r="M92" s="342">
        <f>+J67</f>
        <v>3.1917162249515192</v>
      </c>
      <c r="N92" s="271"/>
      <c r="O92" s="343"/>
      <c r="P92" s="343"/>
      <c r="Q92" s="343"/>
      <c r="R92" s="342">
        <f>+O67</f>
        <v>1.0702660588479069</v>
      </c>
      <c r="S92" s="271"/>
      <c r="T92" s="343"/>
      <c r="U92" s="343"/>
      <c r="V92" s="343"/>
      <c r="W92" s="342">
        <f>+T67</f>
        <v>1.1083563799887577</v>
      </c>
      <c r="X92" s="271"/>
      <c r="Y92" s="343"/>
      <c r="Z92" s="343"/>
      <c r="AA92" s="343"/>
      <c r="AB92" s="342">
        <f>+Y67</f>
        <v>5.8962066720183479</v>
      </c>
      <c r="AC92" s="271"/>
      <c r="AD92" s="343"/>
      <c r="AE92" s="343"/>
      <c r="AF92" s="343"/>
      <c r="AG92" s="342">
        <f>+AD67</f>
        <v>5.6989684557595988</v>
      </c>
      <c r="AH92" s="342"/>
      <c r="AI92" s="343"/>
      <c r="AJ92" s="343"/>
      <c r="AK92" s="343"/>
      <c r="AL92" s="342">
        <f>+AI67</f>
        <v>3.7651228373702423</v>
      </c>
      <c r="AM92" s="342"/>
      <c r="AN92" s="342"/>
      <c r="AO92" s="342"/>
      <c r="AP92" s="342"/>
    </row>
    <row r="93" spans="2:42" ht="16">
      <c r="B93" s="316"/>
      <c r="C93" s="271" t="str">
        <f>TEXT(E66,"mm/dd/yyyy")&amp;" "&amp;C68</f>
        <v>LTM EV / EBITDA:</v>
      </c>
      <c r="D93" s="271"/>
      <c r="E93" s="343"/>
      <c r="F93" s="343"/>
      <c r="G93" s="343"/>
      <c r="H93" s="342" t="str">
        <f>+E68</f>
        <v>NM</v>
      </c>
      <c r="I93" s="271"/>
      <c r="J93" s="343"/>
      <c r="K93" s="343"/>
      <c r="L93" s="343"/>
      <c r="M93" s="342">
        <f>+J68</f>
        <v>13.883270068887953</v>
      </c>
      <c r="N93" s="271"/>
      <c r="O93" s="343"/>
      <c r="P93" s="343"/>
      <c r="Q93" s="343"/>
      <c r="R93" s="342" t="str">
        <f>+O68</f>
        <v>NM</v>
      </c>
      <c r="S93" s="271"/>
      <c r="T93" s="343"/>
      <c r="U93" s="343"/>
      <c r="V93" s="343"/>
      <c r="W93" s="342">
        <f>+T68</f>
        <v>2.6728924073797931</v>
      </c>
      <c r="X93" s="271"/>
      <c r="Y93" s="343"/>
      <c r="Z93" s="343"/>
      <c r="AA93" s="343"/>
      <c r="AB93" s="342" t="str">
        <f>+Y68</f>
        <v>NM</v>
      </c>
      <c r="AC93" s="271"/>
      <c r="AD93" s="343"/>
      <c r="AE93" s="343"/>
      <c r="AF93" s="343"/>
      <c r="AG93" s="342">
        <f>+AD68</f>
        <v>74.534543777292583</v>
      </c>
      <c r="AH93" s="342"/>
      <c r="AI93" s="343"/>
      <c r="AJ93" s="343"/>
      <c r="AK93" s="343"/>
      <c r="AL93" s="342">
        <f>+AI68</f>
        <v>7.635933333333333</v>
      </c>
      <c r="AM93" s="342"/>
      <c r="AN93" s="342"/>
      <c r="AO93" s="342"/>
      <c r="AP93" s="342"/>
    </row>
    <row r="94" spans="2:42" ht="16">
      <c r="B94" s="316"/>
      <c r="C94" s="271" t="str">
        <f>TEXT(E66,"mm/dd/yyyy")&amp;" "&amp;C69</f>
        <v>LTM P / E:</v>
      </c>
      <c r="D94" s="271"/>
      <c r="E94" s="343"/>
      <c r="F94" s="343"/>
      <c r="G94" s="343"/>
      <c r="H94" s="342" t="str">
        <f>+E69</f>
        <v>NM</v>
      </c>
      <c r="I94" s="271"/>
      <c r="J94" s="343"/>
      <c r="K94" s="343"/>
      <c r="L94" s="343"/>
      <c r="M94" s="342">
        <f>+J69</f>
        <v>20.669557692307691</v>
      </c>
      <c r="N94" s="271"/>
      <c r="O94" s="343"/>
      <c r="P94" s="343"/>
      <c r="Q94" s="343"/>
      <c r="R94" s="342" t="str">
        <f>+O69</f>
        <v>NM</v>
      </c>
      <c r="S94" s="271"/>
      <c r="T94" s="343"/>
      <c r="U94" s="343"/>
      <c r="V94" s="343"/>
      <c r="W94" s="342">
        <f>+T69</f>
        <v>1.580247669773635</v>
      </c>
      <c r="X94" s="271"/>
      <c r="Y94" s="343"/>
      <c r="Z94" s="343"/>
      <c r="AA94" s="343"/>
      <c r="AB94" s="342" t="str">
        <f>+Y69</f>
        <v>NM</v>
      </c>
      <c r="AC94" s="271"/>
      <c r="AD94" s="343"/>
      <c r="AE94" s="343"/>
      <c r="AF94" s="343"/>
      <c r="AG94" s="342" t="str">
        <f>+AD69</f>
        <v>NM</v>
      </c>
      <c r="AH94" s="342"/>
      <c r="AI94" s="343"/>
      <c r="AJ94" s="343"/>
      <c r="AK94" s="343"/>
      <c r="AL94" s="342">
        <f>+AI69</f>
        <v>13.070050228310501</v>
      </c>
      <c r="AM94" s="342"/>
      <c r="AN94" s="342"/>
      <c r="AO94" s="342"/>
      <c r="AP94" s="342"/>
    </row>
    <row r="95" spans="2:42" ht="16">
      <c r="B95" s="316"/>
      <c r="C95" s="271"/>
      <c r="D95" s="271"/>
      <c r="E95" s="343"/>
      <c r="F95" s="343"/>
      <c r="G95" s="343"/>
      <c r="H95" s="343"/>
      <c r="I95" s="271"/>
      <c r="J95" s="343"/>
      <c r="K95" s="343"/>
      <c r="L95" s="343"/>
      <c r="M95" s="343"/>
      <c r="N95" s="271"/>
      <c r="O95" s="343"/>
      <c r="P95" s="343"/>
      <c r="Q95" s="343"/>
      <c r="R95" s="343"/>
      <c r="S95" s="271"/>
      <c r="T95" s="343"/>
      <c r="U95" s="343"/>
      <c r="V95" s="343"/>
      <c r="W95" s="343"/>
      <c r="X95" s="271"/>
      <c r="Y95" s="343"/>
      <c r="Z95" s="343"/>
      <c r="AA95" s="343"/>
      <c r="AB95" s="343"/>
      <c r="AC95" s="271"/>
      <c r="AD95" s="343"/>
      <c r="AE95" s="343"/>
      <c r="AF95" s="343"/>
      <c r="AG95" s="343"/>
      <c r="AH95" s="271"/>
      <c r="AI95" s="343"/>
      <c r="AJ95" s="343"/>
      <c r="AK95" s="343"/>
      <c r="AL95" s="343"/>
      <c r="AM95" s="271"/>
      <c r="AN95" s="271"/>
      <c r="AO95" s="271"/>
      <c r="AP95" s="271"/>
    </row>
    <row r="96" spans="2:42" ht="16">
      <c r="B96" s="316"/>
      <c r="C96" s="271" t="str">
        <f>TEXT(Forward_Year_1,"yyyy-mm-dd")&amp;" "&amp;C67</f>
        <v>2025-12-31 EV / Revenue:</v>
      </c>
      <c r="D96" s="271"/>
      <c r="E96" s="343"/>
      <c r="F96" s="343"/>
      <c r="G96" s="343"/>
      <c r="H96" s="342">
        <f>+F67</f>
        <v>3.3185834769687963</v>
      </c>
      <c r="I96" s="271"/>
      <c r="J96" s="343"/>
      <c r="K96" s="343"/>
      <c r="L96" s="343"/>
      <c r="M96" s="342">
        <f>+K67</f>
        <v>3.1083317595215614</v>
      </c>
      <c r="N96" s="271"/>
      <c r="O96" s="343"/>
      <c r="P96" s="343"/>
      <c r="Q96" s="343"/>
      <c r="R96" s="342" t="str">
        <f>+P67</f>
        <v>N/A</v>
      </c>
      <c r="S96" s="271"/>
      <c r="T96" s="343"/>
      <c r="U96" s="343"/>
      <c r="V96" s="343"/>
      <c r="W96" s="342" t="str">
        <f>+U67</f>
        <v>N/A</v>
      </c>
      <c r="X96" s="271"/>
      <c r="Y96" s="343"/>
      <c r="Z96" s="343"/>
      <c r="AA96" s="343"/>
      <c r="AB96" s="342" t="str">
        <f>+Z67</f>
        <v>N/A</v>
      </c>
      <c r="AC96" s="271"/>
      <c r="AD96" s="343"/>
      <c r="AE96" s="343"/>
      <c r="AF96" s="343"/>
      <c r="AG96" s="342">
        <f>+AE67</f>
        <v>5.4271575596184416</v>
      </c>
      <c r="AH96" s="342"/>
      <c r="AI96" s="343"/>
      <c r="AJ96" s="343"/>
      <c r="AK96" s="343"/>
      <c r="AL96" s="342">
        <f>+AJ67</f>
        <v>5.9060244031141869</v>
      </c>
      <c r="AM96" s="342"/>
      <c r="AN96" s="342"/>
      <c r="AO96" s="342"/>
      <c r="AP96" s="342"/>
    </row>
    <row r="97" spans="2:42" ht="16">
      <c r="B97" s="316"/>
      <c r="C97" s="271" t="str">
        <f>TEXT(Forward_Year_1,"yyyy-mm-dd")&amp;" "&amp;C68</f>
        <v>2025-12-31 EV / EBITDA:</v>
      </c>
      <c r="D97" s="271"/>
      <c r="E97" s="343"/>
      <c r="F97" s="343"/>
      <c r="G97" s="343"/>
      <c r="H97" s="342" t="str">
        <f>+F68</f>
        <v>NM</v>
      </c>
      <c r="I97" s="271"/>
      <c r="J97" s="343"/>
      <c r="K97" s="343"/>
      <c r="L97" s="343"/>
      <c r="M97" s="342">
        <f>+K68</f>
        <v>15.526996855345912</v>
      </c>
      <c r="N97" s="271"/>
      <c r="O97" s="343"/>
      <c r="P97" s="343"/>
      <c r="Q97" s="343"/>
      <c r="R97" s="342" t="str">
        <f>+P68</f>
        <v>N/A</v>
      </c>
      <c r="S97" s="271"/>
      <c r="T97" s="343"/>
      <c r="U97" s="343"/>
      <c r="V97" s="343"/>
      <c r="W97" s="342" t="str">
        <f>+U68</f>
        <v>N/A</v>
      </c>
      <c r="X97" s="271"/>
      <c r="Y97" s="343"/>
      <c r="Z97" s="343"/>
      <c r="AA97" s="343"/>
      <c r="AB97" s="342" t="str">
        <f>+Z68</f>
        <v>N/A</v>
      </c>
      <c r="AC97" s="271"/>
      <c r="AD97" s="343"/>
      <c r="AE97" s="343"/>
      <c r="AF97" s="343"/>
      <c r="AG97" s="342">
        <f>+AE68</f>
        <v>44.333533831168829</v>
      </c>
      <c r="AH97" s="342"/>
      <c r="AI97" s="343"/>
      <c r="AJ97" s="343"/>
      <c r="AK97" s="343"/>
      <c r="AL97" s="342">
        <f>+AJ68</f>
        <v>14.906908755458515</v>
      </c>
      <c r="AM97" s="342"/>
      <c r="AN97" s="342"/>
      <c r="AO97" s="342"/>
      <c r="AP97" s="342"/>
    </row>
    <row r="98" spans="2:42" ht="16">
      <c r="B98" s="316"/>
      <c r="C98" s="271" t="str">
        <f>TEXT(Forward_Year_1,"yyyy-mm-dd")&amp;" "&amp;C69</f>
        <v>2025-12-31 P / E:</v>
      </c>
      <c r="D98" s="271"/>
      <c r="E98" s="343"/>
      <c r="F98" s="343"/>
      <c r="G98" s="343"/>
      <c r="H98" s="342" t="str">
        <f>+F69</f>
        <v>NM</v>
      </c>
      <c r="I98" s="271"/>
      <c r="J98" s="343"/>
      <c r="K98" s="343"/>
      <c r="L98" s="343"/>
      <c r="M98" s="342">
        <f>+K69</f>
        <v>20.433783269961978</v>
      </c>
      <c r="N98" s="271"/>
      <c r="O98" s="343"/>
      <c r="P98" s="343"/>
      <c r="Q98" s="343"/>
      <c r="R98" s="342" t="str">
        <f>+P69</f>
        <v>N/A</v>
      </c>
      <c r="S98" s="271"/>
      <c r="T98" s="343"/>
      <c r="U98" s="343"/>
      <c r="V98" s="343"/>
      <c r="W98" s="342" t="str">
        <f>+U69</f>
        <v>N/A</v>
      </c>
      <c r="X98" s="271"/>
      <c r="Y98" s="343"/>
      <c r="Z98" s="343"/>
      <c r="AA98" s="343"/>
      <c r="AB98" s="342" t="str">
        <f>+Z69</f>
        <v>N/A</v>
      </c>
      <c r="AC98" s="271"/>
      <c r="AD98" s="343"/>
      <c r="AE98" s="343"/>
      <c r="AF98" s="343"/>
      <c r="AG98" s="342" t="str">
        <f>+AE69</f>
        <v>NM</v>
      </c>
      <c r="AH98" s="342"/>
      <c r="AI98" s="343"/>
      <c r="AJ98" s="343"/>
      <c r="AK98" s="343"/>
      <c r="AL98" s="342">
        <f>+AJ69</f>
        <v>15.856284828431372</v>
      </c>
      <c r="AM98" s="342"/>
      <c r="AN98" s="342"/>
      <c r="AO98" s="342"/>
      <c r="AP98" s="342"/>
    </row>
    <row r="99" spans="2:42" ht="16">
      <c r="B99" s="316"/>
      <c r="C99" s="271"/>
      <c r="D99" s="271"/>
      <c r="E99" s="343"/>
      <c r="F99" s="343"/>
      <c r="G99" s="343"/>
      <c r="H99" s="343"/>
      <c r="I99" s="271"/>
      <c r="J99" s="343"/>
      <c r="K99" s="343"/>
      <c r="L99" s="343"/>
      <c r="M99" s="343"/>
      <c r="N99" s="271"/>
      <c r="O99" s="343"/>
      <c r="P99" s="343"/>
      <c r="Q99" s="343"/>
      <c r="R99" s="343"/>
      <c r="S99" s="271"/>
      <c r="T99" s="343"/>
      <c r="U99" s="343"/>
      <c r="V99" s="343"/>
      <c r="W99" s="343"/>
      <c r="X99" s="271"/>
      <c r="Y99" s="343"/>
      <c r="Z99" s="343"/>
      <c r="AA99" s="343"/>
      <c r="AB99" s="343"/>
      <c r="AC99" s="271"/>
      <c r="AD99" s="343"/>
      <c r="AE99" s="343"/>
      <c r="AF99" s="343"/>
      <c r="AG99" s="343"/>
      <c r="AH99" s="271"/>
      <c r="AI99" s="343"/>
      <c r="AJ99" s="343"/>
      <c r="AK99" s="343"/>
      <c r="AL99" s="343"/>
      <c r="AM99" s="271"/>
      <c r="AN99" s="271"/>
      <c r="AO99" s="271"/>
      <c r="AP99" s="271"/>
    </row>
    <row r="100" spans="2:42" ht="16">
      <c r="B100" s="316"/>
      <c r="C100" s="271" t="str">
        <f>TEXT(Forward_Year_2,"yyyy-mm-dd")&amp;" "&amp;C67</f>
        <v>2026-12-31 EV / Revenue:</v>
      </c>
      <c r="D100" s="271"/>
      <c r="E100" s="343"/>
      <c r="F100" s="343"/>
      <c r="G100" s="343"/>
      <c r="H100" s="342">
        <f>+G67</f>
        <v>2.9978613154362415</v>
      </c>
      <c r="I100" s="271"/>
      <c r="J100" s="343"/>
      <c r="K100" s="343"/>
      <c r="L100" s="343"/>
      <c r="M100" s="342">
        <f>+L67</f>
        <v>2.7786072031513789</v>
      </c>
      <c r="N100" s="271"/>
      <c r="O100" s="343"/>
      <c r="P100" s="343"/>
      <c r="Q100" s="343"/>
      <c r="R100" s="342">
        <f>+Q67</f>
        <v>1.6480867900446712</v>
      </c>
      <c r="S100" s="271"/>
      <c r="T100" s="343"/>
      <c r="U100" s="343"/>
      <c r="V100" s="343"/>
      <c r="W100" s="342">
        <f>+V67</f>
        <v>2.0560646506777891</v>
      </c>
      <c r="X100" s="271"/>
      <c r="Y100" s="343"/>
      <c r="Z100" s="343"/>
      <c r="AA100" s="343"/>
      <c r="AB100" s="342">
        <f>+AA67</f>
        <v>3.7584007441520462</v>
      </c>
      <c r="AC100" s="271"/>
      <c r="AD100" s="343"/>
      <c r="AE100" s="343"/>
      <c r="AF100" s="343"/>
      <c r="AG100" s="342">
        <f>+AF67</f>
        <v>4.5821236308724833</v>
      </c>
      <c r="AH100" s="342"/>
      <c r="AI100" s="343"/>
      <c r="AJ100" s="343"/>
      <c r="AK100" s="343"/>
      <c r="AL100" s="342">
        <f>+AK67</f>
        <v>5.5507026097560974</v>
      </c>
      <c r="AM100" s="342"/>
      <c r="AN100" s="342"/>
      <c r="AO100" s="342"/>
      <c r="AP100" s="342"/>
    </row>
    <row r="101" spans="2:42" ht="16">
      <c r="B101" s="316"/>
      <c r="C101" s="271" t="str">
        <f>TEXT(Forward_Year_2,"yyyy-mm-dd")&amp;" "&amp;C68</f>
        <v>2026-12-31 EV / EBITDA:</v>
      </c>
      <c r="D101" s="271"/>
      <c r="E101" s="343"/>
      <c r="F101" s="343"/>
      <c r="G101" s="343"/>
      <c r="H101" s="342" t="str">
        <f>+G68</f>
        <v>NM</v>
      </c>
      <c r="I101" s="271"/>
      <c r="J101" s="343"/>
      <c r="K101" s="343"/>
      <c r="L101" s="343"/>
      <c r="M101" s="342">
        <f>+L68</f>
        <v>8.9449003623188403</v>
      </c>
      <c r="N101" s="271"/>
      <c r="O101" s="343"/>
      <c r="P101" s="343"/>
      <c r="Q101" s="343"/>
      <c r="R101" s="342">
        <f>+Q68</f>
        <v>7.5513216374268994</v>
      </c>
      <c r="S101" s="271"/>
      <c r="T101" s="343"/>
      <c r="U101" s="343"/>
      <c r="V101" s="343"/>
      <c r="W101" s="342">
        <f>+V68</f>
        <v>48.091853658536579</v>
      </c>
      <c r="X101" s="271"/>
      <c r="Y101" s="343"/>
      <c r="Z101" s="343"/>
      <c r="AA101" s="343"/>
      <c r="AB101" s="342">
        <f>+AA68</f>
        <v>13.971446244565216</v>
      </c>
      <c r="AC101" s="271"/>
      <c r="AD101" s="343"/>
      <c r="AE101" s="343"/>
      <c r="AF101" s="343"/>
      <c r="AG101" s="342">
        <f>+AF68</f>
        <v>22.910618154362414</v>
      </c>
      <c r="AH101" s="342"/>
      <c r="AI101" s="343"/>
      <c r="AJ101" s="343"/>
      <c r="AK101" s="343"/>
      <c r="AL101" s="342">
        <f>+AK68</f>
        <v>12.2794320323741</v>
      </c>
      <c r="AM101" s="342"/>
      <c r="AN101" s="342"/>
      <c r="AO101" s="342"/>
      <c r="AP101" s="342"/>
    </row>
    <row r="102" spans="2:42" ht="16">
      <c r="B102" s="316"/>
      <c r="C102" s="271" t="str">
        <f>TEXT(Forward_Year_2,"yyyy-mm-dd")&amp;" "&amp;C69</f>
        <v>2026-12-31 P / E:</v>
      </c>
      <c r="D102" s="271"/>
      <c r="E102" s="343"/>
      <c r="F102" s="343"/>
      <c r="G102" s="343"/>
      <c r="H102" s="342" t="str">
        <f>+G69</f>
        <v>NM</v>
      </c>
      <c r="I102" s="271"/>
      <c r="J102" s="343"/>
      <c r="K102" s="343"/>
      <c r="L102" s="343"/>
      <c r="M102" s="342">
        <f>+L69</f>
        <v>12.527004662004662</v>
      </c>
      <c r="N102" s="271"/>
      <c r="O102" s="343"/>
      <c r="P102" s="343"/>
      <c r="Q102" s="343"/>
      <c r="R102" s="342">
        <f>+Q69</f>
        <v>11.50027513227513</v>
      </c>
      <c r="S102" s="271"/>
      <c r="T102" s="343"/>
      <c r="U102" s="343"/>
      <c r="V102" s="343"/>
      <c r="W102" s="342" t="str">
        <f>+V69</f>
        <v>NM</v>
      </c>
      <c r="X102" s="271"/>
      <c r="Y102" s="343"/>
      <c r="Z102" s="343"/>
      <c r="AA102" s="343"/>
      <c r="AB102" s="342">
        <f>+AA69</f>
        <v>34.188302863013696</v>
      </c>
      <c r="AC102" s="271"/>
      <c r="AD102" s="343"/>
      <c r="AE102" s="343"/>
      <c r="AF102" s="343"/>
      <c r="AG102" s="342">
        <f>+AF69</f>
        <v>40.4335263125</v>
      </c>
      <c r="AH102" s="342"/>
      <c r="AI102" s="343"/>
      <c r="AJ102" s="343"/>
      <c r="AK102" s="343"/>
      <c r="AL102" s="342">
        <f>+AK69</f>
        <v>14.770237922374429</v>
      </c>
      <c r="AM102" s="342"/>
      <c r="AN102" s="342"/>
      <c r="AO102" s="342"/>
      <c r="AP102" s="342"/>
    </row>
    <row r="103" spans="2:42" ht="16">
      <c r="B103" s="316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  <c r="AO103" s="271"/>
      <c r="AP103" s="271"/>
    </row>
    <row r="104" spans="2:42" ht="16">
      <c r="B104" s="316"/>
      <c r="C104" s="348" t="s">
        <v>422</v>
      </c>
      <c r="D104" s="271"/>
      <c r="E104" s="349"/>
      <c r="F104" s="271"/>
      <c r="G104" s="271"/>
      <c r="H104" s="350"/>
      <c r="I104" s="271"/>
      <c r="J104" s="349"/>
      <c r="K104" s="271"/>
      <c r="L104" s="271"/>
      <c r="M104" s="350"/>
      <c r="N104" s="271"/>
      <c r="O104" s="349"/>
      <c r="P104" s="271"/>
      <c r="Q104" s="271"/>
      <c r="R104" s="350"/>
      <c r="S104" s="271"/>
      <c r="T104" s="349"/>
      <c r="U104" s="271"/>
      <c r="V104" s="271"/>
      <c r="W104" s="350"/>
      <c r="X104" s="271"/>
      <c r="Y104" s="349"/>
      <c r="Z104" s="271"/>
      <c r="AA104" s="271"/>
      <c r="AB104" s="350"/>
      <c r="AC104" s="271"/>
      <c r="AD104" s="349"/>
      <c r="AE104" s="271"/>
      <c r="AF104" s="271"/>
      <c r="AG104" s="350"/>
      <c r="AH104" s="351"/>
      <c r="AI104" s="349"/>
      <c r="AJ104" s="271"/>
      <c r="AK104" s="271"/>
      <c r="AL104" s="350"/>
      <c r="AM104" s="351"/>
      <c r="AN104" s="351"/>
      <c r="AO104" s="351"/>
      <c r="AP104" s="351"/>
    </row>
  </sheetData>
  <mergeCells count="2">
    <mergeCell ref="AD5:AG5"/>
    <mergeCell ref="AI5:AL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0BB4-925E-4850-9024-D4F88443A034}">
  <dimension ref="A2:Z128"/>
  <sheetViews>
    <sheetView showGridLines="0" topLeftCell="A44" zoomScale="44" workbookViewId="0">
      <selection activeCell="B50" sqref="B50:D60"/>
    </sheetView>
  </sheetViews>
  <sheetFormatPr defaultRowHeight="14.5"/>
  <cols>
    <col min="2" max="2" width="19.08984375" customWidth="1"/>
    <col min="3" max="3" width="10.6328125" bestFit="1" customWidth="1"/>
    <col min="4" max="4" width="17.6328125" bestFit="1" customWidth="1"/>
    <col min="5" max="5" width="9.81640625" bestFit="1" customWidth="1"/>
    <col min="6" max="15" width="12.90625" bestFit="1" customWidth="1"/>
    <col min="17" max="17" width="18.453125" customWidth="1"/>
    <col min="18" max="19" width="9.81640625" bestFit="1" customWidth="1"/>
    <col min="20" max="20" width="12.7265625" bestFit="1" customWidth="1"/>
    <col min="21" max="21" width="39.36328125" bestFit="1" customWidth="1"/>
    <col min="22" max="23" width="9.81640625" bestFit="1" customWidth="1"/>
    <col min="24" max="26" width="12.7265625" bestFit="1" customWidth="1"/>
    <col min="27" max="27" width="9.81640625" bestFit="1" customWidth="1"/>
  </cols>
  <sheetData>
    <row r="2" spans="2:26">
      <c r="B2" s="170"/>
      <c r="C2" s="170"/>
      <c r="D2" s="170"/>
      <c r="E2" s="170"/>
      <c r="F2" s="170"/>
      <c r="G2" s="170"/>
    </row>
    <row r="3" spans="2:26" ht="16">
      <c r="B3" s="171" t="str">
        <f>Company_Name&amp;" - R&amp;D Expense Breakout"</f>
        <v>Ultragenyx Pharmaceutical Inc. - R&amp;D Expense Breakout</v>
      </c>
      <c r="C3" s="170"/>
      <c r="D3" s="170"/>
      <c r="E3" s="170"/>
      <c r="F3" s="170"/>
      <c r="G3" s="170"/>
      <c r="L3" t="s">
        <v>355</v>
      </c>
      <c r="M3" t="s">
        <v>356</v>
      </c>
      <c r="N3" t="s">
        <v>140</v>
      </c>
      <c r="O3" t="s">
        <v>357</v>
      </c>
      <c r="Q3" s="359" t="s">
        <v>425</v>
      </c>
      <c r="R3" s="360"/>
      <c r="S3" s="360"/>
      <c r="T3" s="360"/>
      <c r="U3" s="360"/>
      <c r="V3" s="360"/>
      <c r="W3" s="360"/>
      <c r="X3" s="360"/>
      <c r="Y3" s="360"/>
      <c r="Z3" s="360"/>
    </row>
    <row r="4" spans="2:26" ht="16">
      <c r="B4" t="s">
        <v>269</v>
      </c>
      <c r="C4">
        <v>2023</v>
      </c>
      <c r="D4">
        <v>2024</v>
      </c>
      <c r="E4" s="10">
        <v>2025</v>
      </c>
      <c r="F4" t="s">
        <v>270</v>
      </c>
      <c r="G4" t="s">
        <v>271</v>
      </c>
      <c r="H4">
        <v>2023</v>
      </c>
      <c r="I4">
        <v>2024</v>
      </c>
      <c r="L4" t="s">
        <v>358</v>
      </c>
      <c r="M4" s="47">
        <v>0.3</v>
      </c>
      <c r="N4" s="47">
        <v>0.3</v>
      </c>
      <c r="O4" s="47">
        <v>0.3</v>
      </c>
      <c r="Q4" s="492" t="s">
        <v>504</v>
      </c>
      <c r="R4" s="360"/>
      <c r="S4" s="6" t="s">
        <v>139</v>
      </c>
      <c r="T4" s="493"/>
      <c r="U4" s="493"/>
      <c r="V4" s="6" t="s">
        <v>140</v>
      </c>
      <c r="W4" s="6"/>
      <c r="X4" s="6"/>
      <c r="Y4" s="6" t="s">
        <v>141</v>
      </c>
      <c r="Z4" s="493"/>
    </row>
    <row r="5" spans="2:26" ht="16">
      <c r="B5" t="s">
        <v>272</v>
      </c>
      <c r="E5" s="10"/>
      <c r="H5" t="s">
        <v>342</v>
      </c>
      <c r="L5" t="s">
        <v>359</v>
      </c>
      <c r="M5">
        <v>321.60000000000002</v>
      </c>
      <c r="N5">
        <v>321.60000000000002</v>
      </c>
      <c r="O5">
        <v>321.60000000000002</v>
      </c>
      <c r="Q5" s="25"/>
      <c r="R5" s="25" t="s">
        <v>139</v>
      </c>
      <c r="S5" s="25" t="s">
        <v>140</v>
      </c>
      <c r="T5" s="25" t="s">
        <v>141</v>
      </c>
      <c r="U5" s="25" t="s">
        <v>139</v>
      </c>
      <c r="V5" s="25" t="s">
        <v>140</v>
      </c>
      <c r="W5" s="25" t="s">
        <v>141</v>
      </c>
      <c r="X5" s="25" t="s">
        <v>139</v>
      </c>
      <c r="Y5" s="25" t="s">
        <v>140</v>
      </c>
      <c r="Z5" s="25" t="s">
        <v>141</v>
      </c>
    </row>
    <row r="6" spans="2:26" ht="16">
      <c r="B6" t="s">
        <v>273</v>
      </c>
      <c r="C6" s="28">
        <v>31439</v>
      </c>
      <c r="D6" s="28">
        <v>40831</v>
      </c>
      <c r="E6" s="10"/>
      <c r="F6" s="28">
        <v>9392</v>
      </c>
      <c r="G6" s="47">
        <v>0.3</v>
      </c>
      <c r="H6" s="58" cm="1">
        <f t="array" ref="H6">SUM(C20:C22/C23)</f>
        <v>0.36476577186486525</v>
      </c>
      <c r="I6" s="58" cm="1">
        <f t="array" ref="I6">SUM(D20:D22/D23)</f>
        <v>0.36091794258201804</v>
      </c>
      <c r="J6" s="47">
        <v>0.32</v>
      </c>
      <c r="L6" t="s">
        <v>360</v>
      </c>
      <c r="M6">
        <v>70</v>
      </c>
      <c r="N6">
        <v>70</v>
      </c>
      <c r="O6">
        <v>70</v>
      </c>
      <c r="Q6" s="10"/>
      <c r="R6" s="10"/>
      <c r="S6" s="10"/>
      <c r="T6" s="10"/>
      <c r="U6" s="10"/>
      <c r="V6" s="10"/>
      <c r="W6" s="10"/>
    </row>
    <row r="7" spans="2:26" ht="16">
      <c r="B7" t="s">
        <v>274</v>
      </c>
      <c r="C7" s="28">
        <v>72103</v>
      </c>
      <c r="D7" s="172">
        <v>75340</v>
      </c>
      <c r="E7" s="10"/>
      <c r="F7" s="28">
        <v>3237</v>
      </c>
      <c r="G7" s="47">
        <v>0.04</v>
      </c>
      <c r="L7" t="s">
        <v>361</v>
      </c>
      <c r="M7">
        <f>M5-M6</f>
        <v>251.60000000000002</v>
      </c>
      <c r="N7">
        <f t="shared" ref="N7:O7" si="0">N5-N6</f>
        <v>251.60000000000002</v>
      </c>
      <c r="O7">
        <f t="shared" si="0"/>
        <v>251.60000000000002</v>
      </c>
      <c r="Q7" s="357" t="s">
        <v>344</v>
      </c>
      <c r="R7" s="358">
        <v>12.467794914351913</v>
      </c>
      <c r="S7" s="358">
        <v>8.6880948852953388</v>
      </c>
      <c r="T7" s="358">
        <v>5.5376294197596634</v>
      </c>
      <c r="U7" s="358">
        <v>12.306842818863894</v>
      </c>
      <c r="V7" s="358">
        <v>8.7164687353609995</v>
      </c>
      <c r="W7" s="358">
        <v>5.5386003976002876</v>
      </c>
      <c r="X7" s="358">
        <v>12.327136853626834</v>
      </c>
      <c r="Y7" s="358">
        <v>8.7353730848069802</v>
      </c>
      <c r="Z7" s="358">
        <v>5.5392675720000923</v>
      </c>
    </row>
    <row r="8" spans="2:26" ht="16">
      <c r="B8" t="s">
        <v>275</v>
      </c>
      <c r="C8" s="28">
        <v>24079</v>
      </c>
      <c r="D8" s="28">
        <v>33207</v>
      </c>
      <c r="E8" s="10"/>
      <c r="F8" s="28">
        <v>9128</v>
      </c>
      <c r="G8" s="47">
        <v>0.38</v>
      </c>
      <c r="H8" t="s">
        <v>301</v>
      </c>
      <c r="L8" t="s">
        <v>362</v>
      </c>
      <c r="M8">
        <v>697.9</v>
      </c>
      <c r="N8">
        <v>697.9</v>
      </c>
      <c r="O8">
        <v>697.9</v>
      </c>
      <c r="Q8" s="357" t="s">
        <v>267</v>
      </c>
      <c r="R8" s="358">
        <v>13.710950988235295</v>
      </c>
      <c r="S8" s="358">
        <v>9.3248370813470647</v>
      </c>
      <c r="T8" s="358">
        <v>4.3534468987692296</v>
      </c>
      <c r="U8" s="358">
        <v>13.537332464538054</v>
      </c>
      <c r="V8" s="358">
        <v>9.3342770743657262</v>
      </c>
      <c r="W8" s="358">
        <v>4.3429517240154771</v>
      </c>
      <c r="X8" s="358">
        <v>13.550585148362879</v>
      </c>
      <c r="Y8" s="358">
        <v>9.3469624587032598</v>
      </c>
      <c r="Z8" s="358">
        <v>4.3392159025432839</v>
      </c>
    </row>
    <row r="9" spans="2:26" ht="16">
      <c r="B9" t="s">
        <v>241</v>
      </c>
      <c r="C9" s="28">
        <v>24412</v>
      </c>
      <c r="D9" s="172">
        <v>41323</v>
      </c>
      <c r="E9" s="10"/>
      <c r="F9" s="28">
        <v>16911</v>
      </c>
      <c r="G9" s="47">
        <v>0.69</v>
      </c>
      <c r="H9" s="58">
        <f>SUM(C18:C19,C17)/C23</f>
        <v>0.20710649565347466</v>
      </c>
      <c r="I9" s="58">
        <f>SUM(D17:D20)/D23</f>
        <v>0.27601040315820397</v>
      </c>
      <c r="J9" s="47">
        <v>0.22</v>
      </c>
      <c r="L9" t="s">
        <v>363</v>
      </c>
      <c r="M9">
        <v>86.6</v>
      </c>
      <c r="N9">
        <v>86.6</v>
      </c>
      <c r="O9">
        <v>86.6</v>
      </c>
      <c r="Q9" s="357" t="s">
        <v>268</v>
      </c>
      <c r="R9" s="358">
        <v>1.2384029898824813</v>
      </c>
      <c r="S9" s="358">
        <v>1.2171350995986721</v>
      </c>
      <c r="T9" s="358">
        <v>1.2730169669146114</v>
      </c>
      <c r="U9" s="358">
        <v>1.1717406480303829</v>
      </c>
      <c r="V9" s="358">
        <v>1.2335401680476223</v>
      </c>
      <c r="W9" s="358">
        <v>1.272833708691663</v>
      </c>
      <c r="X9" s="358">
        <v>1.1796013661814664</v>
      </c>
      <c r="Y9" s="358">
        <v>1.2432587396814641</v>
      </c>
      <c r="Z9" s="358">
        <v>1.271613989527417</v>
      </c>
    </row>
    <row r="10" spans="2:26" ht="16">
      <c r="B10" t="s">
        <v>276</v>
      </c>
      <c r="C10" s="28">
        <v>16672</v>
      </c>
      <c r="D10" s="28">
        <v>3459</v>
      </c>
      <c r="E10" s="10"/>
      <c r="F10" s="28">
        <v>-13213</v>
      </c>
      <c r="G10" s="47">
        <v>-0.79</v>
      </c>
      <c r="L10" t="s">
        <v>364</v>
      </c>
      <c r="M10">
        <v>611.20000000000005</v>
      </c>
      <c r="N10">
        <v>611.20000000000005</v>
      </c>
      <c r="O10">
        <v>611.20000000000005</v>
      </c>
      <c r="Q10" s="357" t="s">
        <v>239</v>
      </c>
      <c r="R10" s="358">
        <v>21.296025563393702</v>
      </c>
      <c r="S10" s="358">
        <v>13.717531188943795</v>
      </c>
      <c r="T10" s="358">
        <v>7.4326602642197406</v>
      </c>
      <c r="U10" s="358">
        <v>21.153158111694122</v>
      </c>
      <c r="V10" s="358">
        <v>13.727634757262853</v>
      </c>
      <c r="W10" s="358">
        <v>7.4259370866327359</v>
      </c>
      <c r="X10" s="358">
        <v>21.163270758111885</v>
      </c>
      <c r="Y10" s="358">
        <v>13.732768115864994</v>
      </c>
      <c r="Z10" s="358">
        <v>7.4204285609724492</v>
      </c>
    </row>
    <row r="11" spans="2:26" ht="16">
      <c r="B11" t="s">
        <v>277</v>
      </c>
      <c r="C11" s="28">
        <v>168705</v>
      </c>
      <c r="D11" s="28">
        <v>194160</v>
      </c>
      <c r="E11" s="10"/>
      <c r="F11" s="28">
        <v>25455</v>
      </c>
      <c r="G11" s="47">
        <v>0.15</v>
      </c>
      <c r="H11" t="s">
        <v>300</v>
      </c>
      <c r="L11" t="s">
        <v>365</v>
      </c>
      <c r="M11" s="47">
        <v>0.4</v>
      </c>
      <c r="N11" s="47">
        <v>0.55000000000000004</v>
      </c>
      <c r="O11" s="47">
        <v>0.7</v>
      </c>
      <c r="Q11" s="357" t="s">
        <v>424</v>
      </c>
      <c r="R11" s="358">
        <v>34.504748321999806</v>
      </c>
      <c r="S11" s="358">
        <v>27.425995591127464</v>
      </c>
      <c r="T11" s="358">
        <v>21.853925993920708</v>
      </c>
      <c r="U11" s="358">
        <v>29.522201491022944</v>
      </c>
      <c r="V11" s="358">
        <v>23.212702154511437</v>
      </c>
      <c r="W11" s="358">
        <v>17.5829785923302</v>
      </c>
      <c r="X11" s="358">
        <v>26.695066602813291</v>
      </c>
      <c r="Y11" s="358">
        <v>20.452841818561573</v>
      </c>
      <c r="Z11" s="358">
        <v>14.806229074782689</v>
      </c>
    </row>
    <row r="12" spans="2:26" ht="16">
      <c r="B12" t="s">
        <v>278</v>
      </c>
      <c r="C12" s="28"/>
      <c r="D12" s="28"/>
      <c r="E12" s="10"/>
      <c r="F12" s="28"/>
      <c r="H12" s="58">
        <f>SUM(C6:C10,C13:C15)/C23</f>
        <v>0.42812773248166008</v>
      </c>
      <c r="I12" s="58">
        <f>SUM(D6:D10,D13:D15)/D23</f>
        <v>0.47918866829544399</v>
      </c>
      <c r="J12" s="47">
        <v>0.43</v>
      </c>
      <c r="L12" t="s">
        <v>366</v>
      </c>
      <c r="M12" s="47">
        <v>0.55000000000000004</v>
      </c>
      <c r="N12" s="47">
        <v>0.65</v>
      </c>
      <c r="O12" s="47">
        <v>0.75</v>
      </c>
      <c r="Q12" s="352" t="s">
        <v>346</v>
      </c>
      <c r="R12" s="353">
        <v>83.217922777863208</v>
      </c>
      <c r="S12" s="353">
        <v>60.373593846312332</v>
      </c>
      <c r="T12" s="353">
        <v>40.450679543583952</v>
      </c>
      <c r="U12" s="353">
        <v>77.691275534149398</v>
      </c>
      <c r="V12" s="353">
        <v>56.224622889548641</v>
      </c>
      <c r="W12" s="353">
        <v>36.163301509270369</v>
      </c>
      <c r="X12" s="353">
        <v>74.915660729096345</v>
      </c>
      <c r="Y12" s="353">
        <v>53.511204217618271</v>
      </c>
      <c r="Z12" s="353">
        <v>33.376755099825928</v>
      </c>
    </row>
    <row r="13" spans="2:26" ht="16">
      <c r="B13" t="s">
        <v>279</v>
      </c>
      <c r="C13" s="28">
        <v>31121</v>
      </c>
      <c r="D13" s="28">
        <v>50757</v>
      </c>
      <c r="E13" s="10"/>
      <c r="F13" s="28">
        <v>19636</v>
      </c>
      <c r="G13" s="47">
        <v>0.63</v>
      </c>
      <c r="L13" t="s">
        <v>367</v>
      </c>
      <c r="M13">
        <f>M7*M11</f>
        <v>100.64000000000001</v>
      </c>
      <c r="N13">
        <f>N7*N11</f>
        <v>138.38000000000002</v>
      </c>
      <c r="O13">
        <f>O7*O11</f>
        <v>176.12</v>
      </c>
      <c r="Q13" s="352" t="s">
        <v>152</v>
      </c>
      <c r="R13" s="361">
        <v>2.541188203313328</v>
      </c>
      <c r="S13" s="361">
        <v>1.5690890998430778</v>
      </c>
      <c r="T13" s="361">
        <v>0.72130551249293418</v>
      </c>
      <c r="U13" s="361">
        <v>2.306011724857421</v>
      </c>
      <c r="V13" s="361">
        <v>1.3925371442361123</v>
      </c>
      <c r="W13" s="361">
        <v>0.53886389401150514</v>
      </c>
      <c r="X13" s="361">
        <v>2.1879004565572915</v>
      </c>
      <c r="Y13" s="361">
        <v>1.2770725198986499</v>
      </c>
      <c r="Z13" s="361">
        <v>0.42028745105642251</v>
      </c>
    </row>
    <row r="14" spans="2:26" ht="16">
      <c r="B14" t="s">
        <v>280</v>
      </c>
      <c r="C14" s="28">
        <v>12821</v>
      </c>
      <c r="D14" s="28">
        <v>374</v>
      </c>
      <c r="E14" s="10"/>
      <c r="F14" s="28">
        <v>-12447</v>
      </c>
      <c r="G14" s="47">
        <v>-0.97</v>
      </c>
      <c r="J14" s="47"/>
      <c r="L14" t="s">
        <v>368</v>
      </c>
      <c r="M14">
        <f>M10*M12</f>
        <v>336.16</v>
      </c>
      <c r="N14">
        <f>N10*N12</f>
        <v>397.28000000000003</v>
      </c>
      <c r="O14">
        <f>O10*O12</f>
        <v>458.40000000000003</v>
      </c>
    </row>
    <row r="15" spans="2:26" ht="16">
      <c r="B15" t="s">
        <v>281</v>
      </c>
      <c r="C15" s="28">
        <v>64972</v>
      </c>
      <c r="D15" s="172">
        <v>89118</v>
      </c>
      <c r="E15" s="10"/>
      <c r="F15" s="28">
        <v>24146</v>
      </c>
      <c r="G15" s="47">
        <v>0.37</v>
      </c>
    </row>
    <row r="16" spans="2:26" ht="16">
      <c r="B16" t="s">
        <v>282</v>
      </c>
      <c r="C16" s="28">
        <v>108914</v>
      </c>
      <c r="D16" s="28">
        <v>140249</v>
      </c>
      <c r="E16" s="10"/>
      <c r="F16" s="28">
        <v>31335</v>
      </c>
      <c r="G16" s="47">
        <v>0.28999999999999998</v>
      </c>
      <c r="L16" s="30" t="s">
        <v>369</v>
      </c>
      <c r="M16">
        <f>M4*M13</f>
        <v>30.192000000000004</v>
      </c>
      <c r="N16">
        <f t="shared" ref="N16:O16" si="1">N4*N13</f>
        <v>41.514000000000003</v>
      </c>
      <c r="O16">
        <f t="shared" si="1"/>
        <v>52.835999999999999</v>
      </c>
    </row>
    <row r="17" spans="1:26" ht="16">
      <c r="B17" t="s">
        <v>283</v>
      </c>
      <c r="C17" s="28">
        <v>71820</v>
      </c>
      <c r="D17" s="28">
        <v>45702</v>
      </c>
      <c r="E17" s="10"/>
      <c r="F17" s="28">
        <v>-26118</v>
      </c>
      <c r="G17" s="47">
        <v>-0.36</v>
      </c>
      <c r="L17" s="31" t="s">
        <v>370</v>
      </c>
      <c r="M17" s="241">
        <f>M14*M4</f>
        <v>100.848</v>
      </c>
      <c r="N17" s="241">
        <f t="shared" ref="N17:O17" si="2">N14*N4</f>
        <v>119.184</v>
      </c>
      <c r="O17" s="241">
        <f t="shared" si="2"/>
        <v>137.52000000000001</v>
      </c>
    </row>
    <row r="18" spans="1:26" ht="16">
      <c r="B18" t="s">
        <v>284</v>
      </c>
      <c r="C18" s="28">
        <v>9000</v>
      </c>
      <c r="D18" s="28">
        <v>30450</v>
      </c>
      <c r="E18" s="10"/>
      <c r="F18" s="28">
        <v>21450</v>
      </c>
      <c r="G18" s="47">
        <v>2.38</v>
      </c>
      <c r="L18" t="s">
        <v>371</v>
      </c>
      <c r="M18">
        <f>SUM(M16:M17)</f>
        <v>131.04</v>
      </c>
      <c r="N18">
        <f t="shared" ref="N18:O18" si="3">SUM(N16:N17)</f>
        <v>160.69800000000001</v>
      </c>
      <c r="O18">
        <f t="shared" si="3"/>
        <v>190.35599999999999</v>
      </c>
    </row>
    <row r="19" spans="1:26" ht="16">
      <c r="B19" t="s">
        <v>285</v>
      </c>
      <c r="C19" s="28">
        <v>53478</v>
      </c>
      <c r="D19" s="28">
        <v>35432</v>
      </c>
      <c r="E19" s="10"/>
      <c r="F19" s="28">
        <v>-18046</v>
      </c>
      <c r="G19" s="47">
        <v>-0.34</v>
      </c>
    </row>
    <row r="20" spans="1:26" ht="16">
      <c r="B20" t="s">
        <v>286</v>
      </c>
      <c r="C20" s="28">
        <v>78929</v>
      </c>
      <c r="D20" s="28">
        <v>81034</v>
      </c>
      <c r="E20" s="10"/>
      <c r="F20" s="28">
        <v>2105</v>
      </c>
      <c r="G20" s="47">
        <v>0.03</v>
      </c>
    </row>
    <row r="21" spans="1:26" ht="16">
      <c r="B21" t="s">
        <v>89</v>
      </c>
      <c r="C21" s="28">
        <v>74531</v>
      </c>
      <c r="D21" s="28">
        <v>86616</v>
      </c>
      <c r="E21" s="10"/>
      <c r="F21" s="28">
        <v>12085</v>
      </c>
      <c r="G21" s="47">
        <v>0.16</v>
      </c>
    </row>
    <row r="22" spans="1:26" ht="16">
      <c r="B22" t="s">
        <v>287</v>
      </c>
      <c r="C22" s="28">
        <v>83072</v>
      </c>
      <c r="D22" s="28">
        <v>84222</v>
      </c>
      <c r="E22" s="10"/>
      <c r="F22" s="28">
        <v>1150</v>
      </c>
      <c r="G22" s="47">
        <v>0.01</v>
      </c>
      <c r="R22" s="494"/>
      <c r="S22" s="494"/>
      <c r="T22" s="494"/>
      <c r="U22" s="634" t="s">
        <v>425</v>
      </c>
      <c r="V22" s="634"/>
      <c r="W22" s="634"/>
      <c r="X22" s="634"/>
      <c r="Y22" s="494"/>
      <c r="Z22" s="494"/>
    </row>
    <row r="23" spans="1:26" ht="16">
      <c r="B23" t="s">
        <v>288</v>
      </c>
      <c r="C23" s="28">
        <v>648449</v>
      </c>
      <c r="D23" s="28">
        <v>697865</v>
      </c>
      <c r="E23" s="10"/>
      <c r="F23" s="28">
        <v>49416</v>
      </c>
      <c r="G23" s="47">
        <v>0.08</v>
      </c>
      <c r="Q23" s="511"/>
      <c r="R23" s="494"/>
      <c r="S23" s="494"/>
      <c r="T23" s="494"/>
      <c r="U23" s="360"/>
      <c r="V23" s="6" t="s">
        <v>139</v>
      </c>
      <c r="W23" s="6" t="s">
        <v>140</v>
      </c>
      <c r="X23" s="6" t="s">
        <v>141</v>
      </c>
      <c r="Y23" s="510"/>
      <c r="Z23" s="494"/>
    </row>
    <row r="24" spans="1:26" ht="16">
      <c r="U24" s="357" t="s">
        <v>344</v>
      </c>
      <c r="V24" s="358">
        <v>12.306842818863894</v>
      </c>
      <c r="W24" s="358">
        <v>8.7164687353609995</v>
      </c>
      <c r="X24" s="358">
        <v>5.5386003976002876</v>
      </c>
    </row>
    <row r="25" spans="1:26" ht="16">
      <c r="B25" s="369" t="s">
        <v>289</v>
      </c>
      <c r="C25" s="30"/>
      <c r="D25" s="370">
        <f>SUM(D7,D9,D15)</f>
        <v>205781</v>
      </c>
      <c r="U25" s="357" t="s">
        <v>267</v>
      </c>
      <c r="V25" s="358">
        <v>13.537332464538054</v>
      </c>
      <c r="W25" s="358">
        <v>9.3342770743657262</v>
      </c>
      <c r="X25" s="358">
        <v>4.3429517240154771</v>
      </c>
    </row>
    <row r="26" spans="1:26" ht="16">
      <c r="B26" s="27" t="s">
        <v>290</v>
      </c>
      <c r="D26" s="29">
        <f>D23-D25</f>
        <v>492084</v>
      </c>
      <c r="U26" s="357" t="s">
        <v>268</v>
      </c>
      <c r="V26" s="358">
        <v>1.1717406480303829</v>
      </c>
      <c r="W26" s="358">
        <v>1.2335401680476223</v>
      </c>
      <c r="X26" s="358">
        <v>1.272833708691663</v>
      </c>
    </row>
    <row r="27" spans="1:26" ht="16">
      <c r="E27" s="58"/>
      <c r="U27" s="357" t="s">
        <v>239</v>
      </c>
      <c r="V27" s="358">
        <v>21.153158111694122</v>
      </c>
      <c r="W27" s="358">
        <v>13.727634757262853</v>
      </c>
      <c r="X27" s="358">
        <v>7.4259370866327359</v>
      </c>
    </row>
    <row r="28" spans="1:26" ht="16">
      <c r="Q28" s="63"/>
      <c r="R28" s="10"/>
      <c r="S28" s="10"/>
      <c r="T28" s="10"/>
      <c r="U28" s="357" t="s">
        <v>424</v>
      </c>
      <c r="V28" s="358">
        <v>29.522201491022944</v>
      </c>
      <c r="W28" s="358">
        <v>23.212702154511437</v>
      </c>
      <c r="X28" s="358">
        <v>17.5829785923302</v>
      </c>
    </row>
    <row r="29" spans="1:26" ht="16">
      <c r="B29" s="64"/>
      <c r="C29" s="64"/>
      <c r="D29" s="64"/>
      <c r="E29" s="64"/>
      <c r="F29" s="61"/>
      <c r="G29" s="64"/>
      <c r="H29" s="64"/>
      <c r="I29" s="64"/>
      <c r="J29" s="64"/>
      <c r="K29" s="10"/>
      <c r="L29" s="64"/>
      <c r="M29" s="10"/>
      <c r="N29" s="10"/>
      <c r="O29" s="10"/>
      <c r="P29" s="63"/>
      <c r="Q29" s="10"/>
      <c r="R29" s="10"/>
      <c r="S29" s="10"/>
      <c r="T29" s="10"/>
      <c r="U29" s="352" t="s">
        <v>346</v>
      </c>
      <c r="V29" s="353">
        <v>77.691275534149398</v>
      </c>
      <c r="W29" s="353">
        <v>56.224622889548641</v>
      </c>
      <c r="X29" s="353">
        <v>36.163301509270369</v>
      </c>
    </row>
    <row r="30" spans="1:26" ht="16">
      <c r="B30" s="20"/>
      <c r="C30" s="20"/>
      <c r="D30" s="20"/>
      <c r="E30" s="20"/>
      <c r="F30" s="61"/>
      <c r="G30" s="20"/>
      <c r="H30" s="20"/>
      <c r="I30" s="20"/>
      <c r="J30" s="20"/>
      <c r="K30" s="10"/>
      <c r="L30" s="64"/>
      <c r="M30" s="10"/>
      <c r="N30" s="10"/>
      <c r="O30" s="10"/>
      <c r="P30" s="63"/>
      <c r="Q30" s="51"/>
      <c r="R30" s="10"/>
      <c r="T30" s="10"/>
      <c r="U30" s="352" t="s">
        <v>152</v>
      </c>
      <c r="V30" s="361">
        <v>2.306011724857421</v>
      </c>
      <c r="W30" s="361">
        <v>1.3925371442361123</v>
      </c>
      <c r="X30" s="361">
        <v>0.53886389401150514</v>
      </c>
    </row>
    <row r="31" spans="1:26" ht="16">
      <c r="A31" s="1"/>
      <c r="B31" s="1"/>
      <c r="C31" s="1"/>
      <c r="D31" s="1"/>
      <c r="E31" s="1"/>
      <c r="F31" s="3"/>
      <c r="G31" s="2"/>
      <c r="H31" s="3" t="s">
        <v>0</v>
      </c>
      <c r="I31" s="2"/>
      <c r="J31" s="4"/>
      <c r="K31" s="2"/>
      <c r="L31" s="2"/>
      <c r="M31" s="2"/>
      <c r="N31" s="3" t="s">
        <v>1</v>
      </c>
      <c r="O31" s="2"/>
      <c r="P31" s="10"/>
      <c r="Q31" s="51"/>
      <c r="R31" s="10"/>
      <c r="T31" s="10"/>
      <c r="U31" s="51"/>
    </row>
    <row r="32" spans="1:26" ht="16">
      <c r="A32" s="5" t="str">
        <f>Company_Name&amp;" - Model Drivers and Assumptions"</f>
        <v>Ultragenyx Pharmaceutical Inc. - Model Drivers and Assumptions</v>
      </c>
      <c r="B32" s="1"/>
      <c r="C32" s="1"/>
      <c r="D32" s="6" t="s">
        <v>2</v>
      </c>
      <c r="E32" s="7"/>
      <c r="F32" s="8">
        <v>44561</v>
      </c>
      <c r="G32" s="8">
        <f t="shared" ref="G32:O32" si="4">EOMONTH(F32,12)</f>
        <v>44926</v>
      </c>
      <c r="H32" s="8">
        <f t="shared" si="4"/>
        <v>45291</v>
      </c>
      <c r="I32" s="8">
        <f t="shared" si="4"/>
        <v>45657</v>
      </c>
      <c r="J32" s="9">
        <f t="shared" si="4"/>
        <v>46022</v>
      </c>
      <c r="K32" s="8">
        <f t="shared" si="4"/>
        <v>46387</v>
      </c>
      <c r="L32" s="8">
        <f t="shared" si="4"/>
        <v>46752</v>
      </c>
      <c r="M32" s="8">
        <f t="shared" si="4"/>
        <v>47118</v>
      </c>
      <c r="N32" s="8">
        <f t="shared" si="4"/>
        <v>47483</v>
      </c>
      <c r="O32" s="8">
        <f t="shared" si="4"/>
        <v>47848</v>
      </c>
      <c r="P32" s="51"/>
      <c r="Q32" s="51"/>
      <c r="R32" s="10"/>
      <c r="T32" s="10"/>
      <c r="U32" s="51"/>
    </row>
    <row r="33" spans="2:26" ht="16">
      <c r="B33" s="20"/>
      <c r="C33" s="20"/>
      <c r="D33" s="20"/>
      <c r="E33" s="71"/>
      <c r="F33" s="10"/>
      <c r="G33" s="20"/>
      <c r="H33" s="20"/>
      <c r="I33" s="20"/>
      <c r="J33" s="20"/>
      <c r="K33" s="10"/>
      <c r="L33" s="20"/>
      <c r="M33" s="10"/>
      <c r="N33" s="10"/>
      <c r="O33" s="10"/>
      <c r="P33" s="51"/>
      <c r="Q33" s="51"/>
      <c r="R33" s="10"/>
      <c r="T33" s="10"/>
      <c r="U33" s="51"/>
    </row>
    <row r="34" spans="2:26" ht="16">
      <c r="B34" s="10" t="s">
        <v>305</v>
      </c>
      <c r="C34" s="64"/>
      <c r="D34" s="35" t="s">
        <v>129</v>
      </c>
      <c r="E34" s="64"/>
      <c r="F34" s="38">
        <v>0</v>
      </c>
      <c r="G34" s="38">
        <v>1862400</v>
      </c>
      <c r="H34" s="38">
        <v>1466600</v>
      </c>
      <c r="I34" s="38">
        <v>1664700</v>
      </c>
      <c r="J34" s="186">
        <v>1934900</v>
      </c>
      <c r="K34" s="186">
        <v>2186460.337063937</v>
      </c>
      <c r="L34" s="186">
        <v>2105704.3974384633</v>
      </c>
      <c r="M34" s="186">
        <v>1727793.4392977103</v>
      </c>
      <c r="N34" s="186">
        <v>996480.02158458496</v>
      </c>
      <c r="O34" s="186">
        <v>0</v>
      </c>
      <c r="P34" s="51"/>
      <c r="Q34" s="51"/>
      <c r="R34" s="10"/>
      <c r="T34" s="10"/>
      <c r="U34" s="115"/>
    </row>
    <row r="35" spans="2:26" ht="16">
      <c r="B35" s="51" t="s">
        <v>306</v>
      </c>
      <c r="C35" s="10"/>
      <c r="D35" s="35" t="s">
        <v>129</v>
      </c>
      <c r="E35" s="10"/>
      <c r="F35" s="38">
        <v>0</v>
      </c>
      <c r="G35" s="38">
        <v>0</v>
      </c>
      <c r="H35" s="38">
        <v>198100</v>
      </c>
      <c r="I35" s="38">
        <v>270200</v>
      </c>
      <c r="J35" s="186">
        <v>251560.33706393689</v>
      </c>
      <c r="K35" s="186">
        <v>0</v>
      </c>
      <c r="L35" s="186">
        <v>0</v>
      </c>
      <c r="M35" s="186">
        <v>0</v>
      </c>
      <c r="N35" s="186">
        <v>0</v>
      </c>
      <c r="O35" s="186">
        <v>0</v>
      </c>
      <c r="P35" s="51"/>
      <c r="Q35" s="115"/>
      <c r="R35" s="115"/>
      <c r="T35" s="10"/>
      <c r="U35" s="115"/>
    </row>
    <row r="36" spans="2:26" ht="16">
      <c r="B36" s="51" t="s">
        <v>307</v>
      </c>
      <c r="C36" s="10"/>
      <c r="D36" s="35" t="s">
        <v>129</v>
      </c>
      <c r="E36" s="10"/>
      <c r="F36" s="38">
        <v>0</v>
      </c>
      <c r="G36" s="38">
        <v>-395800</v>
      </c>
      <c r="H36" s="38">
        <v>0</v>
      </c>
      <c r="I36" s="38">
        <v>0</v>
      </c>
      <c r="J36" s="186">
        <v>0</v>
      </c>
      <c r="K36" s="186">
        <v>-80755.939625473693</v>
      </c>
      <c r="L36" s="186">
        <v>-377910.95814075298</v>
      </c>
      <c r="M36" s="186">
        <v>-731313.41771312535</v>
      </c>
      <c r="N36" s="186">
        <v>-996480.02158458496</v>
      </c>
      <c r="O36" s="186">
        <v>0</v>
      </c>
      <c r="P36" s="51"/>
      <c r="Q36" s="115"/>
      <c r="R36" s="115"/>
      <c r="T36" s="10"/>
      <c r="U36" s="63"/>
      <c r="V36" s="10"/>
      <c r="W36" s="10"/>
    </row>
    <row r="37" spans="2:26" ht="16">
      <c r="B37" s="51" t="s">
        <v>308</v>
      </c>
      <c r="C37" s="10"/>
      <c r="D37" s="35" t="s">
        <v>129</v>
      </c>
      <c r="E37" s="10"/>
      <c r="F37" s="38">
        <v>0</v>
      </c>
      <c r="G37" s="38">
        <v>0</v>
      </c>
      <c r="H37" s="38">
        <v>0</v>
      </c>
      <c r="I37" s="38">
        <v>0</v>
      </c>
      <c r="J37" s="186">
        <v>0</v>
      </c>
      <c r="K37" s="186">
        <v>0</v>
      </c>
      <c r="L37" s="186">
        <v>0</v>
      </c>
      <c r="M37" s="186">
        <v>0</v>
      </c>
      <c r="N37" s="186">
        <v>0</v>
      </c>
      <c r="O37" s="186">
        <v>0</v>
      </c>
      <c r="P37" s="115"/>
      <c r="Q37" s="63"/>
      <c r="R37" s="10"/>
      <c r="S37" s="10"/>
      <c r="T37" s="10"/>
      <c r="U37" s="63"/>
      <c r="V37" s="10"/>
      <c r="W37" s="10"/>
    </row>
    <row r="38" spans="2:26" ht="16">
      <c r="B38" s="64" t="s">
        <v>309</v>
      </c>
      <c r="C38" s="64"/>
      <c r="D38" s="39" t="s">
        <v>129</v>
      </c>
      <c r="E38" s="64"/>
      <c r="F38" s="49">
        <v>1862400</v>
      </c>
      <c r="G38" s="49">
        <v>1466600</v>
      </c>
      <c r="H38" s="49">
        <v>1664700</v>
      </c>
      <c r="I38" s="49">
        <v>1934900</v>
      </c>
      <c r="J38" s="191">
        <v>2186460.337063937</v>
      </c>
      <c r="K38" s="191">
        <v>2105704.3974384633</v>
      </c>
      <c r="L38" s="191">
        <v>1727793.4392977103</v>
      </c>
      <c r="M38" s="191">
        <v>996480.02158458496</v>
      </c>
      <c r="N38" s="191">
        <v>0</v>
      </c>
      <c r="O38" s="191">
        <v>0</v>
      </c>
      <c r="P38" s="115"/>
      <c r="Q38" s="10"/>
      <c r="R38" s="10"/>
      <c r="S38" s="10"/>
      <c r="T38" s="10"/>
      <c r="U38" s="10"/>
      <c r="V38" s="10"/>
      <c r="W38" s="10"/>
    </row>
    <row r="39" spans="2:26" ht="16">
      <c r="B39" s="51"/>
      <c r="C39" s="10"/>
      <c r="D39" s="10"/>
      <c r="E39" s="10"/>
      <c r="F39" s="10"/>
      <c r="G39" s="10"/>
      <c r="H39" s="38"/>
      <c r="I39" s="10"/>
      <c r="J39" s="10"/>
      <c r="K39" s="10"/>
      <c r="L39" s="10"/>
      <c r="M39" s="10"/>
      <c r="N39" s="10"/>
      <c r="O39" s="10"/>
      <c r="P39" s="10"/>
      <c r="Q39" s="492" t="s">
        <v>506</v>
      </c>
      <c r="R39" s="360"/>
      <c r="S39" s="360"/>
      <c r="T39" s="360"/>
      <c r="U39" s="494"/>
      <c r="V39" s="494"/>
      <c r="W39" s="494"/>
      <c r="X39" s="494"/>
      <c r="Y39" s="494"/>
      <c r="Z39" s="494"/>
    </row>
    <row r="40" spans="2:26" ht="16">
      <c r="B40" s="51" t="s">
        <v>310</v>
      </c>
      <c r="C40" s="10"/>
      <c r="D40" s="35" t="s">
        <v>129</v>
      </c>
      <c r="E40" s="10"/>
      <c r="F40" s="38">
        <v>0</v>
      </c>
      <c r="G40" s="38">
        <v>0</v>
      </c>
      <c r="H40" s="38">
        <v>0</v>
      </c>
      <c r="I40" s="38">
        <v>0</v>
      </c>
      <c r="J40" s="186">
        <v>0</v>
      </c>
      <c r="K40" s="186">
        <v>20188.984906368423</v>
      </c>
      <c r="L40" s="186">
        <v>94477.739535188244</v>
      </c>
      <c r="M40" s="186">
        <v>182828.35442828131</v>
      </c>
      <c r="N40" s="186">
        <v>554311.12811061589</v>
      </c>
      <c r="O40" s="186">
        <v>0</v>
      </c>
      <c r="P40" s="51"/>
      <c r="Q40" s="492" t="s">
        <v>504</v>
      </c>
      <c r="R40" s="492" t="s">
        <v>139</v>
      </c>
      <c r="S40" s="492" t="s">
        <v>140</v>
      </c>
      <c r="T40" s="492" t="s">
        <v>141</v>
      </c>
      <c r="U40" s="61"/>
      <c r="V40" s="61"/>
      <c r="W40" s="61"/>
      <c r="X40" s="61"/>
      <c r="Y40" s="61"/>
      <c r="Z40" s="61"/>
    </row>
    <row r="41" spans="2:26" ht="16">
      <c r="B41" s="64" t="s">
        <v>311</v>
      </c>
      <c r="C41" s="64"/>
      <c r="D41" s="39" t="s">
        <v>129</v>
      </c>
      <c r="E41" s="64"/>
      <c r="F41" s="49">
        <v>0</v>
      </c>
      <c r="G41" s="49">
        <v>0</v>
      </c>
      <c r="H41" s="49">
        <v>0</v>
      </c>
      <c r="I41" s="49">
        <v>0</v>
      </c>
      <c r="J41" s="191">
        <v>0</v>
      </c>
      <c r="K41" s="191">
        <v>2422.6781887642105</v>
      </c>
      <c r="L41" s="191">
        <v>11337.328744222588</v>
      </c>
      <c r="M41" s="191">
        <v>21939.402531393756</v>
      </c>
      <c r="N41" s="191">
        <v>66517.335373273905</v>
      </c>
      <c r="O41" s="191">
        <v>0</v>
      </c>
      <c r="P41" s="64"/>
      <c r="Q41" s="495" t="s">
        <v>505</v>
      </c>
      <c r="R41" s="495"/>
      <c r="S41" s="495"/>
      <c r="T41" s="495"/>
      <c r="U41" s="10"/>
      <c r="V41" s="10"/>
      <c r="W41" s="10"/>
    </row>
    <row r="42" spans="2:26" ht="16">
      <c r="B42" s="51" t="s">
        <v>312</v>
      </c>
      <c r="C42" s="10"/>
      <c r="D42" s="35" t="s">
        <v>129</v>
      </c>
      <c r="E42" s="10"/>
      <c r="F42" s="59">
        <v>0.8</v>
      </c>
      <c r="G42" s="59">
        <v>0.8</v>
      </c>
      <c r="H42" s="59">
        <v>0.8</v>
      </c>
      <c r="I42" s="59">
        <v>0.8</v>
      </c>
      <c r="J42" s="59">
        <v>0.8</v>
      </c>
      <c r="K42" s="59">
        <v>0.8</v>
      </c>
      <c r="L42" s="59">
        <v>0.8</v>
      </c>
      <c r="M42" s="59">
        <v>0.8</v>
      </c>
      <c r="N42" s="59">
        <v>0.8</v>
      </c>
      <c r="O42" s="59">
        <v>0.8</v>
      </c>
      <c r="P42" s="10"/>
      <c r="Q42" s="496" t="s">
        <v>139</v>
      </c>
      <c r="R42" s="362">
        <v>83.217922777863208</v>
      </c>
      <c r="S42" s="362">
        <v>79.813860482914407</v>
      </c>
      <c r="T42" s="362">
        <v>74.915660729096345</v>
      </c>
      <c r="U42" s="358"/>
      <c r="V42" s="358"/>
      <c r="W42" s="358"/>
      <c r="X42" s="358"/>
      <c r="Y42" s="358"/>
      <c r="Z42" s="358"/>
    </row>
    <row r="43" spans="2:26" ht="16">
      <c r="B43" s="90"/>
      <c r="C43" s="20"/>
      <c r="D43" s="20"/>
      <c r="E43" s="91"/>
      <c r="F43" s="20"/>
      <c r="G43" s="90"/>
      <c r="H43" s="20"/>
      <c r="I43" s="20"/>
      <c r="J43" s="91"/>
      <c r="K43" s="10"/>
      <c r="L43" s="64"/>
      <c r="M43" s="10"/>
      <c r="N43" s="365"/>
      <c r="O43" s="10"/>
      <c r="P43" s="10"/>
      <c r="Q43" s="496" t="s">
        <v>140</v>
      </c>
      <c r="R43" s="362">
        <v>60.373593846312332</v>
      </c>
      <c r="S43" s="362">
        <v>56.861262874389723</v>
      </c>
      <c r="T43" s="362">
        <v>53.511204217618271</v>
      </c>
      <c r="U43" s="358"/>
      <c r="V43" s="358"/>
      <c r="W43" s="358"/>
      <c r="X43" s="358"/>
      <c r="Y43" s="358"/>
      <c r="Z43" s="358"/>
    </row>
    <row r="44" spans="2:26" ht="16">
      <c r="B44" s="112"/>
      <c r="C44" s="20"/>
      <c r="D44" s="20"/>
      <c r="E44" s="366"/>
      <c r="F44" s="20"/>
      <c r="G44" s="112"/>
      <c r="H44" s="20"/>
      <c r="I44" s="20"/>
      <c r="J44" s="366"/>
      <c r="K44" s="10"/>
      <c r="L44" s="10"/>
      <c r="M44" s="10"/>
      <c r="N44" s="254"/>
      <c r="O44" s="10"/>
      <c r="P44" s="10"/>
      <c r="Q44" s="496" t="s">
        <v>141</v>
      </c>
      <c r="R44" s="362">
        <v>40.450679543583952</v>
      </c>
      <c r="S44" s="362">
        <v>36.020441717507339</v>
      </c>
      <c r="T44" s="362">
        <v>33.376755099825928</v>
      </c>
      <c r="U44" s="358"/>
      <c r="V44" s="358"/>
      <c r="W44" s="358"/>
      <c r="X44" s="358"/>
      <c r="Y44" s="358"/>
      <c r="Z44" s="358"/>
    </row>
    <row r="45" spans="2:26" ht="16">
      <c r="B45" s="105"/>
      <c r="C45" s="20"/>
      <c r="D45" s="20"/>
      <c r="E45" s="368"/>
      <c r="F45" s="20"/>
      <c r="G45" s="105"/>
      <c r="H45" s="20"/>
      <c r="I45" s="20"/>
      <c r="J45" s="368"/>
      <c r="K45" s="10"/>
      <c r="L45" s="64"/>
      <c r="M45" s="10"/>
      <c r="N45" s="363"/>
      <c r="O45" s="10"/>
      <c r="P45" s="10"/>
      <c r="Q45" s="51"/>
      <c r="R45" s="10"/>
      <c r="T45" s="10"/>
      <c r="U45" s="51"/>
      <c r="V45" s="10"/>
    </row>
    <row r="46" spans="2:26" ht="16">
      <c r="B46" s="105"/>
      <c r="C46" s="20"/>
      <c r="D46" s="20"/>
      <c r="E46" s="368"/>
      <c r="F46" s="20"/>
      <c r="G46" s="105"/>
      <c r="H46" s="20"/>
      <c r="I46" s="20"/>
      <c r="J46" s="368"/>
      <c r="K46" s="10"/>
      <c r="L46" s="20"/>
      <c r="M46" s="10"/>
      <c r="N46" s="10"/>
      <c r="O46" s="10"/>
      <c r="P46" s="10"/>
      <c r="Q46" s="51"/>
      <c r="R46" s="10"/>
      <c r="T46" s="10"/>
      <c r="U46" s="51"/>
      <c r="V46" s="10"/>
    </row>
    <row r="47" spans="2:26" ht="16">
      <c r="B47" s="105"/>
      <c r="C47" s="20"/>
      <c r="D47" s="20"/>
      <c r="E47" s="368"/>
      <c r="F47" s="20"/>
      <c r="G47" s="105"/>
      <c r="H47" s="20"/>
      <c r="I47" s="20"/>
      <c r="J47" s="368"/>
      <c r="K47" s="10"/>
      <c r="L47" s="51"/>
      <c r="M47" s="10"/>
      <c r="N47" s="38"/>
      <c r="O47" s="10"/>
      <c r="P47" s="10"/>
      <c r="Q47" s="51"/>
      <c r="R47" s="10"/>
      <c r="T47" s="10"/>
      <c r="U47" s="51"/>
      <c r="V47" s="10"/>
    </row>
    <row r="48" spans="2:26" ht="16">
      <c r="B48" s="105"/>
      <c r="C48" s="20"/>
      <c r="D48" s="20"/>
      <c r="E48" s="368"/>
      <c r="F48" s="20"/>
      <c r="G48" s="105"/>
      <c r="H48" s="20"/>
      <c r="I48" s="20"/>
      <c r="J48" s="368"/>
      <c r="K48" s="10"/>
      <c r="L48" s="64"/>
      <c r="M48" s="10"/>
      <c r="N48" s="365"/>
      <c r="O48" s="10"/>
      <c r="P48" s="10"/>
      <c r="Q48" s="51"/>
      <c r="R48" s="10"/>
      <c r="T48" s="10"/>
      <c r="U48" s="51"/>
      <c r="V48" s="10"/>
    </row>
    <row r="49" spans="2:22" ht="16">
      <c r="B49" s="105"/>
      <c r="C49" s="20"/>
      <c r="D49" s="20"/>
      <c r="E49" s="368"/>
      <c r="F49" s="20"/>
      <c r="G49" s="105"/>
      <c r="H49" s="20"/>
      <c r="I49" s="20"/>
      <c r="J49" s="368"/>
      <c r="K49" s="10"/>
      <c r="L49" s="10"/>
      <c r="M49" s="10"/>
      <c r="N49" s="254"/>
      <c r="O49" s="10"/>
      <c r="P49" s="10"/>
      <c r="Q49" s="115"/>
      <c r="R49" s="115"/>
      <c r="T49" s="10"/>
      <c r="U49" s="115"/>
      <c r="V49" s="115"/>
    </row>
    <row r="50" spans="2:22" ht="16">
      <c r="B50" s="611" t="s">
        <v>589</v>
      </c>
      <c r="C50" s="612"/>
      <c r="D50" s="612"/>
      <c r="E50" s="368"/>
      <c r="F50" s="20"/>
      <c r="G50" s="105"/>
      <c r="H50" s="20"/>
      <c r="I50" s="20"/>
      <c r="J50" s="368"/>
      <c r="K50" s="10"/>
      <c r="L50" s="20"/>
      <c r="M50" s="79"/>
      <c r="N50" s="10"/>
      <c r="O50" s="10"/>
      <c r="P50" s="10"/>
      <c r="Q50" s="115"/>
      <c r="R50" s="115"/>
      <c r="T50" s="10"/>
      <c r="U50" s="115"/>
      <c r="V50" s="115"/>
    </row>
    <row r="51" spans="2:22" ht="16">
      <c r="B51" s="115" t="s">
        <v>594</v>
      </c>
      <c r="D51" s="618">
        <v>46043</v>
      </c>
      <c r="E51" s="108"/>
      <c r="F51" s="20"/>
      <c r="G51" s="90"/>
      <c r="H51" s="20"/>
      <c r="I51" s="20"/>
      <c r="J51" s="617" t="s">
        <v>590</v>
      </c>
      <c r="K51" s="10"/>
      <c r="L51" s="64"/>
      <c r="M51" s="10"/>
      <c r="N51" s="10"/>
      <c r="O51" s="10"/>
      <c r="P51" s="10"/>
      <c r="Q51" s="10"/>
      <c r="R51" s="10"/>
    </row>
    <row r="52" spans="2:22" ht="16">
      <c r="B52" s="607" t="s">
        <v>595</v>
      </c>
      <c r="C52" s="608"/>
      <c r="D52" s="614">
        <v>23.66</v>
      </c>
      <c r="E52" s="366"/>
      <c r="F52" s="20"/>
      <c r="G52" s="112"/>
      <c r="H52" s="20"/>
      <c r="I52" s="20"/>
      <c r="J52" s="619">
        <v>46042</v>
      </c>
      <c r="K52" s="10"/>
      <c r="L52" s="64"/>
      <c r="M52" s="10"/>
      <c r="N52" s="10"/>
      <c r="O52" s="10"/>
      <c r="P52" s="10"/>
      <c r="Q52" s="10"/>
      <c r="R52" s="10"/>
    </row>
    <row r="53" spans="2:22" ht="16">
      <c r="B53" s="115" t="s">
        <v>457</v>
      </c>
      <c r="C53" s="20"/>
      <c r="D53" s="613">
        <v>23.66</v>
      </c>
      <c r="E53" s="113"/>
      <c r="F53" s="20"/>
      <c r="G53" s="112"/>
      <c r="H53" s="20"/>
      <c r="I53" s="20"/>
      <c r="J53" s="617" t="s">
        <v>591</v>
      </c>
      <c r="K53" s="10"/>
      <c r="L53" s="10"/>
      <c r="M53" s="10"/>
      <c r="N53" s="10"/>
      <c r="O53" s="10"/>
      <c r="P53" s="10"/>
      <c r="Q53" s="10"/>
      <c r="R53" s="10"/>
    </row>
    <row r="54" spans="2:22" ht="16">
      <c r="B54" s="607" t="s">
        <v>580</v>
      </c>
      <c r="C54" s="608"/>
      <c r="D54" s="614">
        <v>56.22</v>
      </c>
      <c r="E54" s="114"/>
      <c r="F54" s="20"/>
      <c r="G54" s="20"/>
      <c r="H54" s="20"/>
      <c r="I54" s="20"/>
      <c r="J54" s="617" t="s">
        <v>592</v>
      </c>
      <c r="K54" s="10"/>
      <c r="L54" s="64"/>
      <c r="M54" s="10"/>
      <c r="N54" s="363"/>
      <c r="O54" s="10"/>
      <c r="P54" s="10"/>
      <c r="Q54" s="10"/>
      <c r="R54" s="10"/>
    </row>
    <row r="55" spans="2:22" ht="16">
      <c r="B55" s="115" t="s">
        <v>581</v>
      </c>
      <c r="C55" s="20"/>
      <c r="D55" s="610" t="s">
        <v>587</v>
      </c>
      <c r="E55" s="38"/>
      <c r="F55" s="20"/>
      <c r="G55" s="20"/>
      <c r="H55" s="20"/>
      <c r="I55" s="20"/>
      <c r="J55" s="620">
        <v>22.63</v>
      </c>
      <c r="K55" s="10"/>
      <c r="L55" s="20"/>
      <c r="M55" s="10"/>
      <c r="N55" s="10"/>
      <c r="O55" s="10"/>
      <c r="P55" s="10"/>
      <c r="Q55" s="10"/>
      <c r="R55" s="10"/>
    </row>
    <row r="56" spans="2:22" ht="16">
      <c r="B56" s="607" t="s">
        <v>582</v>
      </c>
      <c r="C56" s="608"/>
      <c r="D56" s="615">
        <f>Diluted</f>
        <v>97.56</v>
      </c>
      <c r="E56" s="362"/>
      <c r="F56" s="20"/>
      <c r="G56" s="115"/>
      <c r="H56" s="115"/>
      <c r="I56" s="115"/>
      <c r="J56" s="617" t="s">
        <v>593</v>
      </c>
      <c r="K56" s="10"/>
      <c r="L56" s="51"/>
      <c r="M56" s="10"/>
      <c r="N56" s="38"/>
      <c r="O56" s="10"/>
      <c r="P56" s="10"/>
      <c r="Q56" s="10"/>
      <c r="R56" s="10"/>
    </row>
    <row r="57" spans="2:22" ht="16">
      <c r="B57" s="115" t="s">
        <v>583</v>
      </c>
      <c r="C57" s="20"/>
      <c r="D57" s="609" t="s">
        <v>588</v>
      </c>
      <c r="E57" s="116"/>
      <c r="F57" s="20"/>
      <c r="G57" s="115"/>
      <c r="H57" s="115"/>
      <c r="I57" s="115"/>
      <c r="J57" s="620">
        <v>56.22</v>
      </c>
      <c r="K57" s="10"/>
      <c r="L57" s="64"/>
      <c r="M57" s="10"/>
      <c r="N57" s="365"/>
      <c r="O57" s="10"/>
      <c r="P57" s="10"/>
      <c r="Q57" s="10"/>
      <c r="R57" s="10"/>
    </row>
    <row r="58" spans="2:22" ht="16">
      <c r="B58" s="607" t="s">
        <v>584</v>
      </c>
      <c r="C58" s="608"/>
      <c r="D58" s="614">
        <v>2.6168204182041799</v>
      </c>
    </row>
    <row r="59" spans="2:22" ht="16">
      <c r="B59" s="115" t="s">
        <v>585</v>
      </c>
      <c r="C59" s="115"/>
      <c r="D59" s="616">
        <v>7.5338253382533802</v>
      </c>
      <c r="E59" s="64"/>
      <c r="F59" s="61"/>
      <c r="G59" s="64"/>
      <c r="H59" s="64"/>
      <c r="I59" s="64"/>
      <c r="J59" s="64"/>
      <c r="K59" s="10"/>
      <c r="L59" s="64"/>
      <c r="M59" s="10"/>
      <c r="N59" s="10"/>
      <c r="O59" s="10"/>
      <c r="P59" s="63"/>
      <c r="Q59" s="10"/>
      <c r="R59" s="10"/>
    </row>
    <row r="60" spans="2:22" ht="16">
      <c r="B60" s="607" t="s">
        <v>586</v>
      </c>
      <c r="C60" s="608"/>
      <c r="D60" s="615" t="s">
        <v>375</v>
      </c>
      <c r="E60" s="20"/>
      <c r="F60" s="61"/>
      <c r="G60" s="20"/>
      <c r="H60" s="20"/>
      <c r="I60" s="20"/>
      <c r="J60" s="20"/>
      <c r="K60" s="10"/>
      <c r="L60" s="64"/>
      <c r="M60" s="10"/>
      <c r="N60" s="10"/>
      <c r="O60" s="10"/>
      <c r="P60" s="63"/>
      <c r="Q60" s="10"/>
      <c r="R60" s="10"/>
    </row>
    <row r="61" spans="2:22" ht="16">
      <c r="B61" s="20"/>
      <c r="C61" s="20"/>
      <c r="D61" s="20"/>
      <c r="E61" s="69"/>
      <c r="F61" s="61"/>
      <c r="G61" s="20"/>
      <c r="H61" s="20"/>
      <c r="I61" s="20"/>
      <c r="J61" s="79"/>
      <c r="K61" s="10"/>
      <c r="L61" s="10"/>
      <c r="M61" s="10"/>
      <c r="N61" s="10"/>
      <c r="O61" s="10"/>
      <c r="P61" s="10"/>
      <c r="Q61" s="10"/>
      <c r="R61" s="10"/>
    </row>
    <row r="62" spans="2:22" ht="16">
      <c r="B62" s="20"/>
      <c r="C62" s="20"/>
      <c r="D62" s="20"/>
      <c r="E62" s="69"/>
      <c r="F62" s="61"/>
      <c r="G62" s="20"/>
      <c r="H62" s="20"/>
      <c r="I62" s="20"/>
      <c r="J62" s="20"/>
      <c r="K62" s="10"/>
      <c r="L62" s="64"/>
      <c r="M62" s="10"/>
      <c r="N62" s="363"/>
      <c r="O62" s="10"/>
      <c r="P62" s="51"/>
      <c r="Q62" s="10"/>
      <c r="R62" s="255"/>
    </row>
    <row r="63" spans="2:22" ht="16">
      <c r="B63" s="20"/>
      <c r="C63" s="20"/>
      <c r="D63" s="20"/>
      <c r="E63" s="71"/>
      <c r="F63" s="10"/>
      <c r="G63" s="20"/>
      <c r="H63" s="20"/>
      <c r="I63" s="20"/>
      <c r="J63" s="20"/>
      <c r="K63" s="10"/>
      <c r="L63" s="20"/>
      <c r="M63" s="10"/>
      <c r="N63" s="10"/>
      <c r="O63" s="10"/>
      <c r="P63" s="51"/>
      <c r="Q63" s="10"/>
      <c r="R63" s="255"/>
    </row>
    <row r="64" spans="2:22" ht="16">
      <c r="B64" s="20"/>
      <c r="C64" s="20"/>
      <c r="D64" s="73"/>
      <c r="E64" s="364"/>
      <c r="F64" s="64"/>
      <c r="G64" s="20"/>
      <c r="H64" s="20"/>
      <c r="I64" s="20"/>
      <c r="J64" s="86"/>
      <c r="K64" s="10"/>
      <c r="L64" s="51"/>
      <c r="M64" s="10"/>
      <c r="N64" s="38"/>
      <c r="O64" s="10"/>
      <c r="P64" s="51"/>
      <c r="Q64" s="10"/>
      <c r="R64" s="255"/>
    </row>
    <row r="65" spans="2:18" ht="16">
      <c r="B65" s="10"/>
      <c r="C65" s="20"/>
      <c r="D65" s="73"/>
      <c r="E65" s="80"/>
      <c r="F65" s="20"/>
      <c r="G65" s="10"/>
      <c r="H65" s="20"/>
      <c r="I65" s="20"/>
      <c r="J65" s="79"/>
      <c r="K65" s="10"/>
      <c r="L65" s="64"/>
      <c r="M65" s="10"/>
      <c r="N65" s="365"/>
      <c r="O65" s="10"/>
      <c r="P65" s="51"/>
      <c r="Q65" s="10"/>
      <c r="R65" s="255"/>
    </row>
    <row r="66" spans="2:18" ht="16">
      <c r="B66" s="10"/>
      <c r="C66" s="20"/>
      <c r="D66" s="73"/>
      <c r="E66" s="80"/>
      <c r="F66" s="20"/>
      <c r="G66" s="10"/>
      <c r="H66" s="20"/>
      <c r="I66" s="20"/>
      <c r="J66" s="79"/>
      <c r="K66" s="10"/>
      <c r="L66" s="10"/>
      <c r="M66" s="10"/>
      <c r="N66" s="254"/>
      <c r="O66" s="20"/>
      <c r="P66" s="51"/>
      <c r="Q66" s="10"/>
      <c r="R66" s="255"/>
    </row>
    <row r="67" spans="2:18" ht="16">
      <c r="B67" s="10"/>
      <c r="C67" s="20"/>
      <c r="D67" s="73"/>
      <c r="E67" s="80"/>
      <c r="F67" s="20"/>
      <c r="G67" s="10"/>
      <c r="H67" s="20"/>
      <c r="I67" s="20"/>
      <c r="J67" s="79"/>
      <c r="K67" s="10"/>
      <c r="L67" s="20"/>
      <c r="M67" s="10"/>
      <c r="N67" s="10"/>
      <c r="O67" s="10"/>
      <c r="P67" s="115"/>
      <c r="Q67" s="115"/>
      <c r="R67" s="362"/>
    </row>
    <row r="68" spans="2:18" ht="16">
      <c r="B68" s="20"/>
      <c r="C68" s="20"/>
      <c r="D68" s="73"/>
      <c r="E68" s="80"/>
      <c r="F68" s="20"/>
      <c r="G68" s="20"/>
      <c r="H68" s="20"/>
      <c r="I68" s="20"/>
      <c r="J68" s="79"/>
      <c r="K68" s="10"/>
      <c r="L68" s="64"/>
      <c r="M68" s="10"/>
      <c r="N68" s="10"/>
      <c r="O68" s="79"/>
      <c r="P68" s="115"/>
      <c r="Q68" s="115"/>
      <c r="R68" s="116"/>
    </row>
    <row r="69" spans="2:18" ht="16">
      <c r="B69" s="20"/>
      <c r="C69" s="20"/>
      <c r="D69" s="73"/>
      <c r="E69" s="80"/>
      <c r="F69" s="20"/>
      <c r="G69" s="20"/>
      <c r="H69" s="20"/>
      <c r="I69" s="20"/>
      <c r="J69" s="79"/>
      <c r="K69" s="10"/>
      <c r="L69" s="64"/>
      <c r="M69" s="10"/>
      <c r="N69" s="10"/>
      <c r="O69" s="20"/>
      <c r="P69" s="10"/>
      <c r="Q69" s="10"/>
      <c r="R69" s="81"/>
    </row>
    <row r="70" spans="2:18" ht="16">
      <c r="B70" s="20"/>
      <c r="C70" s="20"/>
      <c r="D70" s="20"/>
      <c r="E70" s="84"/>
      <c r="F70" s="20"/>
      <c r="G70" s="20"/>
      <c r="H70" s="20"/>
      <c r="I70" s="20"/>
      <c r="J70" s="263"/>
      <c r="K70" s="10"/>
      <c r="L70" s="10"/>
      <c r="M70" s="10"/>
      <c r="N70" s="10"/>
      <c r="O70" s="20"/>
      <c r="P70" s="51"/>
      <c r="Q70" s="10"/>
      <c r="R70" s="252"/>
    </row>
    <row r="71" spans="2:18" ht="16">
      <c r="B71" s="20"/>
      <c r="C71" s="20"/>
      <c r="D71" s="20"/>
      <c r="E71" s="87"/>
      <c r="F71" s="20"/>
      <c r="G71" s="20"/>
      <c r="H71" s="20"/>
      <c r="I71" s="20"/>
      <c r="J71" s="264"/>
      <c r="K71" s="10"/>
      <c r="L71" s="64"/>
      <c r="M71" s="10"/>
      <c r="N71" s="363"/>
      <c r="O71" s="86"/>
      <c r="P71" s="51"/>
      <c r="Q71" s="10"/>
      <c r="R71" s="253"/>
    </row>
    <row r="72" spans="2:18" ht="16">
      <c r="B72" s="20"/>
      <c r="C72" s="20"/>
      <c r="D72" s="20"/>
      <c r="E72" s="20"/>
      <c r="F72" s="20"/>
      <c r="G72" s="20"/>
      <c r="H72" s="20"/>
      <c r="I72" s="20"/>
      <c r="J72" s="20"/>
      <c r="K72" s="10"/>
      <c r="L72" s="20"/>
      <c r="M72" s="10"/>
      <c r="N72" s="10"/>
      <c r="O72" s="10"/>
      <c r="P72" s="64"/>
      <c r="Q72" s="10"/>
      <c r="R72" s="75"/>
    </row>
    <row r="73" spans="2:18" ht="16">
      <c r="B73" s="90"/>
      <c r="C73" s="20"/>
      <c r="D73" s="73"/>
      <c r="E73" s="91"/>
      <c r="F73" s="20"/>
      <c r="G73" s="90"/>
      <c r="H73" s="20"/>
      <c r="I73" s="73"/>
      <c r="J73" s="91"/>
      <c r="K73" s="10"/>
      <c r="L73" s="51"/>
      <c r="M73" s="10"/>
      <c r="N73" s="38"/>
      <c r="O73" s="10"/>
      <c r="P73" s="10"/>
      <c r="Q73" s="10"/>
      <c r="R73" s="254"/>
    </row>
    <row r="74" spans="2:18" ht="16">
      <c r="B74" s="90"/>
      <c r="C74" s="20"/>
      <c r="D74" s="20"/>
      <c r="E74" s="91"/>
      <c r="F74" s="20"/>
      <c r="G74" s="90"/>
      <c r="H74" s="20"/>
      <c r="I74" s="20"/>
      <c r="J74" s="91"/>
      <c r="K74" s="10"/>
      <c r="L74" s="64"/>
      <c r="M74" s="10"/>
      <c r="N74" s="365"/>
      <c r="O74" s="10"/>
      <c r="P74" s="10"/>
      <c r="Q74" s="10"/>
      <c r="R74" s="10"/>
    </row>
    <row r="75" spans="2:18" ht="16">
      <c r="B75" s="112"/>
      <c r="C75" s="20"/>
      <c r="D75" s="20"/>
      <c r="E75" s="366"/>
      <c r="F75" s="20"/>
      <c r="G75" s="112"/>
      <c r="H75" s="20"/>
      <c r="I75" s="20"/>
      <c r="J75" s="366"/>
      <c r="K75" s="10"/>
      <c r="L75" s="10"/>
      <c r="M75" s="10"/>
      <c r="N75" s="254"/>
      <c r="O75" s="10"/>
      <c r="P75" s="10"/>
      <c r="Q75" s="10"/>
      <c r="R75" s="10"/>
    </row>
    <row r="76" spans="2:18" ht="16">
      <c r="B76" s="90"/>
      <c r="C76" s="20"/>
      <c r="D76" s="20"/>
      <c r="E76" s="101"/>
      <c r="F76" s="20"/>
      <c r="G76" s="90"/>
      <c r="H76" s="20"/>
      <c r="I76" s="20"/>
      <c r="J76" s="101"/>
      <c r="K76" s="10"/>
      <c r="L76" s="20"/>
      <c r="M76" s="79"/>
      <c r="N76" s="10"/>
      <c r="O76" s="10"/>
      <c r="P76" s="10"/>
      <c r="Q76" s="10"/>
      <c r="R76" s="10"/>
    </row>
    <row r="77" spans="2:18" ht="16">
      <c r="B77" s="102"/>
      <c r="C77" s="20"/>
      <c r="D77" s="20"/>
      <c r="E77" s="367"/>
      <c r="F77" s="20"/>
      <c r="G77" s="102"/>
      <c r="H77" s="20"/>
      <c r="I77" s="20"/>
      <c r="J77" s="367"/>
      <c r="K77" s="10"/>
      <c r="L77" s="64"/>
      <c r="M77" s="10"/>
      <c r="N77" s="10"/>
      <c r="O77" s="10"/>
      <c r="P77" s="10"/>
      <c r="Q77" s="10"/>
      <c r="R77" s="10"/>
    </row>
    <row r="78" spans="2:18" ht="16">
      <c r="B78" s="20"/>
      <c r="C78" s="20"/>
      <c r="D78" s="20"/>
      <c r="E78" s="20"/>
      <c r="F78" s="20"/>
      <c r="G78" s="20"/>
      <c r="H78" s="20"/>
      <c r="I78" s="20"/>
      <c r="J78" s="20"/>
      <c r="K78" s="10"/>
      <c r="L78" s="64"/>
      <c r="M78" s="10"/>
      <c r="N78" s="10"/>
      <c r="O78" s="10"/>
      <c r="P78" s="251"/>
      <c r="Q78" s="10"/>
      <c r="R78" s="10"/>
    </row>
    <row r="79" spans="2:18" ht="16">
      <c r="B79" s="20"/>
      <c r="C79" s="20"/>
      <c r="D79" s="20"/>
      <c r="E79" s="368"/>
      <c r="F79" s="20"/>
      <c r="G79" s="20"/>
      <c r="H79" s="20"/>
      <c r="I79" s="20"/>
      <c r="J79" s="368"/>
      <c r="K79" s="10"/>
      <c r="L79" s="10"/>
      <c r="M79" s="10"/>
      <c r="N79" s="10"/>
      <c r="O79" s="10"/>
      <c r="P79" s="10"/>
      <c r="Q79" s="10"/>
      <c r="R79" s="10"/>
    </row>
    <row r="80" spans="2:18" ht="16">
      <c r="B80" s="105"/>
      <c r="C80" s="20"/>
      <c r="D80" s="20"/>
      <c r="E80" s="368"/>
      <c r="F80" s="20"/>
      <c r="G80" s="105"/>
      <c r="H80" s="20"/>
      <c r="I80" s="20"/>
      <c r="J80" s="368"/>
      <c r="K80" s="10"/>
      <c r="L80" s="64"/>
      <c r="M80" s="10"/>
      <c r="N80" s="363"/>
      <c r="O80" s="10"/>
      <c r="P80" s="10"/>
      <c r="Q80" s="10"/>
      <c r="R80" s="10"/>
    </row>
    <row r="81" spans="2:18" ht="16">
      <c r="B81" s="105"/>
      <c r="C81" s="20"/>
      <c r="D81" s="20"/>
      <c r="E81" s="368"/>
      <c r="F81" s="20"/>
      <c r="G81" s="105"/>
      <c r="H81" s="20"/>
      <c r="I81" s="20"/>
      <c r="J81" s="368"/>
      <c r="K81" s="10"/>
      <c r="L81" s="20"/>
      <c r="M81" s="10"/>
      <c r="N81" s="10"/>
      <c r="O81" s="10"/>
      <c r="P81" s="10"/>
      <c r="Q81" s="10"/>
      <c r="R81" s="10"/>
    </row>
    <row r="82" spans="2:18" ht="16">
      <c r="B82" s="105"/>
      <c r="C82" s="20"/>
      <c r="D82" s="20"/>
      <c r="E82" s="368"/>
      <c r="F82" s="20"/>
      <c r="G82" s="105"/>
      <c r="H82" s="20"/>
      <c r="I82" s="20"/>
      <c r="J82" s="368"/>
      <c r="K82" s="10"/>
      <c r="L82" s="51"/>
      <c r="M82" s="10"/>
      <c r="N82" s="38"/>
      <c r="O82" s="10"/>
      <c r="P82" s="10"/>
      <c r="Q82" s="10"/>
      <c r="R82" s="10"/>
    </row>
    <row r="83" spans="2:18" ht="16">
      <c r="B83" s="105"/>
      <c r="C83" s="20"/>
      <c r="D83" s="20"/>
      <c r="E83" s="368"/>
      <c r="F83" s="20"/>
      <c r="G83" s="105"/>
      <c r="H83" s="20"/>
      <c r="I83" s="20"/>
      <c r="J83" s="368"/>
      <c r="K83" s="10"/>
      <c r="L83" s="64"/>
      <c r="M83" s="10"/>
      <c r="N83" s="365"/>
      <c r="O83" s="10"/>
      <c r="P83" s="10"/>
      <c r="Q83" s="10"/>
      <c r="R83" s="10"/>
    </row>
    <row r="84" spans="2:18" ht="16">
      <c r="B84" s="105"/>
      <c r="C84" s="20"/>
      <c r="D84" s="20"/>
      <c r="E84" s="368"/>
      <c r="F84" s="20"/>
      <c r="G84" s="105"/>
      <c r="H84" s="20"/>
      <c r="I84" s="20"/>
      <c r="J84" s="368"/>
      <c r="K84" s="10"/>
      <c r="L84" s="10"/>
      <c r="M84" s="10"/>
      <c r="N84" s="254"/>
      <c r="O84" s="10"/>
      <c r="P84" s="10"/>
      <c r="Q84" s="10"/>
      <c r="R84" s="10"/>
    </row>
    <row r="85" spans="2:18" ht="16">
      <c r="B85" s="105"/>
      <c r="C85" s="20"/>
      <c r="D85" s="20"/>
      <c r="E85" s="368"/>
      <c r="F85" s="20"/>
      <c r="G85" s="105"/>
      <c r="H85" s="20"/>
      <c r="I85" s="20"/>
      <c r="J85" s="368"/>
      <c r="K85" s="10"/>
      <c r="L85" s="20"/>
      <c r="M85" s="79"/>
      <c r="N85" s="10"/>
      <c r="O85" s="10"/>
      <c r="P85" s="10"/>
      <c r="Q85" s="10"/>
      <c r="R85" s="10"/>
    </row>
    <row r="86" spans="2:18" ht="16">
      <c r="B86" s="90"/>
      <c r="C86" s="20"/>
      <c r="D86" s="20"/>
      <c r="E86" s="108"/>
      <c r="F86" s="20"/>
      <c r="G86" s="90"/>
      <c r="H86" s="20"/>
      <c r="I86" s="20"/>
      <c r="J86" s="101"/>
      <c r="K86" s="10"/>
      <c r="L86" s="64"/>
      <c r="M86" s="10"/>
      <c r="N86" s="10"/>
      <c r="O86" s="10"/>
      <c r="P86" s="10"/>
      <c r="Q86" s="10"/>
      <c r="R86" s="10"/>
    </row>
    <row r="87" spans="2:18" ht="16">
      <c r="B87" s="112"/>
      <c r="C87" s="20"/>
      <c r="D87" s="20"/>
      <c r="E87" s="366"/>
      <c r="F87" s="20"/>
      <c r="G87" s="112"/>
      <c r="H87" s="20"/>
      <c r="I87" s="20"/>
      <c r="J87" s="366"/>
      <c r="K87" s="10"/>
      <c r="L87" s="64"/>
      <c r="M87" s="10"/>
      <c r="N87" s="10"/>
      <c r="O87" s="10"/>
      <c r="P87" s="10"/>
      <c r="Q87" s="10"/>
      <c r="R87" s="10"/>
    </row>
    <row r="88" spans="2:18" ht="16">
      <c r="B88" s="112"/>
      <c r="C88" s="20"/>
      <c r="D88" s="20"/>
      <c r="E88" s="113"/>
      <c r="F88" s="20"/>
      <c r="G88" s="112"/>
      <c r="H88" s="20"/>
      <c r="I88" s="20"/>
      <c r="J88" s="113"/>
      <c r="K88" s="10"/>
      <c r="L88" s="10"/>
      <c r="M88" s="10"/>
      <c r="N88" s="10"/>
      <c r="O88" s="10"/>
      <c r="P88" s="10"/>
      <c r="Q88" s="10"/>
      <c r="R88" s="10"/>
    </row>
    <row r="89" spans="2:18" ht="16">
      <c r="B89" s="20"/>
      <c r="C89" s="20"/>
      <c r="D89" s="20"/>
      <c r="E89" s="114"/>
      <c r="F89" s="20"/>
      <c r="G89" s="20"/>
      <c r="H89" s="20"/>
      <c r="I89" s="20"/>
      <c r="J89" s="114"/>
      <c r="K89" s="10"/>
      <c r="L89" s="64"/>
      <c r="M89" s="10"/>
      <c r="N89" s="363"/>
      <c r="O89" s="10"/>
      <c r="P89" s="10"/>
      <c r="Q89" s="10"/>
      <c r="R89" s="10"/>
    </row>
    <row r="90" spans="2:18" ht="16">
      <c r="B90" s="20"/>
      <c r="C90" s="20"/>
      <c r="D90" s="20"/>
      <c r="E90" s="38"/>
      <c r="F90" s="20"/>
      <c r="G90" s="20"/>
      <c r="H90" s="20"/>
      <c r="I90" s="20"/>
      <c r="J90" s="38"/>
      <c r="K90" s="10"/>
      <c r="L90" s="20"/>
      <c r="M90" s="10"/>
      <c r="N90" s="10"/>
      <c r="O90" s="10"/>
      <c r="P90" s="10"/>
      <c r="Q90" s="10"/>
      <c r="R90" s="10"/>
    </row>
    <row r="91" spans="2:18" ht="16">
      <c r="B91" s="115"/>
      <c r="C91" s="115"/>
      <c r="D91" s="115"/>
      <c r="E91" s="362"/>
      <c r="F91" s="20"/>
      <c r="G91" s="115"/>
      <c r="H91" s="115"/>
      <c r="I91" s="115"/>
      <c r="J91" s="362"/>
      <c r="K91" s="10"/>
      <c r="L91" s="51"/>
      <c r="M91" s="10"/>
      <c r="N91" s="38"/>
      <c r="O91" s="10"/>
      <c r="P91" s="10"/>
      <c r="Q91" s="10"/>
      <c r="R91" s="10"/>
    </row>
    <row r="92" spans="2:18" ht="16">
      <c r="B92" s="115"/>
      <c r="C92" s="115"/>
      <c r="D92" s="115"/>
      <c r="E92" s="116"/>
      <c r="F92" s="20"/>
      <c r="G92" s="115"/>
      <c r="H92" s="115"/>
      <c r="I92" s="115"/>
      <c r="J92" s="116"/>
      <c r="K92" s="10"/>
      <c r="L92" s="64"/>
      <c r="M92" s="10"/>
      <c r="N92" s="365"/>
      <c r="O92" s="10"/>
      <c r="P92" s="10"/>
      <c r="Q92" s="10"/>
      <c r="R92" s="10"/>
    </row>
    <row r="95" spans="2:18" ht="16">
      <c r="B95" s="64"/>
      <c r="C95" s="64"/>
      <c r="D95" s="64"/>
      <c r="E95" s="64"/>
      <c r="F95" s="61"/>
      <c r="G95" s="64"/>
      <c r="H95" s="64"/>
      <c r="I95" s="64"/>
      <c r="J95" s="64"/>
      <c r="K95" s="10"/>
      <c r="L95" s="64"/>
      <c r="M95" s="10"/>
      <c r="N95" s="10"/>
      <c r="O95" s="10"/>
    </row>
    <row r="96" spans="2:18" ht="16">
      <c r="B96" s="20"/>
      <c r="C96" s="20"/>
      <c r="D96" s="20"/>
      <c r="E96" s="20"/>
      <c r="F96" s="61"/>
      <c r="G96" s="20"/>
      <c r="H96" s="20"/>
      <c r="I96" s="20"/>
      <c r="J96" s="20"/>
      <c r="K96" s="10"/>
      <c r="L96" s="64"/>
      <c r="M96" s="10"/>
      <c r="N96" s="10"/>
      <c r="O96" s="10"/>
    </row>
    <row r="97" spans="2:18" ht="16">
      <c r="B97" s="20"/>
      <c r="C97" s="20"/>
      <c r="D97" s="20"/>
      <c r="E97" s="69"/>
      <c r="F97" s="61"/>
      <c r="G97" s="20"/>
      <c r="H97" s="20"/>
      <c r="I97" s="20"/>
      <c r="J97" s="79"/>
      <c r="K97" s="10"/>
      <c r="L97" s="10"/>
      <c r="M97" s="10"/>
      <c r="N97" s="10"/>
      <c r="O97" s="10"/>
    </row>
    <row r="98" spans="2:18" ht="16">
      <c r="B98" s="20"/>
      <c r="C98" s="20"/>
      <c r="D98" s="20"/>
      <c r="E98" s="69"/>
      <c r="F98" s="61"/>
      <c r="G98" s="20"/>
      <c r="H98" s="20"/>
      <c r="I98" s="20"/>
      <c r="J98" s="20"/>
      <c r="K98" s="10"/>
      <c r="L98" s="64"/>
      <c r="M98" s="10"/>
      <c r="N98" s="363"/>
      <c r="O98" s="10"/>
    </row>
    <row r="99" spans="2:18" ht="16">
      <c r="B99" s="20"/>
      <c r="C99" s="20"/>
      <c r="D99" s="20"/>
      <c r="E99" s="71"/>
      <c r="F99" s="10"/>
      <c r="G99" s="20"/>
      <c r="H99" s="20"/>
      <c r="I99" s="20"/>
      <c r="J99" s="20"/>
      <c r="K99" s="10"/>
      <c r="L99" s="20"/>
      <c r="M99" s="10"/>
      <c r="N99" s="10"/>
      <c r="O99" s="10"/>
    </row>
    <row r="100" spans="2:18" ht="16">
      <c r="B100" s="20"/>
      <c r="C100" s="20"/>
      <c r="D100" s="73"/>
      <c r="E100" s="364"/>
      <c r="F100" s="64"/>
      <c r="G100" s="20"/>
      <c r="H100" s="20"/>
      <c r="I100" s="20"/>
      <c r="J100" s="86"/>
      <c r="K100" s="10"/>
      <c r="L100" s="51"/>
      <c r="M100" s="10"/>
      <c r="N100" s="38"/>
      <c r="O100" s="10"/>
    </row>
    <row r="101" spans="2:18" ht="16">
      <c r="B101" s="10"/>
      <c r="C101" s="20"/>
      <c r="D101" s="73"/>
      <c r="E101" s="80"/>
      <c r="F101" s="20"/>
      <c r="G101" s="10"/>
      <c r="H101" s="20"/>
      <c r="I101" s="20"/>
      <c r="J101" s="79"/>
      <c r="K101" s="10"/>
      <c r="L101" s="64"/>
      <c r="M101" s="10"/>
      <c r="N101" s="365"/>
      <c r="O101" s="10"/>
    </row>
    <row r="102" spans="2:18" ht="16">
      <c r="B102" s="10"/>
      <c r="C102" s="20"/>
      <c r="D102" s="73"/>
      <c r="E102" s="80"/>
      <c r="F102" s="20"/>
      <c r="G102" s="10"/>
      <c r="H102" s="20"/>
      <c r="I102" s="20"/>
      <c r="J102" s="79"/>
      <c r="K102" s="10"/>
      <c r="L102" s="10"/>
      <c r="M102" s="10"/>
      <c r="N102" s="254"/>
      <c r="O102" s="20"/>
    </row>
    <row r="103" spans="2:18" ht="16">
      <c r="B103" s="10"/>
      <c r="C103" s="20"/>
      <c r="D103" s="73"/>
      <c r="E103" s="80"/>
      <c r="F103" s="20"/>
      <c r="G103" s="10"/>
      <c r="H103" s="20"/>
      <c r="I103" s="20"/>
      <c r="J103" s="79"/>
      <c r="K103" s="10"/>
      <c r="L103" s="20"/>
      <c r="M103" s="10"/>
      <c r="N103" s="10"/>
      <c r="O103" s="10"/>
    </row>
    <row r="104" spans="2:18" ht="16">
      <c r="B104" s="20"/>
      <c r="C104" s="20"/>
      <c r="D104" s="73"/>
      <c r="E104" s="80"/>
      <c r="F104" s="20"/>
      <c r="G104" s="20"/>
      <c r="H104" s="20"/>
      <c r="I104" s="20"/>
      <c r="J104" s="79"/>
      <c r="K104" s="10"/>
      <c r="L104" s="64"/>
      <c r="M104" s="10"/>
      <c r="N104" s="10"/>
      <c r="O104" s="79"/>
    </row>
    <row r="105" spans="2:18" ht="16">
      <c r="B105" s="20"/>
      <c r="C105" s="20"/>
      <c r="D105" s="73"/>
      <c r="E105" s="80"/>
      <c r="F105" s="20"/>
      <c r="G105" s="20"/>
      <c r="H105" s="20"/>
      <c r="I105" s="20"/>
      <c r="J105" s="79"/>
      <c r="K105" s="10"/>
      <c r="L105" s="64"/>
      <c r="M105" s="10"/>
      <c r="N105" s="10"/>
      <c r="O105" s="20"/>
      <c r="P105" s="10"/>
      <c r="Q105" s="10"/>
      <c r="R105" s="81"/>
    </row>
    <row r="106" spans="2:18" ht="16">
      <c r="B106" s="20"/>
      <c r="C106" s="20"/>
      <c r="D106" s="20"/>
      <c r="E106" s="84"/>
      <c r="F106" s="20"/>
      <c r="G106" s="20"/>
      <c r="H106" s="20"/>
      <c r="I106" s="20"/>
      <c r="J106" s="263"/>
      <c r="K106" s="10"/>
      <c r="L106" s="10"/>
      <c r="M106" s="10"/>
      <c r="N106" s="10"/>
      <c r="O106" s="20"/>
      <c r="P106" s="51"/>
      <c r="Q106" s="10"/>
      <c r="R106" s="252"/>
    </row>
    <row r="107" spans="2:18" ht="16">
      <c r="B107" s="20"/>
      <c r="C107" s="20"/>
      <c r="D107" s="20"/>
      <c r="E107" s="87"/>
      <c r="F107" s="20"/>
      <c r="G107" s="20"/>
      <c r="H107" s="20"/>
      <c r="I107" s="20"/>
      <c r="J107" s="264"/>
      <c r="K107" s="10"/>
      <c r="L107" s="64"/>
      <c r="M107" s="10"/>
      <c r="N107" s="363"/>
      <c r="O107" s="86"/>
      <c r="P107" s="51"/>
      <c r="Q107" s="10"/>
      <c r="R107" s="253"/>
    </row>
    <row r="108" spans="2:18" ht="16">
      <c r="B108" s="20"/>
      <c r="C108" s="20"/>
      <c r="D108" s="20"/>
      <c r="E108" s="20"/>
      <c r="F108" s="20"/>
      <c r="G108" s="20"/>
      <c r="H108" s="20"/>
      <c r="I108" s="20"/>
      <c r="J108" s="20"/>
      <c r="K108" s="10"/>
      <c r="L108" s="20"/>
      <c r="M108" s="10"/>
      <c r="N108" s="10"/>
      <c r="O108" s="10"/>
      <c r="P108" s="64"/>
      <c r="Q108" s="10"/>
      <c r="R108" s="75"/>
    </row>
    <row r="109" spans="2:18" ht="16">
      <c r="B109" s="90"/>
      <c r="C109" s="20"/>
      <c r="D109" s="73"/>
      <c r="E109" s="91"/>
      <c r="F109" s="20"/>
      <c r="G109" s="90"/>
      <c r="H109" s="20"/>
      <c r="I109" s="73"/>
      <c r="J109" s="91"/>
      <c r="K109" s="10"/>
      <c r="L109" s="51"/>
      <c r="M109" s="10"/>
      <c r="N109" s="38"/>
      <c r="O109" s="10"/>
      <c r="P109" s="10"/>
      <c r="Q109" s="10"/>
      <c r="R109" s="254"/>
    </row>
    <row r="110" spans="2:18" ht="16">
      <c r="B110" s="90"/>
      <c r="C110" s="20"/>
      <c r="D110" s="20"/>
      <c r="E110" s="91"/>
      <c r="F110" s="20"/>
      <c r="G110" s="90"/>
      <c r="H110" s="20"/>
      <c r="I110" s="20"/>
      <c r="J110" s="91"/>
      <c r="K110" s="10"/>
      <c r="L110" s="64"/>
      <c r="M110" s="10"/>
      <c r="N110" s="365"/>
      <c r="O110" s="10"/>
      <c r="P110" s="10"/>
      <c r="Q110" s="10"/>
      <c r="R110" s="10"/>
    </row>
    <row r="111" spans="2:18" ht="16">
      <c r="B111" s="112"/>
      <c r="C111" s="20"/>
      <c r="D111" s="20"/>
      <c r="E111" s="366"/>
      <c r="F111" s="20"/>
      <c r="G111" s="112"/>
      <c r="H111" s="20"/>
      <c r="I111" s="20"/>
      <c r="J111" s="366"/>
      <c r="K111" s="10"/>
      <c r="L111" s="10"/>
      <c r="M111" s="10"/>
      <c r="N111" s="254"/>
      <c r="O111" s="10"/>
      <c r="P111" s="10"/>
      <c r="Q111" s="10"/>
      <c r="R111" s="10"/>
    </row>
    <row r="112" spans="2:18" ht="16">
      <c r="B112" s="90"/>
      <c r="C112" s="20"/>
      <c r="D112" s="20"/>
      <c r="E112" s="101"/>
      <c r="F112" s="20"/>
      <c r="G112" s="90"/>
      <c r="H112" s="20"/>
      <c r="I112" s="20"/>
      <c r="J112" s="101"/>
      <c r="K112" s="10"/>
      <c r="L112" s="20"/>
      <c r="M112" s="79"/>
      <c r="N112" s="10"/>
      <c r="O112" s="10"/>
      <c r="P112" s="10"/>
      <c r="Q112" s="10"/>
      <c r="R112" s="10"/>
    </row>
    <row r="113" spans="2:18" ht="16">
      <c r="B113" s="102"/>
      <c r="C113" s="20"/>
      <c r="D113" s="20"/>
      <c r="E113" s="367"/>
      <c r="F113" s="20"/>
      <c r="G113" s="102"/>
      <c r="H113" s="20"/>
      <c r="I113" s="20"/>
      <c r="J113" s="367"/>
      <c r="K113" s="10"/>
      <c r="L113" s="64"/>
      <c r="M113" s="10"/>
      <c r="N113" s="10"/>
      <c r="O113" s="10"/>
      <c r="P113" s="10"/>
      <c r="Q113" s="10"/>
      <c r="R113" s="10"/>
    </row>
    <row r="114" spans="2:18" ht="16">
      <c r="B114" s="20"/>
      <c r="C114" s="20"/>
      <c r="D114" s="20"/>
      <c r="E114" s="20"/>
      <c r="F114" s="20"/>
      <c r="G114" s="20"/>
      <c r="H114" s="20"/>
      <c r="I114" s="20"/>
      <c r="J114" s="20"/>
      <c r="K114" s="10"/>
      <c r="L114" s="64"/>
      <c r="M114" s="10"/>
      <c r="N114" s="10"/>
      <c r="O114" s="10"/>
      <c r="P114" s="251"/>
      <c r="Q114" s="10"/>
      <c r="R114" s="10"/>
    </row>
    <row r="115" spans="2:18" ht="16">
      <c r="B115" s="20"/>
      <c r="C115" s="20"/>
      <c r="D115" s="20"/>
      <c r="E115" s="368"/>
      <c r="F115" s="20"/>
      <c r="G115" s="20"/>
      <c r="H115" s="20"/>
      <c r="I115" s="20"/>
      <c r="J115" s="368"/>
      <c r="K115" s="10"/>
      <c r="L115" s="10"/>
      <c r="M115" s="10"/>
      <c r="N115" s="10"/>
      <c r="O115" s="10"/>
      <c r="P115" s="10"/>
      <c r="Q115" s="10"/>
      <c r="R115" s="10"/>
    </row>
    <row r="116" spans="2:18" ht="16">
      <c r="B116" s="105"/>
      <c r="C116" s="20"/>
      <c r="D116" s="20"/>
      <c r="E116" s="368"/>
      <c r="F116" s="20"/>
      <c r="G116" s="105"/>
      <c r="H116" s="20"/>
      <c r="I116" s="20"/>
      <c r="J116" s="368"/>
      <c r="K116" s="10"/>
      <c r="L116" s="64"/>
      <c r="M116" s="10"/>
      <c r="N116" s="363"/>
      <c r="O116" s="10"/>
      <c r="P116" s="10"/>
      <c r="Q116" s="10"/>
      <c r="R116" s="10"/>
    </row>
    <row r="117" spans="2:18" ht="16">
      <c r="B117" s="105"/>
      <c r="C117" s="20"/>
      <c r="D117" s="20"/>
      <c r="E117" s="368"/>
      <c r="F117" s="20"/>
      <c r="G117" s="105"/>
      <c r="H117" s="20"/>
      <c r="I117" s="20"/>
      <c r="J117" s="368"/>
      <c r="K117" s="10"/>
      <c r="L117" s="20"/>
      <c r="M117" s="10"/>
      <c r="N117" s="10"/>
      <c r="O117" s="10"/>
      <c r="P117" s="10"/>
      <c r="Q117" s="10"/>
      <c r="R117" s="10"/>
    </row>
    <row r="118" spans="2:18" ht="16">
      <c r="B118" s="105"/>
      <c r="C118" s="20"/>
      <c r="D118" s="20"/>
      <c r="E118" s="368"/>
      <c r="F118" s="20"/>
      <c r="G118" s="105"/>
      <c r="H118" s="20"/>
      <c r="I118" s="20"/>
      <c r="J118" s="368"/>
      <c r="K118" s="10"/>
      <c r="L118" s="51"/>
      <c r="M118" s="10"/>
      <c r="N118" s="38"/>
      <c r="O118" s="10"/>
      <c r="P118" s="10"/>
      <c r="Q118" s="10"/>
      <c r="R118" s="10"/>
    </row>
    <row r="119" spans="2:18" ht="16">
      <c r="B119" s="105"/>
      <c r="C119" s="20"/>
      <c r="D119" s="20"/>
      <c r="E119" s="368"/>
      <c r="F119" s="20"/>
      <c r="G119" s="105"/>
      <c r="H119" s="20"/>
      <c r="I119" s="20"/>
      <c r="J119" s="368"/>
      <c r="K119" s="10"/>
      <c r="L119" s="64"/>
      <c r="M119" s="10"/>
      <c r="N119" s="365"/>
      <c r="O119" s="10"/>
      <c r="P119" s="10"/>
      <c r="Q119" s="10"/>
      <c r="R119" s="10"/>
    </row>
    <row r="120" spans="2:18" ht="16">
      <c r="B120" s="105"/>
      <c r="C120" s="20"/>
      <c r="D120" s="20"/>
      <c r="E120" s="368"/>
      <c r="F120" s="20"/>
      <c r="G120" s="105"/>
      <c r="H120" s="20"/>
      <c r="I120" s="20"/>
      <c r="J120" s="368"/>
      <c r="K120" s="10"/>
      <c r="L120" s="10"/>
      <c r="M120" s="10"/>
      <c r="N120" s="254"/>
      <c r="O120" s="10"/>
      <c r="P120" s="10"/>
      <c r="Q120" s="10"/>
      <c r="R120" s="10"/>
    </row>
    <row r="121" spans="2:18" ht="16">
      <c r="B121" s="105"/>
      <c r="C121" s="20"/>
      <c r="D121" s="20"/>
      <c r="E121" s="368"/>
      <c r="F121" s="20"/>
      <c r="G121" s="105"/>
      <c r="H121" s="20"/>
      <c r="I121" s="20"/>
      <c r="J121" s="368"/>
      <c r="K121" s="10"/>
      <c r="L121" s="20"/>
      <c r="M121" s="79"/>
      <c r="N121" s="10"/>
      <c r="O121" s="10"/>
      <c r="P121" s="10"/>
      <c r="Q121" s="10"/>
      <c r="R121" s="10"/>
    </row>
    <row r="122" spans="2:18" ht="16">
      <c r="B122" s="90"/>
      <c r="C122" s="20"/>
      <c r="D122" s="20"/>
      <c r="E122" s="108"/>
      <c r="F122" s="20"/>
      <c r="G122" s="90"/>
      <c r="H122" s="20"/>
      <c r="I122" s="20"/>
      <c r="J122" s="101"/>
      <c r="K122" s="10"/>
      <c r="L122" s="64"/>
      <c r="M122" s="10"/>
      <c r="N122" s="10"/>
      <c r="O122" s="10"/>
      <c r="P122" s="10"/>
      <c r="Q122" s="10"/>
      <c r="R122" s="10"/>
    </row>
    <row r="123" spans="2:18" ht="16">
      <c r="B123" s="112"/>
      <c r="C123" s="20"/>
      <c r="D123" s="20"/>
      <c r="E123" s="366"/>
      <c r="F123" s="20"/>
      <c r="G123" s="112"/>
      <c r="H123" s="20"/>
      <c r="I123" s="20"/>
      <c r="J123" s="366"/>
      <c r="K123" s="10"/>
      <c r="L123" s="64"/>
      <c r="M123" s="10"/>
      <c r="N123" s="10"/>
      <c r="O123" s="10"/>
      <c r="P123" s="10"/>
      <c r="Q123" s="10"/>
      <c r="R123" s="10"/>
    </row>
    <row r="124" spans="2:18" ht="16">
      <c r="B124" s="112"/>
      <c r="C124" s="20"/>
      <c r="D124" s="20"/>
      <c r="E124" s="113"/>
      <c r="F124" s="20"/>
      <c r="G124" s="112"/>
      <c r="H124" s="20"/>
      <c r="I124" s="20"/>
      <c r="J124" s="113"/>
      <c r="K124" s="10"/>
      <c r="L124" s="10"/>
      <c r="M124" s="10"/>
      <c r="N124" s="10"/>
      <c r="O124" s="10"/>
      <c r="P124" s="10"/>
      <c r="Q124" s="10"/>
      <c r="R124" s="10"/>
    </row>
    <row r="125" spans="2:18" ht="16">
      <c r="B125" s="20"/>
      <c r="C125" s="20"/>
      <c r="D125" s="20"/>
      <c r="E125" s="114"/>
      <c r="F125" s="20"/>
      <c r="G125" s="20"/>
      <c r="H125" s="20"/>
      <c r="I125" s="20"/>
      <c r="J125" s="114"/>
      <c r="K125" s="10"/>
      <c r="L125" s="64"/>
      <c r="M125" s="10"/>
      <c r="N125" s="363"/>
      <c r="O125" s="10"/>
      <c r="P125" s="10"/>
      <c r="Q125" s="10"/>
      <c r="R125" s="10"/>
    </row>
    <row r="126" spans="2:18" ht="16">
      <c r="B126" s="20"/>
      <c r="C126" s="20"/>
      <c r="D126" s="20"/>
      <c r="E126" s="38"/>
      <c r="F126" s="20"/>
      <c r="G126" s="20"/>
      <c r="H126" s="20"/>
      <c r="I126" s="20"/>
      <c r="J126" s="38"/>
      <c r="K126" s="10"/>
      <c r="L126" s="20"/>
      <c r="M126" s="10"/>
      <c r="N126" s="10"/>
      <c r="O126" s="10"/>
      <c r="P126" s="10"/>
      <c r="Q126" s="10"/>
      <c r="R126" s="10"/>
    </row>
    <row r="127" spans="2:18" ht="16">
      <c r="B127" s="115"/>
      <c r="C127" s="115"/>
      <c r="D127" s="115"/>
      <c r="E127" s="362"/>
      <c r="F127" s="20"/>
      <c r="G127" s="115"/>
      <c r="H127" s="115"/>
      <c r="I127" s="115"/>
      <c r="J127" s="362"/>
      <c r="K127" s="10"/>
      <c r="L127" s="51"/>
      <c r="M127" s="10"/>
      <c r="N127" s="38"/>
      <c r="O127" s="10"/>
      <c r="P127" s="10"/>
      <c r="Q127" s="10"/>
      <c r="R127" s="10"/>
    </row>
    <row r="128" spans="2:18" ht="16">
      <c r="B128" s="115"/>
      <c r="C128" s="115"/>
      <c r="D128" s="115"/>
      <c r="E128" s="116"/>
      <c r="F128" s="20"/>
      <c r="G128" s="115"/>
      <c r="H128" s="115"/>
      <c r="I128" s="115"/>
      <c r="J128" s="116"/>
      <c r="K128" s="10"/>
      <c r="L128" s="64"/>
      <c r="M128" s="10"/>
      <c r="N128" s="365"/>
      <c r="O128" s="10"/>
      <c r="P128" s="10"/>
      <c r="Q128" s="10"/>
      <c r="R128" s="10"/>
    </row>
  </sheetData>
  <mergeCells count="1">
    <mergeCell ref="U22:X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26</vt:i4>
      </vt:variant>
    </vt:vector>
  </HeadingPairs>
  <TitlesOfParts>
    <vt:vector size="38" baseType="lpstr">
      <vt:lpstr>Cover</vt:lpstr>
      <vt:lpstr>Summary</vt:lpstr>
      <vt:lpstr>Graphs</vt:lpstr>
      <vt:lpstr>Model</vt:lpstr>
      <vt:lpstr>Drivers</vt:lpstr>
      <vt:lpstr>Q3</vt:lpstr>
      <vt:lpstr>rNPV</vt:lpstr>
      <vt:lpstr>WACC</vt:lpstr>
      <vt:lpstr>Valsum</vt:lpstr>
      <vt:lpstr>PubComps</vt:lpstr>
      <vt:lpstr>Pubcomps_Data</vt:lpstr>
      <vt:lpstr>PPT</vt:lpstr>
      <vt:lpstr>COGS</vt:lpstr>
      <vt:lpstr>Company_Name</vt:lpstr>
      <vt:lpstr>Cost_of_Debt</vt:lpstr>
      <vt:lpstr>Cost_of_Preferred</vt:lpstr>
      <vt:lpstr>Diluted</vt:lpstr>
      <vt:lpstr>Discount_Rate</vt:lpstr>
      <vt:lpstr>Equity_Risk_Premium</vt:lpstr>
      <vt:lpstr>Forward_Year_1</vt:lpstr>
      <vt:lpstr>Forward_Year_2</vt:lpstr>
      <vt:lpstr>Forward_Year_3</vt:lpstr>
      <vt:lpstr>Hist_Year</vt:lpstr>
      <vt:lpstr>Legal</vt:lpstr>
      <vt:lpstr>LTM</vt:lpstr>
      <vt:lpstr>OpEx</vt:lpstr>
      <vt:lpstr>Pub_Comps_Params</vt:lpstr>
      <vt:lpstr>Pub_Comps_Range</vt:lpstr>
      <vt:lpstr>Pub_Comps_Tickers</vt:lpstr>
      <vt:lpstr>Risk_Free_Rate</vt:lpstr>
      <vt:lpstr>Scenario</vt:lpstr>
      <vt:lpstr>Share_Price</vt:lpstr>
      <vt:lpstr>Tax_Rate</vt:lpstr>
      <vt:lpstr>Terminal_Growth_Rate</vt:lpstr>
      <vt:lpstr>Ticker</vt:lpstr>
      <vt:lpstr>Units</vt:lpstr>
      <vt:lpstr>Vali</vt:lpstr>
      <vt:lpstr>Valuation_Date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Rentrop</dc:creator>
  <cp:lastModifiedBy>glenn Rentrop</cp:lastModifiedBy>
  <dcterms:created xsi:type="dcterms:W3CDTF">2026-01-04T21:04:21Z</dcterms:created>
  <dcterms:modified xsi:type="dcterms:W3CDTF">2026-03-08T23:57:20Z</dcterms:modified>
</cp:coreProperties>
</file>