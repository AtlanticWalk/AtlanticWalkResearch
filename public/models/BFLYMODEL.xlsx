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59063f627c2eb15/Documents/"/>
    </mc:Choice>
  </mc:AlternateContent>
  <xr:revisionPtr revIDLastSave="3914" documentId="8_{947CEAF2-73ED-4F65-B478-D37A56EB32D8}" xr6:coauthVersionLast="47" xr6:coauthVersionMax="47" xr10:uidLastSave="{FD3A48CC-721C-44B3-9238-AFF8750840AA}"/>
  <bookViews>
    <workbookView minimized="1" xWindow="4880" yWindow="1950" windowWidth="12260" windowHeight="10140" firstSheet="1" activeTab="6" xr2:uid="{7F204AB1-C954-4C5D-BC5F-DC48F26C6D60}"/>
  </bookViews>
  <sheets>
    <sheet name="Cover" sheetId="13" r:id="rId1"/>
    <sheet name="Summary" sheetId="12" r:id="rId2"/>
    <sheet name="Graphs" sheetId="11" r:id="rId3"/>
    <sheet name="Q3" sheetId="10" r:id="rId4"/>
    <sheet name="Model" sheetId="1" r:id="rId5"/>
    <sheet name="Drivers" sheetId="2" r:id="rId6"/>
    <sheet name="DCF" sheetId="3" r:id="rId7"/>
    <sheet name="WACC" sheetId="5" r:id="rId8"/>
    <sheet name="Valsum" sheetId="8" r:id="rId9"/>
    <sheet name="ValGraph" sheetId="9" r:id="rId10"/>
    <sheet name="PubComps" sheetId="7" r:id="rId11"/>
    <sheet name="PubComps_Data" sheetId="4" r:id="rId12"/>
    <sheet name="MAComps" sheetId="6" r:id="rId13"/>
    <sheet name="Sample" sheetId="14" r:id="rId14"/>
    <sheet name="PPT" sheetId="15" r:id="rId15"/>
  </sheets>
  <definedNames>
    <definedName name="Company_Name">Model!$G$7</definedName>
    <definedName name="Cost_of_Debt">WACC!$F$8</definedName>
    <definedName name="Cost_of_Preferred">WACC!$F$9</definedName>
    <definedName name="Diluted">Model!$G$10</definedName>
    <definedName name="Discount_Rate">DCF!$G$13</definedName>
    <definedName name="Equity_Risk_Premium">WACC!$F$7</definedName>
    <definedName name="Forward_Year_1">Model!$N$14</definedName>
    <definedName name="Forward_Year_2">Model!$N$15</definedName>
    <definedName name="Forward_Year_3">Model!$N$16</definedName>
    <definedName name="Hist_Year">Model!$N$7</definedName>
    <definedName name="LTM">Model!$N$13</definedName>
    <definedName name="Premium_Case">DCF!$G$6</definedName>
    <definedName name="Premium_Uplift">DCF!#REF!</definedName>
    <definedName name="Pub_Comps_Params">PubComps_Data!$C$3:$C$102</definedName>
    <definedName name="Pub_Comps_Range">PubComps_Data!$C$3:$AL$102</definedName>
    <definedName name="Pub_Comps_Tickers">PubComps_Data!$C$3:$AL$3</definedName>
    <definedName name="Risk_Free_Rate">WACC!$F$6</definedName>
    <definedName name="Scenario">DCF!$G$5</definedName>
    <definedName name="Share_Price">Model!$G$9</definedName>
    <definedName name="Tax_Rate">Model!$G$12</definedName>
    <definedName name="Terminal_Growth_Rate">DCF!$Q$10</definedName>
    <definedName name="Ticker">Model!$G$8</definedName>
    <definedName name="Units">Model!$G$15</definedName>
    <definedName name="Valuation_Date">Model!$N$10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5" l="1"/>
  <c r="X5" i="11" l="1"/>
  <c r="G18" i="10"/>
  <c r="H18" i="10"/>
  <c r="G39" i="10"/>
  <c r="H39" i="10"/>
  <c r="G35" i="10"/>
  <c r="H35" i="10"/>
  <c r="G28" i="10"/>
  <c r="H28" i="10"/>
  <c r="F22" i="10"/>
  <c r="G22" i="10"/>
  <c r="H22" i="10"/>
  <c r="F15" i="10"/>
  <c r="G15" i="10"/>
  <c r="H15" i="10"/>
  <c r="E15" i="10"/>
  <c r="G12" i="10"/>
  <c r="H12" i="10"/>
  <c r="B2" i="10"/>
  <c r="H79" i="1"/>
  <c r="I79" i="1"/>
  <c r="G79" i="1"/>
  <c r="J70" i="1"/>
  <c r="J69" i="1"/>
  <c r="J68" i="1"/>
  <c r="O28" i="2"/>
  <c r="O71" i="1" s="1"/>
  <c r="O23" i="2"/>
  <c r="O70" i="1" s="1"/>
  <c r="O15" i="2"/>
  <c r="O6" i="2"/>
  <c r="K28" i="2"/>
  <c r="K71" i="1" s="1"/>
  <c r="J15" i="2" l="1"/>
  <c r="J6" i="2"/>
  <c r="D12" i="15"/>
  <c r="L45" i="2"/>
  <c r="M45" i="2"/>
  <c r="N45" i="2"/>
  <c r="O45" i="2"/>
  <c r="K45" i="2"/>
  <c r="G71" i="1"/>
  <c r="H71" i="1"/>
  <c r="I71" i="1"/>
  <c r="P33" i="11"/>
  <c r="C27" i="12"/>
  <c r="I49" i="12"/>
  <c r="H49" i="12"/>
  <c r="J65" i="3"/>
  <c r="I65" i="3"/>
  <c r="L25" i="1"/>
  <c r="M25" i="1"/>
  <c r="N25" i="1" s="1"/>
  <c r="O25" i="1" s="1"/>
  <c r="O21" i="2" l="1"/>
  <c r="O69" i="1" s="1"/>
  <c r="O75" i="1" s="1"/>
  <c r="O12" i="2"/>
  <c r="O68" i="1" s="1"/>
  <c r="H22" i="1"/>
  <c r="H20" i="4"/>
  <c r="H21" i="4"/>
  <c r="H22" i="4"/>
  <c r="H23" i="4"/>
  <c r="H24" i="4"/>
  <c r="H25" i="4"/>
  <c r="H27" i="4"/>
  <c r="O72" i="1" l="1"/>
  <c r="O33" i="2"/>
  <c r="B3" i="3"/>
  <c r="B41" i="3"/>
  <c r="G85" i="3"/>
  <c r="H85" i="3" s="1"/>
  <c r="I85" i="3" s="1"/>
  <c r="J85" i="3" s="1"/>
  <c r="K85" i="3" s="1"/>
  <c r="L85" i="3" s="1"/>
  <c r="M85" i="3" s="1"/>
  <c r="N85" i="3" s="1"/>
  <c r="O85" i="3" s="1"/>
  <c r="P85" i="3" s="1"/>
  <c r="G70" i="3"/>
  <c r="H70" i="3" s="1"/>
  <c r="I70" i="3" s="1"/>
  <c r="J70" i="3" s="1"/>
  <c r="K70" i="3" s="1"/>
  <c r="L70" i="3" s="1"/>
  <c r="M70" i="3" s="1"/>
  <c r="N70" i="3" s="1"/>
  <c r="O70" i="3" s="1"/>
  <c r="P70" i="3" s="1"/>
  <c r="E72" i="3"/>
  <c r="E73" i="3" s="1"/>
  <c r="E74" i="3" s="1"/>
  <c r="E75" i="3" s="1"/>
  <c r="E76" i="3" s="1"/>
  <c r="E77" i="3" s="1"/>
  <c r="E78" i="3" s="1"/>
  <c r="E79" i="3" s="1"/>
  <c r="E80" i="3" s="1"/>
  <c r="E81" i="3" s="1"/>
  <c r="H16" i="12"/>
  <c r="I16" i="12"/>
  <c r="G16" i="12"/>
  <c r="H14" i="12"/>
  <c r="I14" i="12"/>
  <c r="G14" i="12"/>
  <c r="N28" i="2"/>
  <c r="M28" i="2"/>
  <c r="L28" i="2"/>
  <c r="K16" i="12"/>
  <c r="J28" i="2"/>
  <c r="J71" i="1" s="1"/>
  <c r="N23" i="2"/>
  <c r="N70" i="1" s="1"/>
  <c r="M23" i="2"/>
  <c r="L23" i="2"/>
  <c r="L70" i="1" s="1"/>
  <c r="K23" i="2"/>
  <c r="K70" i="1" s="1"/>
  <c r="N15" i="2"/>
  <c r="M15" i="2"/>
  <c r="M21" i="2" s="1"/>
  <c r="M69" i="1" s="1"/>
  <c r="L15" i="2"/>
  <c r="L21" i="2" s="1"/>
  <c r="L69" i="1" s="1"/>
  <c r="K15" i="2"/>
  <c r="K21" i="2" s="1"/>
  <c r="K69" i="1" s="1"/>
  <c r="N6" i="2"/>
  <c r="M6" i="2"/>
  <c r="M12" i="2" s="1"/>
  <c r="L6" i="2"/>
  <c r="L12" i="2" s="1"/>
  <c r="K6" i="2"/>
  <c r="K12" i="2" s="1"/>
  <c r="K68" i="1" s="1"/>
  <c r="O74" i="1"/>
  <c r="O76" i="1" s="1"/>
  <c r="O115" i="1" s="1"/>
  <c r="G26" i="1"/>
  <c r="H26" i="1"/>
  <c r="I26" i="1"/>
  <c r="G27" i="1"/>
  <c r="H27" i="1"/>
  <c r="I27" i="1"/>
  <c r="G28" i="1"/>
  <c r="H28" i="1"/>
  <c r="I28" i="1"/>
  <c r="H25" i="1"/>
  <c r="I25" i="1"/>
  <c r="G25" i="1"/>
  <c r="H23" i="1"/>
  <c r="I23" i="1"/>
  <c r="G23" i="1"/>
  <c r="I22" i="1"/>
  <c r="G22" i="1"/>
  <c r="H70" i="1"/>
  <c r="I70" i="1"/>
  <c r="G70" i="1"/>
  <c r="I19" i="2"/>
  <c r="H19" i="2"/>
  <c r="H21" i="2"/>
  <c r="H12" i="12" s="1"/>
  <c r="I21" i="2"/>
  <c r="I12" i="12" s="1"/>
  <c r="G21" i="2"/>
  <c r="G12" i="12" s="1"/>
  <c r="I10" i="2"/>
  <c r="H10" i="2"/>
  <c r="H12" i="2"/>
  <c r="H10" i="12" s="1"/>
  <c r="I12" i="2"/>
  <c r="I10" i="12" s="1"/>
  <c r="G12" i="2"/>
  <c r="M16" i="12" l="1"/>
  <c r="M71" i="1"/>
  <c r="L16" i="12"/>
  <c r="L17" i="12" s="1"/>
  <c r="L71" i="1"/>
  <c r="L10" i="12"/>
  <c r="L68" i="1"/>
  <c r="M10" i="12"/>
  <c r="M11" i="12" s="1"/>
  <c r="M68" i="1"/>
  <c r="N16" i="12"/>
  <c r="N71" i="1"/>
  <c r="M14" i="12"/>
  <c r="M70" i="1"/>
  <c r="O81" i="1"/>
  <c r="O117" i="1"/>
  <c r="O82" i="1"/>
  <c r="O127" i="1"/>
  <c r="O83" i="1"/>
  <c r="O84" i="1"/>
  <c r="P43" i="3"/>
  <c r="O78" i="1"/>
  <c r="O79" i="1" s="1"/>
  <c r="N12" i="2"/>
  <c r="O10" i="2"/>
  <c r="N21" i="2"/>
  <c r="N69" i="1" s="1"/>
  <c r="O19" i="2"/>
  <c r="J19" i="2"/>
  <c r="J10" i="2"/>
  <c r="J16" i="12"/>
  <c r="I11" i="12"/>
  <c r="K10" i="12"/>
  <c r="G33" i="2"/>
  <c r="K12" i="12"/>
  <c r="I33" i="2"/>
  <c r="G10" i="12"/>
  <c r="M12" i="12"/>
  <c r="L12" i="12"/>
  <c r="K19" i="2"/>
  <c r="N14" i="12"/>
  <c r="K33" i="2"/>
  <c r="L33" i="2"/>
  <c r="M33" i="2"/>
  <c r="L14" i="12"/>
  <c r="K14" i="12"/>
  <c r="K10" i="2"/>
  <c r="J14" i="12"/>
  <c r="L10" i="2"/>
  <c r="M10" i="2"/>
  <c r="N10" i="2"/>
  <c r="L19" i="2"/>
  <c r="M19" i="2"/>
  <c r="N19" i="2"/>
  <c r="H33" i="2"/>
  <c r="O85" i="1" l="1"/>
  <c r="O40" i="2" s="1"/>
  <c r="O170" i="1" s="1"/>
  <c r="M17" i="12"/>
  <c r="N10" i="12"/>
  <c r="N11" i="12" s="1"/>
  <c r="N68" i="1"/>
  <c r="N17" i="12"/>
  <c r="N15" i="12"/>
  <c r="N33" i="2"/>
  <c r="O34" i="2" s="1"/>
  <c r="N12" i="12"/>
  <c r="J12" i="12"/>
  <c r="J10" i="12"/>
  <c r="J11" i="12" s="1"/>
  <c r="J33" i="2"/>
  <c r="J34" i="2" s="1"/>
  <c r="L11" i="12"/>
  <c r="H34" i="2"/>
  <c r="L34" i="2"/>
  <c r="K15" i="12"/>
  <c r="L15" i="12"/>
  <c r="M15" i="12"/>
  <c r="I34" i="2"/>
  <c r="M34" i="2"/>
  <c r="P46" i="3" l="1"/>
  <c r="O87" i="1"/>
  <c r="P48" i="3" s="1"/>
  <c r="O111" i="1"/>
  <c r="O124" i="1"/>
  <c r="O172" i="1"/>
  <c r="P58" i="3"/>
  <c r="N34" i="2"/>
  <c r="N75" i="1"/>
  <c r="K75" i="1"/>
  <c r="L75" i="1"/>
  <c r="M75" i="1"/>
  <c r="K34" i="2"/>
  <c r="K11" i="12"/>
  <c r="K74" i="1"/>
  <c r="F31" i="4"/>
  <c r="M74" i="1"/>
  <c r="N74" i="1"/>
  <c r="L74" i="1"/>
  <c r="G31" i="4"/>
  <c r="C3" i="12"/>
  <c r="E31" i="4" l="1"/>
  <c r="B3" i="14"/>
  <c r="H72" i="1"/>
  <c r="H21" i="12" s="1"/>
  <c r="I72" i="1"/>
  <c r="I21" i="12" s="1"/>
  <c r="G72" i="1"/>
  <c r="G21" i="12" s="1"/>
  <c r="D17" i="13"/>
  <c r="B2" i="13"/>
  <c r="D12" i="13"/>
  <c r="D16" i="13"/>
  <c r="C61" i="12"/>
  <c r="C58" i="12"/>
  <c r="C56" i="12"/>
  <c r="C53" i="12"/>
  <c r="C51" i="12"/>
  <c r="I43" i="12"/>
  <c r="H43" i="12"/>
  <c r="H35" i="12"/>
  <c r="I35" i="12"/>
  <c r="G35" i="12"/>
  <c r="P111" i="11"/>
  <c r="T102" i="11"/>
  <c r="Q102" i="11"/>
  <c r="P48" i="11"/>
  <c r="B2" i="11"/>
  <c r="AA108" i="11"/>
  <c r="X108" i="11"/>
  <c r="U108" i="11"/>
  <c r="R108" i="11"/>
  <c r="AA107" i="11"/>
  <c r="X107" i="11"/>
  <c r="AA106" i="11"/>
  <c r="X106" i="11"/>
  <c r="U106" i="11"/>
  <c r="R106" i="11"/>
  <c r="X105" i="11"/>
  <c r="AA104" i="11"/>
  <c r="X104" i="11"/>
  <c r="U104" i="11"/>
  <c r="AA103" i="11"/>
  <c r="X103" i="11"/>
  <c r="U103" i="11"/>
  <c r="R103" i="11"/>
  <c r="F35" i="10"/>
  <c r="E35" i="10"/>
  <c r="F28" i="10"/>
  <c r="E28" i="10"/>
  <c r="E22" i="10"/>
  <c r="F18" i="10"/>
  <c r="F12" i="10"/>
  <c r="F54" i="9"/>
  <c r="G54" i="9"/>
  <c r="H54" i="9"/>
  <c r="I54" i="9"/>
  <c r="E54" i="9"/>
  <c r="B38" i="9"/>
  <c r="B39" i="9"/>
  <c r="B40" i="9"/>
  <c r="B43" i="9"/>
  <c r="W3" i="9"/>
  <c r="H26" i="8"/>
  <c r="H27" i="8"/>
  <c r="M27" i="8" s="1"/>
  <c r="I38" i="9" s="1"/>
  <c r="H25" i="8"/>
  <c r="L25" i="8" s="1"/>
  <c r="H40" i="9" s="1"/>
  <c r="C25" i="8" a="1"/>
  <c r="C25" i="8" s="1"/>
  <c r="C23" i="8" a="1"/>
  <c r="C23" i="8" s="1"/>
  <c r="B24" i="8"/>
  <c r="B41" i="9" s="1"/>
  <c r="B23" i="8"/>
  <c r="B42" i="9" s="1"/>
  <c r="B29" i="13"/>
  <c r="B26" i="13"/>
  <c r="B24" i="13"/>
  <c r="B34" i="13"/>
  <c r="B25" i="13"/>
  <c r="B32" i="13"/>
  <c r="B30" i="13"/>
  <c r="B33" i="13"/>
  <c r="B27" i="13"/>
  <c r="B28" i="13"/>
  <c r="B35" i="13"/>
  <c r="B31" i="13"/>
  <c r="E39" i="10" l="1"/>
  <c r="R105" i="11"/>
  <c r="AA105" i="11"/>
  <c r="U107" i="11"/>
  <c r="R107" i="11"/>
  <c r="R104" i="11"/>
  <c r="U105" i="11"/>
  <c r="F39" i="10"/>
  <c r="O40" i="9"/>
  <c r="I25" i="8"/>
  <c r="E40" i="9" s="1"/>
  <c r="K40" i="9" s="1"/>
  <c r="J25" i="8"/>
  <c r="F40" i="9" s="1"/>
  <c r="K25" i="8"/>
  <c r="G40" i="9" s="1"/>
  <c r="I26" i="8"/>
  <c r="E39" i="9" s="1"/>
  <c r="K39" i="9" s="1"/>
  <c r="J26" i="8"/>
  <c r="F39" i="9" s="1"/>
  <c r="K26" i="8"/>
  <c r="G39" i="9" s="1"/>
  <c r="M39" i="9" s="1"/>
  <c r="L26" i="8"/>
  <c r="H39" i="9" s="1"/>
  <c r="M26" i="8"/>
  <c r="I39" i="9" s="1"/>
  <c r="I27" i="8"/>
  <c r="E38" i="9" s="1"/>
  <c r="J27" i="8"/>
  <c r="F38" i="9" s="1"/>
  <c r="M25" i="8"/>
  <c r="I40" i="9" s="1"/>
  <c r="K27" i="8"/>
  <c r="G38" i="9" s="1"/>
  <c r="L27" i="8"/>
  <c r="H38" i="9" s="1"/>
  <c r="M40" i="9" l="1"/>
  <c r="L39" i="9"/>
  <c r="L40" i="9"/>
  <c r="O39" i="9"/>
  <c r="N39" i="9"/>
  <c r="N40" i="9"/>
  <c r="N72" i="1" l="1"/>
  <c r="M72" i="1"/>
  <c r="N43" i="3" l="1"/>
  <c r="M21" i="12"/>
  <c r="O43" i="3"/>
  <c r="P44" i="3" s="1"/>
  <c r="N21" i="12"/>
  <c r="M30" i="8"/>
  <c r="I36" i="9" s="1"/>
  <c r="L30" i="8"/>
  <c r="H36" i="9" s="1"/>
  <c r="K30" i="8"/>
  <c r="G36" i="9" s="1"/>
  <c r="J30" i="8"/>
  <c r="F36" i="9" s="1"/>
  <c r="I30" i="8"/>
  <c r="E36" i="9" s="1"/>
  <c r="E42" i="8"/>
  <c r="B20" i="8"/>
  <c r="B19" i="8"/>
  <c r="B17" i="8"/>
  <c r="B16" i="8"/>
  <c r="B14" i="8"/>
  <c r="B13" i="8"/>
  <c r="B5" i="8"/>
  <c r="B2" i="8"/>
  <c r="G21" i="3"/>
  <c r="H19" i="4" s="1"/>
  <c r="C40" i="7"/>
  <c r="U26" i="7"/>
  <c r="T26" i="7"/>
  <c r="R26" i="7"/>
  <c r="Q26" i="7"/>
  <c r="P26" i="7"/>
  <c r="O26" i="7"/>
  <c r="N26" i="7"/>
  <c r="D21" i="7"/>
  <c r="C21" i="7"/>
  <c r="Z8" i="7"/>
  <c r="Y8" i="7"/>
  <c r="U8" i="7"/>
  <c r="T8" i="7"/>
  <c r="R8" i="7"/>
  <c r="Q8" i="7"/>
  <c r="P8" i="7"/>
  <c r="AA8" i="7" s="1"/>
  <c r="N36" i="9" l="1"/>
  <c r="L36" i="9"/>
  <c r="K36" i="9"/>
  <c r="M36" i="9"/>
  <c r="O36" i="9"/>
  <c r="S26" i="7"/>
  <c r="S8" i="7"/>
  <c r="V26" i="7"/>
  <c r="V8" i="7"/>
  <c r="P16" i="6" l="1"/>
  <c r="O16" i="6"/>
  <c r="N16" i="6"/>
  <c r="I16" i="6"/>
  <c r="H16" i="6"/>
  <c r="P15" i="6"/>
  <c r="O15" i="6"/>
  <c r="N15" i="6"/>
  <c r="I15" i="6"/>
  <c r="H15" i="6"/>
  <c r="B6" i="6"/>
  <c r="G22" i="6"/>
  <c r="F22" i="6"/>
  <c r="G21" i="6"/>
  <c r="F21" i="6"/>
  <c r="G20" i="6"/>
  <c r="F20" i="6"/>
  <c r="F19" i="6"/>
  <c r="G18" i="6"/>
  <c r="F18" i="6"/>
  <c r="E18" i="6"/>
  <c r="G19" i="6"/>
  <c r="P14" i="6"/>
  <c r="O14" i="6"/>
  <c r="N14" i="6"/>
  <c r="I14" i="6"/>
  <c r="H14" i="6"/>
  <c r="P13" i="6"/>
  <c r="O13" i="6"/>
  <c r="N13" i="6"/>
  <c r="I13" i="6"/>
  <c r="H13" i="6"/>
  <c r="P12" i="6"/>
  <c r="O12" i="6"/>
  <c r="N12" i="6"/>
  <c r="I12" i="6"/>
  <c r="H12" i="6"/>
  <c r="P11" i="6"/>
  <c r="O11" i="6"/>
  <c r="N11" i="6"/>
  <c r="E22" i="6"/>
  <c r="N19" i="6" l="1"/>
  <c r="O19" i="6"/>
  <c r="P19" i="6"/>
  <c r="N21" i="6"/>
  <c r="O21" i="6"/>
  <c r="P21" i="6"/>
  <c r="N18" i="6"/>
  <c r="O18" i="6"/>
  <c r="P22" i="6"/>
  <c r="H11" i="6"/>
  <c r="E20" i="6"/>
  <c r="I11" i="6"/>
  <c r="P18" i="6"/>
  <c r="N20" i="6"/>
  <c r="E19" i="6"/>
  <c r="O20" i="6"/>
  <c r="P20" i="6"/>
  <c r="N22" i="6"/>
  <c r="E21" i="6"/>
  <c r="O22" i="6"/>
  <c r="H19" i="6" l="1"/>
  <c r="H20" i="6"/>
  <c r="H18" i="6"/>
  <c r="H21" i="6"/>
  <c r="H22" i="6"/>
  <c r="I18" i="6"/>
  <c r="I22" i="6"/>
  <c r="I20" i="6"/>
  <c r="I21" i="6"/>
  <c r="I19" i="6"/>
  <c r="AL13" i="4" l="1"/>
  <c r="AL12" i="4"/>
  <c r="AL11" i="4"/>
  <c r="AL9" i="4"/>
  <c r="AL8" i="4"/>
  <c r="AG9" i="4"/>
  <c r="AG11" i="4"/>
  <c r="AG12" i="4"/>
  <c r="AG13" i="4"/>
  <c r="M12" i="4"/>
  <c r="M8" i="4"/>
  <c r="B26" i="5"/>
  <c r="C24" i="5"/>
  <c r="B24" i="5"/>
  <c r="B2" i="5"/>
  <c r="AL83" i="4"/>
  <c r="M83" i="4"/>
  <c r="AL82" i="4"/>
  <c r="AB82" i="4"/>
  <c r="M82" i="4"/>
  <c r="AL81" i="4"/>
  <c r="R81" i="4"/>
  <c r="M81" i="4"/>
  <c r="AL79" i="4"/>
  <c r="AG79" i="4"/>
  <c r="AB79" i="4"/>
  <c r="W79" i="4"/>
  <c r="R79" i="4"/>
  <c r="M79" i="4"/>
  <c r="AL78" i="4"/>
  <c r="AG78" i="4"/>
  <c r="AB78" i="4"/>
  <c r="W78" i="4"/>
  <c r="R78" i="4"/>
  <c r="M78" i="4"/>
  <c r="AL77" i="4"/>
  <c r="AG77" i="4"/>
  <c r="AB77" i="4"/>
  <c r="W77" i="4"/>
  <c r="R77" i="4"/>
  <c r="M77" i="4"/>
  <c r="AL75" i="4"/>
  <c r="AG75" i="4"/>
  <c r="AB75" i="4"/>
  <c r="W75" i="4"/>
  <c r="R75" i="4"/>
  <c r="M75" i="4"/>
  <c r="AL74" i="4"/>
  <c r="AG74" i="4"/>
  <c r="AB74" i="4"/>
  <c r="W74" i="4"/>
  <c r="R74" i="4"/>
  <c r="M74" i="4"/>
  <c r="AL73" i="4"/>
  <c r="AG73" i="4"/>
  <c r="AB73" i="4"/>
  <c r="W73" i="4"/>
  <c r="R73" i="4"/>
  <c r="M73" i="4"/>
  <c r="AI66" i="4"/>
  <c r="AD66" i="4"/>
  <c r="Y66" i="4"/>
  <c r="T66" i="4"/>
  <c r="O66" i="4"/>
  <c r="J66" i="4"/>
  <c r="E66" i="4"/>
  <c r="C92" i="4" s="1"/>
  <c r="AL55" i="4"/>
  <c r="AF55" i="4"/>
  <c r="AG55" i="4" s="1"/>
  <c r="AA55" i="4"/>
  <c r="AB55" i="4" s="1"/>
  <c r="W55" i="4"/>
  <c r="R55" i="4"/>
  <c r="M55" i="4"/>
  <c r="G55" i="4"/>
  <c r="H55" i="4" s="1"/>
  <c r="AL52" i="4"/>
  <c r="AG52" i="4"/>
  <c r="AB52" i="4"/>
  <c r="W52" i="4"/>
  <c r="R52" i="4"/>
  <c r="M52" i="4"/>
  <c r="H52" i="4"/>
  <c r="AL51" i="4"/>
  <c r="AG51" i="4"/>
  <c r="AB51" i="4"/>
  <c r="W51" i="4"/>
  <c r="R51" i="4"/>
  <c r="M51" i="4"/>
  <c r="H51" i="4"/>
  <c r="AL48" i="4"/>
  <c r="AG48" i="4"/>
  <c r="AB48" i="4"/>
  <c r="W48" i="4"/>
  <c r="R48" i="4"/>
  <c r="M48" i="4"/>
  <c r="H48" i="4"/>
  <c r="AL47" i="4"/>
  <c r="AG47" i="4"/>
  <c r="AB47" i="4"/>
  <c r="W47" i="4"/>
  <c r="R47" i="4"/>
  <c r="M47" i="4"/>
  <c r="H47" i="4"/>
  <c r="AL46" i="4"/>
  <c r="AG46" i="4"/>
  <c r="AB46" i="4"/>
  <c r="W46" i="4"/>
  <c r="R46" i="4"/>
  <c r="M46" i="4"/>
  <c r="H46" i="4"/>
  <c r="AL45" i="4"/>
  <c r="AG45" i="4"/>
  <c r="AB45" i="4"/>
  <c r="W45" i="4"/>
  <c r="R45" i="4"/>
  <c r="M45" i="4"/>
  <c r="H45" i="4"/>
  <c r="AL44" i="4"/>
  <c r="AG44" i="4"/>
  <c r="AB44" i="4"/>
  <c r="W44" i="4"/>
  <c r="R44" i="4"/>
  <c r="M44" i="4"/>
  <c r="H44" i="4"/>
  <c r="AL43" i="4"/>
  <c r="AG43" i="4"/>
  <c r="AB43" i="4"/>
  <c r="W43" i="4"/>
  <c r="R43" i="4"/>
  <c r="M43" i="4"/>
  <c r="H43" i="4"/>
  <c r="AL42" i="4"/>
  <c r="AG42" i="4"/>
  <c r="AB42" i="4"/>
  <c r="W42" i="4"/>
  <c r="R42" i="4"/>
  <c r="M42" i="4"/>
  <c r="H42" i="4"/>
  <c r="AL41" i="4"/>
  <c r="AG41" i="4"/>
  <c r="AB41" i="4"/>
  <c r="W41" i="4"/>
  <c r="R41" i="4"/>
  <c r="M41" i="4"/>
  <c r="H41" i="4"/>
  <c r="AL40" i="4"/>
  <c r="AG40" i="4"/>
  <c r="AB40" i="4"/>
  <c r="W40" i="4"/>
  <c r="R40" i="4"/>
  <c r="M40" i="4"/>
  <c r="H40" i="4"/>
  <c r="H37" i="4"/>
  <c r="H36" i="4"/>
  <c r="AG83" i="4"/>
  <c r="AB83" i="4"/>
  <c r="W83" i="4"/>
  <c r="R83" i="4"/>
  <c r="AG82" i="4"/>
  <c r="W82" i="4"/>
  <c r="R82" i="4"/>
  <c r="AG81" i="4"/>
  <c r="AB81" i="4"/>
  <c r="W81" i="4"/>
  <c r="H81" i="4"/>
  <c r="H77" i="4"/>
  <c r="H73" i="4"/>
  <c r="H16" i="4"/>
  <c r="AB13" i="4"/>
  <c r="W13" i="4"/>
  <c r="R13" i="4"/>
  <c r="M13" i="4"/>
  <c r="H13" i="4"/>
  <c r="AB12" i="4"/>
  <c r="W12" i="4"/>
  <c r="R12" i="4"/>
  <c r="H12" i="4"/>
  <c r="AB11" i="4"/>
  <c r="W11" i="4"/>
  <c r="R11" i="4"/>
  <c r="M11" i="4"/>
  <c r="H11" i="4"/>
  <c r="AB9" i="4"/>
  <c r="W9" i="4"/>
  <c r="R9" i="4"/>
  <c r="M9" i="4"/>
  <c r="H9" i="4"/>
  <c r="AG8" i="4"/>
  <c r="AB8" i="4"/>
  <c r="R8" i="4"/>
  <c r="H8" i="4"/>
  <c r="H6" i="4"/>
  <c r="G6" i="4"/>
  <c r="H4" i="4"/>
  <c r="H3" i="4"/>
  <c r="E19" i="5" s="1"/>
  <c r="I58" i="3"/>
  <c r="J58" i="3"/>
  <c r="H58" i="3"/>
  <c r="I54" i="3"/>
  <c r="J54" i="3"/>
  <c r="H54" i="3"/>
  <c r="I50" i="3"/>
  <c r="J50" i="3"/>
  <c r="H50" i="3"/>
  <c r="E87" i="3"/>
  <c r="E88" i="3" s="1"/>
  <c r="E89" i="3" s="1"/>
  <c r="E90" i="3" s="1"/>
  <c r="E91" i="3" s="1"/>
  <c r="E92" i="3" s="1"/>
  <c r="E93" i="3" s="1"/>
  <c r="E94" i="3" s="1"/>
  <c r="E95" i="3" s="1"/>
  <c r="E96" i="3" s="1"/>
  <c r="Q35" i="3"/>
  <c r="L35" i="3"/>
  <c r="L31" i="3"/>
  <c r="L30" i="3"/>
  <c r="L29" i="3"/>
  <c r="L28" i="3"/>
  <c r="L26" i="3"/>
  <c r="L27" i="3"/>
  <c r="L25" i="3"/>
  <c r="L10" i="3"/>
  <c r="Q10" i="3"/>
  <c r="G12" i="3"/>
  <c r="G10" i="3"/>
  <c r="G20" i="3" s="1"/>
  <c r="G28" i="3" s="1"/>
  <c r="G8" i="3"/>
  <c r="G7" i="3"/>
  <c r="J184" i="1"/>
  <c r="J179" i="1"/>
  <c r="K179" i="1" s="1"/>
  <c r="L179" i="1" s="1"/>
  <c r="M179" i="1" s="1"/>
  <c r="N179" i="1" s="1"/>
  <c r="O179" i="1" s="1"/>
  <c r="J176" i="1"/>
  <c r="K176" i="1" s="1"/>
  <c r="K61" i="1"/>
  <c r="L61" i="1" s="1"/>
  <c r="M61" i="1" s="1"/>
  <c r="N61" i="1" s="1"/>
  <c r="O61" i="1" s="1"/>
  <c r="O149" i="1" s="1"/>
  <c r="J151" i="1"/>
  <c r="J129" i="1"/>
  <c r="K129" i="1" s="1"/>
  <c r="L129" i="1" s="1"/>
  <c r="M129" i="1" s="1"/>
  <c r="N129" i="1" s="1"/>
  <c r="O129" i="1" s="1"/>
  <c r="J116" i="1"/>
  <c r="K116" i="1" s="1"/>
  <c r="L116" i="1" s="1"/>
  <c r="M116" i="1" s="1"/>
  <c r="N116" i="1" s="1"/>
  <c r="J171" i="1"/>
  <c r="H48" i="2"/>
  <c r="I48" i="2"/>
  <c r="I55" i="2" s="1"/>
  <c r="G48" i="2"/>
  <c r="G45" i="2" s="1"/>
  <c r="H43" i="2"/>
  <c r="I43" i="2"/>
  <c r="O54" i="2"/>
  <c r="H40" i="2"/>
  <c r="I40" i="2"/>
  <c r="G40" i="2"/>
  <c r="G38" i="2"/>
  <c r="B38" i="2"/>
  <c r="O116" i="1" l="1"/>
  <c r="O162" i="1"/>
  <c r="Q31" i="3"/>
  <c r="E39" i="8"/>
  <c r="Q27" i="3"/>
  <c r="E35" i="8"/>
  <c r="Q26" i="3"/>
  <c r="E34" i="8"/>
  <c r="Q28" i="3"/>
  <c r="E36" i="8"/>
  <c r="Q29" i="3"/>
  <c r="E37" i="8"/>
  <c r="Q30" i="3"/>
  <c r="E38" i="8"/>
  <c r="K16" i="5"/>
  <c r="K18" i="5"/>
  <c r="E16" i="5"/>
  <c r="G16" i="5"/>
  <c r="D16" i="5"/>
  <c r="D19" i="5"/>
  <c r="I19" i="5"/>
  <c r="G19" i="5"/>
  <c r="H11" i="12"/>
  <c r="P10" i="12"/>
  <c r="D29" i="7"/>
  <c r="K14" i="7"/>
  <c r="Q13" i="7"/>
  <c r="G12" i="7"/>
  <c r="I9" i="7"/>
  <c r="L13" i="7"/>
  <c r="D12" i="7"/>
  <c r="N10" i="7"/>
  <c r="B32" i="7"/>
  <c r="F30" i="7"/>
  <c r="K13" i="7"/>
  <c r="B10" i="7"/>
  <c r="D30" i="7"/>
  <c r="J13" i="7"/>
  <c r="L10" i="7"/>
  <c r="B11" i="7"/>
  <c r="B30" i="7"/>
  <c r="E14" i="7"/>
  <c r="G11" i="7"/>
  <c r="B12" i="7"/>
  <c r="D27" i="7"/>
  <c r="D14" i="7"/>
  <c r="N12" i="7"/>
  <c r="F11" i="7"/>
  <c r="B13" i="7"/>
  <c r="B27" i="7"/>
  <c r="E11" i="7"/>
  <c r="Q9" i="7"/>
  <c r="B14" i="7"/>
  <c r="T14" i="7"/>
  <c r="F13" i="7"/>
  <c r="L12" i="7"/>
  <c r="T11" i="7"/>
  <c r="D11" i="7"/>
  <c r="H10" i="7"/>
  <c r="N9" i="7"/>
  <c r="F31" i="7"/>
  <c r="D28" i="7"/>
  <c r="B29" i="7"/>
  <c r="J14" i="7"/>
  <c r="N13" i="7"/>
  <c r="F12" i="7"/>
  <c r="L11" i="7"/>
  <c r="H9" i="7"/>
  <c r="F32" i="7"/>
  <c r="I14" i="7"/>
  <c r="E12" i="7"/>
  <c r="K11" i="7"/>
  <c r="Q10" i="7"/>
  <c r="G9" i="7"/>
  <c r="D32" i="7"/>
  <c r="B21" i="7"/>
  <c r="H14" i="7"/>
  <c r="J11" i="7"/>
  <c r="G14" i="7"/>
  <c r="Q12" i="7"/>
  <c r="I11" i="7"/>
  <c r="E9" i="7"/>
  <c r="F14" i="7"/>
  <c r="H11" i="7"/>
  <c r="T9" i="7"/>
  <c r="D9" i="7"/>
  <c r="I13" i="7"/>
  <c r="K10" i="7"/>
  <c r="B9" i="7"/>
  <c r="H13" i="7"/>
  <c r="J10" i="7"/>
  <c r="G13" i="7"/>
  <c r="I10" i="7"/>
  <c r="K21" i="7"/>
  <c r="G10" i="7"/>
  <c r="F10" i="7"/>
  <c r="K12" i="7"/>
  <c r="B40" i="7"/>
  <c r="D10" i="7"/>
  <c r="Q14" i="7"/>
  <c r="J9" i="7"/>
  <c r="I21" i="7"/>
  <c r="H21" i="7"/>
  <c r="E10" i="7"/>
  <c r="J12" i="7"/>
  <c r="I12" i="7"/>
  <c r="H12" i="7"/>
  <c r="L9" i="7"/>
  <c r="D31" i="7"/>
  <c r="K9" i="7"/>
  <c r="B31" i="7"/>
  <c r="L14" i="7"/>
  <c r="Q11" i="7"/>
  <c r="N11" i="7"/>
  <c r="B28" i="7"/>
  <c r="E13" i="7"/>
  <c r="D13" i="7"/>
  <c r="G21" i="7"/>
  <c r="L21" i="7"/>
  <c r="T12" i="7"/>
  <c r="N14" i="7"/>
  <c r="T21" i="7"/>
  <c r="T10" i="7"/>
  <c r="T13" i="7"/>
  <c r="N21" i="7"/>
  <c r="Q21" i="7"/>
  <c r="J21" i="7"/>
  <c r="D17" i="5"/>
  <c r="K19" i="5"/>
  <c r="E17" i="5"/>
  <c r="D20" i="5"/>
  <c r="B15" i="5"/>
  <c r="G17" i="5"/>
  <c r="E20" i="5"/>
  <c r="I17" i="5"/>
  <c r="G20" i="5"/>
  <c r="D15" i="5"/>
  <c r="K17" i="5"/>
  <c r="E15" i="5"/>
  <c r="D18" i="5"/>
  <c r="K20" i="5"/>
  <c r="Q25" i="3"/>
  <c r="E33" i="8"/>
  <c r="G15" i="5"/>
  <c r="E18" i="5"/>
  <c r="I15" i="5"/>
  <c r="G18" i="5"/>
  <c r="K15" i="5"/>
  <c r="C93" i="4"/>
  <c r="AB57" i="4"/>
  <c r="AB61" i="4" s="1"/>
  <c r="AB69" i="4" s="1"/>
  <c r="AG57" i="4"/>
  <c r="AG61" i="4" s="1"/>
  <c r="AL69" i="4" s="1"/>
  <c r="H57" i="4"/>
  <c r="AL57" i="4"/>
  <c r="AL61" i="4" s="1"/>
  <c r="I20" i="5" s="1"/>
  <c r="M85" i="4"/>
  <c r="M57" i="4"/>
  <c r="M61" i="4" s="1"/>
  <c r="J69" i="4" s="1"/>
  <c r="M94" i="4" s="1"/>
  <c r="M86" i="4"/>
  <c r="H14" i="4"/>
  <c r="H88" i="4" s="1"/>
  <c r="W89" i="4"/>
  <c r="R86" i="4"/>
  <c r="R14" i="4"/>
  <c r="R88" i="4" s="1"/>
  <c r="W86" i="4"/>
  <c r="H85" i="4"/>
  <c r="AG89" i="4"/>
  <c r="AL14" i="4"/>
  <c r="AL88" i="4" s="1"/>
  <c r="AB86" i="4"/>
  <c r="AB90" i="4"/>
  <c r="AL86" i="4"/>
  <c r="AL90" i="4"/>
  <c r="AG90" i="4"/>
  <c r="AG86" i="4"/>
  <c r="AB89" i="4"/>
  <c r="AB85" i="4"/>
  <c r="W85" i="4"/>
  <c r="R85" i="4"/>
  <c r="AG14" i="4"/>
  <c r="AG88" i="4" s="1"/>
  <c r="AB14" i="4"/>
  <c r="AB88" i="4" s="1"/>
  <c r="W14" i="4"/>
  <c r="M14" i="4"/>
  <c r="M88" i="4" s="1"/>
  <c r="D24" i="5"/>
  <c r="B18" i="5"/>
  <c r="E24" i="5"/>
  <c r="B17" i="5"/>
  <c r="B20" i="5"/>
  <c r="B16" i="5"/>
  <c r="C29" i="5"/>
  <c r="B19" i="5"/>
  <c r="G24" i="5"/>
  <c r="AB62" i="4"/>
  <c r="M12" i="7" s="1"/>
  <c r="AG62" i="4"/>
  <c r="M13" i="7" s="1"/>
  <c r="AJ69" i="4"/>
  <c r="AL98" i="4" s="1"/>
  <c r="AI69" i="4"/>
  <c r="AL94" i="4" s="1"/>
  <c r="K69" i="4"/>
  <c r="M98" i="4" s="1"/>
  <c r="AG85" i="4"/>
  <c r="AL85" i="4"/>
  <c r="AL89" i="4"/>
  <c r="C94" i="4"/>
  <c r="M90" i="4"/>
  <c r="R90" i="4"/>
  <c r="W90" i="4"/>
  <c r="M89" i="4"/>
  <c r="R57" i="4"/>
  <c r="R61" i="4" s="1"/>
  <c r="F28" i="7" s="1"/>
  <c r="R89" i="4"/>
  <c r="W57" i="4"/>
  <c r="W61" i="4" s="1"/>
  <c r="F29" i="7" s="1"/>
  <c r="W8" i="4"/>
  <c r="K180" i="1"/>
  <c r="K40" i="12" s="1"/>
  <c r="L176" i="1"/>
  <c r="J162" i="1"/>
  <c r="N162" i="1"/>
  <c r="M162" i="1"/>
  <c r="L162" i="1"/>
  <c r="K162" i="1"/>
  <c r="J180" i="1"/>
  <c r="J40" i="12" s="1"/>
  <c r="H45" i="2"/>
  <c r="J48" i="2" s="1"/>
  <c r="I45" i="2"/>
  <c r="G55" i="2"/>
  <c r="H55" i="2"/>
  <c r="J19" i="5" l="1"/>
  <c r="AL62" i="4"/>
  <c r="AK69" i="4"/>
  <c r="AL102" i="4" s="1"/>
  <c r="M31" i="7"/>
  <c r="AG69" i="4"/>
  <c r="Y69" i="4"/>
  <c r="AB94" i="4" s="1"/>
  <c r="M30" i="7"/>
  <c r="I18" i="5"/>
  <c r="J18" i="5" s="1"/>
  <c r="Z69" i="4"/>
  <c r="AB98" i="4" s="1"/>
  <c r="AA69" i="4"/>
  <c r="AB102" i="4" s="1"/>
  <c r="I16" i="5"/>
  <c r="F27" i="7"/>
  <c r="F37" i="7" s="1"/>
  <c r="F9" i="7"/>
  <c r="F17" i="7" s="1"/>
  <c r="F19" i="5"/>
  <c r="L19" i="5"/>
  <c r="H19" i="5"/>
  <c r="J17" i="5"/>
  <c r="F20" i="5"/>
  <c r="L20" i="5"/>
  <c r="F17" i="5"/>
  <c r="D22" i="5"/>
  <c r="F15" i="5"/>
  <c r="L15" i="5"/>
  <c r="J20" i="5"/>
  <c r="H15" i="5"/>
  <c r="G22" i="5"/>
  <c r="L17" i="5"/>
  <c r="J15" i="5"/>
  <c r="H17" i="5"/>
  <c r="K22" i="5"/>
  <c r="Q18" i="7"/>
  <c r="Q16" i="7"/>
  <c r="Q19" i="7"/>
  <c r="Q17" i="7"/>
  <c r="Q15" i="7"/>
  <c r="E22" i="5"/>
  <c r="T16" i="7"/>
  <c r="D17" i="7"/>
  <c r="D16" i="7"/>
  <c r="D18" i="7"/>
  <c r="D15" i="7"/>
  <c r="D19" i="7"/>
  <c r="H20" i="5"/>
  <c r="T18" i="7"/>
  <c r="T15" i="7"/>
  <c r="T17" i="7"/>
  <c r="T19" i="7"/>
  <c r="N18" i="7"/>
  <c r="N19" i="7"/>
  <c r="N17" i="7"/>
  <c r="N15" i="7"/>
  <c r="N16" i="7"/>
  <c r="H61" i="4"/>
  <c r="F40" i="7" s="1"/>
  <c r="E21" i="7"/>
  <c r="H62" i="4"/>
  <c r="G67" i="4" s="1"/>
  <c r="H100" i="4" s="1"/>
  <c r="F21" i="7"/>
  <c r="AF69" i="4"/>
  <c r="AG102" i="4" s="1"/>
  <c r="AD69" i="4"/>
  <c r="AG94" i="4" s="1"/>
  <c r="W88" i="4"/>
  <c r="AE69" i="4"/>
  <c r="AG98" i="4" s="1"/>
  <c r="M62" i="4"/>
  <c r="M69" i="4"/>
  <c r="L69" i="4"/>
  <c r="M102" i="4" s="1"/>
  <c r="L34" i="5"/>
  <c r="L38" i="5" s="1"/>
  <c r="T69" i="4"/>
  <c r="W94" i="4" s="1"/>
  <c r="W62" i="4"/>
  <c r="W69" i="4"/>
  <c r="V69" i="4"/>
  <c r="W102" i="4" s="1"/>
  <c r="U69" i="4"/>
  <c r="W98" i="4" s="1"/>
  <c r="R69" i="4"/>
  <c r="Q69" i="4"/>
  <c r="R102" i="4" s="1"/>
  <c r="P69" i="4"/>
  <c r="R98" i="4" s="1"/>
  <c r="R62" i="4"/>
  <c r="O69" i="4"/>
  <c r="R94" i="4" s="1"/>
  <c r="AI68" i="4"/>
  <c r="AL93" i="4" s="1"/>
  <c r="AI67" i="4"/>
  <c r="AL92" i="4" s="1"/>
  <c r="AK68" i="4"/>
  <c r="AL101" i="4" s="1"/>
  <c r="AK67" i="4"/>
  <c r="AL100" i="4" s="1"/>
  <c r="AJ68" i="4"/>
  <c r="AL97" i="4" s="1"/>
  <c r="AJ67" i="4"/>
  <c r="AL96" i="4" s="1"/>
  <c r="AG68" i="4"/>
  <c r="AG67" i="4"/>
  <c r="AE67" i="4"/>
  <c r="AG96" i="4" s="1"/>
  <c r="AD67" i="4"/>
  <c r="AG92" i="4" s="1"/>
  <c r="AL68" i="4"/>
  <c r="AF68" i="4"/>
  <c r="AG101" i="4" s="1"/>
  <c r="AE68" i="4"/>
  <c r="AG97" i="4" s="1"/>
  <c r="AD68" i="4"/>
  <c r="AG93" i="4" s="1"/>
  <c r="AL67" i="4"/>
  <c r="AF67" i="4"/>
  <c r="AG100" i="4" s="1"/>
  <c r="AB67" i="4"/>
  <c r="AA67" i="4"/>
  <c r="AB100" i="4" s="1"/>
  <c r="Z67" i="4"/>
  <c r="AB96" i="4" s="1"/>
  <c r="Y67" i="4"/>
  <c r="AB92" i="4" s="1"/>
  <c r="AB68" i="4"/>
  <c r="AA68" i="4"/>
  <c r="AB101" i="4" s="1"/>
  <c r="Z68" i="4"/>
  <c r="AB97" i="4" s="1"/>
  <c r="Y68" i="4"/>
  <c r="AB93" i="4" s="1"/>
  <c r="L180" i="1"/>
  <c r="L40" i="12" s="1"/>
  <c r="M176" i="1"/>
  <c r="F18" i="5" l="1"/>
  <c r="I22" i="5"/>
  <c r="L18" i="5"/>
  <c r="H18" i="5"/>
  <c r="F16" i="5"/>
  <c r="M14" i="7"/>
  <c r="M32" i="7"/>
  <c r="J16" i="5"/>
  <c r="J22" i="5" s="1"/>
  <c r="J30" i="5" s="1"/>
  <c r="I30" i="5" s="1"/>
  <c r="F38" i="7"/>
  <c r="F36" i="7"/>
  <c r="M29" i="7"/>
  <c r="M11" i="7"/>
  <c r="F18" i="7"/>
  <c r="F35" i="7"/>
  <c r="F16" i="7"/>
  <c r="F15" i="7"/>
  <c r="M10" i="7"/>
  <c r="M28" i="7"/>
  <c r="H16" i="5"/>
  <c r="L16" i="5"/>
  <c r="F19" i="7"/>
  <c r="L68" i="4"/>
  <c r="M101" i="4" s="1"/>
  <c r="M27" i="7"/>
  <c r="M9" i="7"/>
  <c r="F34" i="7"/>
  <c r="H67" i="4"/>
  <c r="E69" i="4"/>
  <c r="H94" i="4" s="1"/>
  <c r="E68" i="4"/>
  <c r="H93" i="4" s="1"/>
  <c r="E67" i="4"/>
  <c r="H92" i="4" s="1"/>
  <c r="F67" i="4"/>
  <c r="H96" i="4" s="1"/>
  <c r="I24" i="5"/>
  <c r="M40" i="7"/>
  <c r="M21" i="7"/>
  <c r="J67" i="4"/>
  <c r="M92" i="4" s="1"/>
  <c r="L67" i="4"/>
  <c r="M100" i="4" s="1"/>
  <c r="M67" i="4"/>
  <c r="K67" i="4"/>
  <c r="M96" i="4" s="1"/>
  <c r="J68" i="4"/>
  <c r="M93" i="4" s="1"/>
  <c r="K68" i="4"/>
  <c r="M97" i="4" s="1"/>
  <c r="M68" i="4"/>
  <c r="T68" i="4"/>
  <c r="W93" i="4" s="1"/>
  <c r="T67" i="4"/>
  <c r="W92" i="4" s="1"/>
  <c r="W68" i="4"/>
  <c r="V68" i="4"/>
  <c r="W101" i="4" s="1"/>
  <c r="U68" i="4"/>
  <c r="W97" i="4" s="1"/>
  <c r="W67" i="4"/>
  <c r="V67" i="4"/>
  <c r="W100" i="4" s="1"/>
  <c r="U67" i="4"/>
  <c r="W96" i="4" s="1"/>
  <c r="R68" i="4"/>
  <c r="R67" i="4"/>
  <c r="Q68" i="4"/>
  <c r="R101" i="4" s="1"/>
  <c r="Q67" i="4"/>
  <c r="R100" i="4" s="1"/>
  <c r="P68" i="4"/>
  <c r="R97" i="4" s="1"/>
  <c r="P67" i="4"/>
  <c r="R96" i="4" s="1"/>
  <c r="O68" i="4"/>
  <c r="R93" i="4" s="1"/>
  <c r="O67" i="4"/>
  <c r="R92" i="4" s="1"/>
  <c r="M180" i="1"/>
  <c r="M40" i="12" s="1"/>
  <c r="N176" i="1"/>
  <c r="N180" i="1" l="1"/>
  <c r="N40" i="12" s="1"/>
  <c r="O176" i="1"/>
  <c r="O180" i="1" s="1"/>
  <c r="L22" i="5"/>
  <c r="D30" i="5" s="1"/>
  <c r="F22" i="5"/>
  <c r="F30" i="5" s="1"/>
  <c r="E30" i="5" s="1"/>
  <c r="H22" i="5"/>
  <c r="M16" i="7"/>
  <c r="M19" i="7"/>
  <c r="M17" i="7"/>
  <c r="M18" i="7"/>
  <c r="M15" i="7"/>
  <c r="M34" i="7"/>
  <c r="M38" i="7"/>
  <c r="M37" i="7"/>
  <c r="M36" i="7"/>
  <c r="M35" i="7"/>
  <c r="J24" i="5"/>
  <c r="H24" i="5"/>
  <c r="F24" i="5"/>
  <c r="L24" i="5"/>
  <c r="D29" i="5" s="1"/>
  <c r="L29" i="5" s="1"/>
  <c r="L32" i="5" s="1"/>
  <c r="L36" i="5" s="1"/>
  <c r="L30" i="5" l="1"/>
  <c r="L33" i="5" s="1"/>
  <c r="L37" i="5" s="1"/>
  <c r="L40" i="5" s="1"/>
  <c r="G35" i="1"/>
  <c r="H32" i="1" s="1"/>
  <c r="G13" i="3" l="1"/>
  <c r="J91" i="1"/>
  <c r="K91" i="1" s="1"/>
  <c r="I30" i="1"/>
  <c r="J30" i="1" s="1"/>
  <c r="H3" i="2"/>
  <c r="B3" i="2"/>
  <c r="B144" i="1"/>
  <c r="B105" i="1"/>
  <c r="B66" i="1"/>
  <c r="G19" i="1"/>
  <c r="G66" i="1" s="1"/>
  <c r="B19" i="1"/>
  <c r="N14" i="1"/>
  <c r="N8" i="1"/>
  <c r="H5" i="1"/>
  <c r="B5" i="1"/>
  <c r="H43" i="3"/>
  <c r="G76" i="1"/>
  <c r="H76" i="1"/>
  <c r="H45" i="1" s="1"/>
  <c r="I76" i="1"/>
  <c r="H180" i="1"/>
  <c r="H40" i="12" s="1"/>
  <c r="I180" i="1"/>
  <c r="I40" i="12" s="1"/>
  <c r="G180" i="1"/>
  <c r="G40" i="12" s="1"/>
  <c r="H172" i="1"/>
  <c r="H39" i="12" s="1"/>
  <c r="I172" i="1"/>
  <c r="I39" i="12" s="1"/>
  <c r="G172" i="1"/>
  <c r="G39" i="12" s="1"/>
  <c r="I137" i="1"/>
  <c r="H137" i="1"/>
  <c r="I125" i="1"/>
  <c r="I131" i="1" s="1"/>
  <c r="H125" i="1"/>
  <c r="H131" i="1" s="1"/>
  <c r="I112" i="1"/>
  <c r="H112" i="1"/>
  <c r="H92" i="1"/>
  <c r="I92" i="1"/>
  <c r="G92" i="1"/>
  <c r="H85" i="1"/>
  <c r="H27" i="12" s="1"/>
  <c r="I85" i="1"/>
  <c r="I27" i="12" s="1"/>
  <c r="G85" i="1"/>
  <c r="G27" i="12" s="1"/>
  <c r="G13" i="1" l="1"/>
  <c r="H46" i="3"/>
  <c r="G41" i="2"/>
  <c r="J46" i="3"/>
  <c r="I41" i="2"/>
  <c r="I46" i="3"/>
  <c r="H41" i="2"/>
  <c r="H118" i="1"/>
  <c r="H42" i="12" s="1"/>
  <c r="H52" i="1"/>
  <c r="I43" i="3"/>
  <c r="I118" i="1"/>
  <c r="I42" i="12" s="1"/>
  <c r="J56" i="3"/>
  <c r="I52" i="1"/>
  <c r="J43" i="3"/>
  <c r="N13" i="12"/>
  <c r="K13" i="12"/>
  <c r="N15" i="1"/>
  <c r="P81" i="11" s="1"/>
  <c r="P65" i="11"/>
  <c r="Q66" i="11"/>
  <c r="P66" i="11"/>
  <c r="Q65" i="11"/>
  <c r="C74" i="4"/>
  <c r="T91" i="11" s="1"/>
  <c r="E30" i="4"/>
  <c r="F66" i="4" s="1"/>
  <c r="C97" i="4"/>
  <c r="Z91" i="11" s="1"/>
  <c r="C73" i="4"/>
  <c r="C98" i="4"/>
  <c r="Y30" i="4"/>
  <c r="Z66" i="4" s="1"/>
  <c r="C75" i="4"/>
  <c r="O30" i="4"/>
  <c r="P66" i="4" s="1"/>
  <c r="T30" i="4"/>
  <c r="U66" i="4" s="1"/>
  <c r="C96" i="4"/>
  <c r="W91" i="11" s="1"/>
  <c r="C89" i="4"/>
  <c r="AI30" i="4"/>
  <c r="AJ66" i="4" s="1"/>
  <c r="J30" i="4"/>
  <c r="K66" i="4" s="1"/>
  <c r="AD30" i="4"/>
  <c r="AE66" i="4" s="1"/>
  <c r="L13" i="12"/>
  <c r="G105" i="1"/>
  <c r="G144" i="1" s="1"/>
  <c r="I45" i="1"/>
  <c r="J72" i="1"/>
  <c r="J21" i="12" s="1"/>
  <c r="I3" i="2"/>
  <c r="H38" i="2"/>
  <c r="L72" i="1"/>
  <c r="G61" i="1"/>
  <c r="H55" i="1"/>
  <c r="H61" i="1"/>
  <c r="I55" i="1"/>
  <c r="I61" i="1"/>
  <c r="I46" i="1"/>
  <c r="I53" i="1"/>
  <c r="H46" i="1"/>
  <c r="H53" i="1"/>
  <c r="I49" i="1"/>
  <c r="H49" i="1"/>
  <c r="I48" i="1"/>
  <c r="H48" i="1"/>
  <c r="L91" i="1"/>
  <c r="J89" i="1"/>
  <c r="J92" i="1" s="1"/>
  <c r="K30" i="1"/>
  <c r="L30" i="1" s="1"/>
  <c r="M30" i="1" s="1"/>
  <c r="N30" i="1" s="1"/>
  <c r="O30" i="1" s="1"/>
  <c r="K72" i="1"/>
  <c r="I5" i="1"/>
  <c r="H19" i="1"/>
  <c r="H66" i="1" s="1"/>
  <c r="H105" i="1" s="1"/>
  <c r="H51" i="1" s="1"/>
  <c r="I78" i="1"/>
  <c r="I24" i="12" s="1"/>
  <c r="H78" i="1"/>
  <c r="H24" i="12" s="1"/>
  <c r="G78" i="1"/>
  <c r="G24" i="12" s="1"/>
  <c r="I139" i="1"/>
  <c r="H139" i="1"/>
  <c r="H141" i="1" s="1"/>
  <c r="M43" i="3" l="1"/>
  <c r="L21" i="12"/>
  <c r="M22" i="12" s="1"/>
  <c r="L43" i="3"/>
  <c r="K21" i="12"/>
  <c r="K22" i="12" s="1"/>
  <c r="H13" i="12"/>
  <c r="I141" i="1"/>
  <c r="P80" i="11"/>
  <c r="J13" i="12"/>
  <c r="N22" i="12"/>
  <c r="I13" i="12"/>
  <c r="N16" i="1"/>
  <c r="R66" i="11"/>
  <c r="P84" i="11"/>
  <c r="P83" i="11"/>
  <c r="R65" i="11"/>
  <c r="C79" i="4"/>
  <c r="C77" i="4"/>
  <c r="R91" i="11" s="1"/>
  <c r="C101" i="4"/>
  <c r="U30" i="4"/>
  <c r="V66" i="4" s="1"/>
  <c r="C78" i="4"/>
  <c r="U91" i="11" s="1"/>
  <c r="Z30" i="4"/>
  <c r="AA66" i="4" s="1"/>
  <c r="C102" i="4"/>
  <c r="W102" i="11" s="1"/>
  <c r="P30" i="4"/>
  <c r="Q66" i="4" s="1"/>
  <c r="F30" i="4"/>
  <c r="G66" i="4" s="1"/>
  <c r="C100" i="4"/>
  <c r="X91" i="11" s="1"/>
  <c r="C90" i="4"/>
  <c r="AJ30" i="4"/>
  <c r="AK66" i="4" s="1"/>
  <c r="K30" i="4"/>
  <c r="L66" i="4" s="1"/>
  <c r="AE30" i="4"/>
  <c r="AF66" i="4" s="1"/>
  <c r="G87" i="1"/>
  <c r="G99" i="1" s="1"/>
  <c r="P12" i="12"/>
  <c r="R9" i="7"/>
  <c r="R10" i="7"/>
  <c r="O21" i="7"/>
  <c r="U10" i="7"/>
  <c r="U14" i="7"/>
  <c r="O10" i="7"/>
  <c r="U9" i="7"/>
  <c r="O11" i="7"/>
  <c r="R13" i="7"/>
  <c r="U12" i="7"/>
  <c r="U11" i="7"/>
  <c r="U13" i="7"/>
  <c r="O13" i="7"/>
  <c r="R12" i="7"/>
  <c r="R11" i="7"/>
  <c r="O9" i="7"/>
  <c r="O12" i="7"/>
  <c r="O14" i="7"/>
  <c r="Q91" i="11"/>
  <c r="R14" i="7"/>
  <c r="M13" i="12"/>
  <c r="T95" i="11"/>
  <c r="T92" i="11"/>
  <c r="T97" i="11"/>
  <c r="T93" i="11"/>
  <c r="T96" i="11"/>
  <c r="T94" i="11"/>
  <c r="H87" i="1"/>
  <c r="H99" i="1" s="1"/>
  <c r="I87" i="1"/>
  <c r="I99" i="1" s="1"/>
  <c r="N127" i="1"/>
  <c r="O160" i="1" s="1"/>
  <c r="J3" i="2"/>
  <c r="I38" i="2"/>
  <c r="I44" i="3"/>
  <c r="J44" i="3"/>
  <c r="H144" i="1"/>
  <c r="H44" i="1"/>
  <c r="H43" i="1"/>
  <c r="M91" i="1"/>
  <c r="I19" i="1"/>
  <c r="I66" i="1" s="1"/>
  <c r="J5" i="1"/>
  <c r="L22" i="12" l="1"/>
  <c r="S9" i="7"/>
  <c r="V10" i="7"/>
  <c r="V13" i="7"/>
  <c r="P21" i="12"/>
  <c r="H22" i="12"/>
  <c r="H94" i="1"/>
  <c r="I62" i="3"/>
  <c r="I48" i="3"/>
  <c r="Q98" i="11"/>
  <c r="Q95" i="11"/>
  <c r="Q94" i="11"/>
  <c r="Q92" i="11"/>
  <c r="Q96" i="11"/>
  <c r="Q93" i="11"/>
  <c r="Q97" i="11"/>
  <c r="G25" i="12"/>
  <c r="U94" i="11"/>
  <c r="U96" i="11"/>
  <c r="U93" i="11"/>
  <c r="U97" i="11"/>
  <c r="U95" i="11"/>
  <c r="U92" i="11"/>
  <c r="P21" i="7"/>
  <c r="P9" i="7"/>
  <c r="G94" i="1"/>
  <c r="G97" i="1" s="1"/>
  <c r="H48" i="3"/>
  <c r="H62" i="3"/>
  <c r="V9" i="7"/>
  <c r="I105" i="1"/>
  <c r="I51" i="1" s="1"/>
  <c r="J51" i="1" s="1"/>
  <c r="P13" i="7"/>
  <c r="V12" i="7"/>
  <c r="S14" i="7"/>
  <c r="H23" i="8"/>
  <c r="J22" i="12"/>
  <c r="Z102" i="11"/>
  <c r="AA91" i="11"/>
  <c r="U19" i="7"/>
  <c r="U16" i="7"/>
  <c r="U15" i="7"/>
  <c r="U17" i="7"/>
  <c r="U18" i="7"/>
  <c r="P11" i="7"/>
  <c r="I22" i="12"/>
  <c r="S11" i="7"/>
  <c r="P10" i="7"/>
  <c r="S13" i="7"/>
  <c r="Q5" i="11" a="1"/>
  <c r="Q5" i="11" s="1"/>
  <c r="I25" i="12"/>
  <c r="P12" i="7"/>
  <c r="S12" i="7"/>
  <c r="V14" i="7"/>
  <c r="S10" i="7"/>
  <c r="R97" i="11"/>
  <c r="R92" i="11"/>
  <c r="R95" i="11"/>
  <c r="R98" i="11"/>
  <c r="R96" i="11"/>
  <c r="R93" i="11"/>
  <c r="R94" i="11"/>
  <c r="I94" i="1"/>
  <c r="J62" i="3"/>
  <c r="J48" i="3"/>
  <c r="P14" i="7"/>
  <c r="H25" i="12"/>
  <c r="O16" i="7"/>
  <c r="O15" i="7"/>
  <c r="O18" i="7"/>
  <c r="O17" i="7"/>
  <c r="O19" i="7"/>
  <c r="AA30" i="4"/>
  <c r="AB66" i="4" s="1"/>
  <c r="C83" i="4"/>
  <c r="AK30" i="4"/>
  <c r="AL66" i="4" s="1"/>
  <c r="C82" i="4"/>
  <c r="V30" i="4"/>
  <c r="W66" i="4" s="1"/>
  <c r="Q30" i="4"/>
  <c r="R66" i="4" s="1"/>
  <c r="C81" i="4"/>
  <c r="V31" i="7" s="1"/>
  <c r="L30" i="4"/>
  <c r="M66" i="4" s="1"/>
  <c r="AF30" i="4"/>
  <c r="AG66" i="4" s="1"/>
  <c r="G30" i="4"/>
  <c r="H66" i="4" s="1"/>
  <c r="V11" i="7"/>
  <c r="R17" i="7"/>
  <c r="R18" i="7"/>
  <c r="R16" i="7"/>
  <c r="R15" i="7"/>
  <c r="R19" i="7"/>
  <c r="N149" i="1"/>
  <c r="L127" i="1"/>
  <c r="K43" i="3"/>
  <c r="K44" i="3" s="1"/>
  <c r="N83" i="1"/>
  <c r="K127" i="1"/>
  <c r="J127" i="1"/>
  <c r="J160" i="1" s="1"/>
  <c r="K149" i="1"/>
  <c r="L117" i="1"/>
  <c r="L83" i="1"/>
  <c r="K83" i="1"/>
  <c r="K82" i="1"/>
  <c r="K81" i="1"/>
  <c r="N117" i="1"/>
  <c r="O157" i="1" s="1"/>
  <c r="K84" i="1"/>
  <c r="K117" i="1"/>
  <c r="J117" i="1"/>
  <c r="L82" i="1"/>
  <c r="L149" i="1"/>
  <c r="L81" i="1"/>
  <c r="J149" i="1"/>
  <c r="J135" i="1" s="1"/>
  <c r="L84" i="1"/>
  <c r="J83" i="1"/>
  <c r="N82" i="1"/>
  <c r="N81" i="1"/>
  <c r="J82" i="1"/>
  <c r="J81" i="1"/>
  <c r="N84" i="1"/>
  <c r="M149" i="1"/>
  <c r="M127" i="1"/>
  <c r="M82" i="1"/>
  <c r="M81" i="1"/>
  <c r="M84" i="1"/>
  <c r="M117" i="1"/>
  <c r="M83" i="1"/>
  <c r="J84" i="1"/>
  <c r="K3" i="2"/>
  <c r="J38" i="2"/>
  <c r="I144" i="1"/>
  <c r="I43" i="1"/>
  <c r="N91" i="1"/>
  <c r="O91" i="1" s="1"/>
  <c r="K5" i="1"/>
  <c r="J19" i="1"/>
  <c r="J66" i="1" s="1"/>
  <c r="S17" i="7" l="1"/>
  <c r="O40" i="7"/>
  <c r="Y13" i="7"/>
  <c r="AA11" i="7"/>
  <c r="P32" i="7"/>
  <c r="U29" i="7"/>
  <c r="P31" i="7"/>
  <c r="Q27" i="7"/>
  <c r="R29" i="7"/>
  <c r="W96" i="11"/>
  <c r="N27" i="7"/>
  <c r="Q28" i="7"/>
  <c r="S16" i="7"/>
  <c r="X92" i="11"/>
  <c r="N30" i="7"/>
  <c r="X94" i="11"/>
  <c r="T105" i="11"/>
  <c r="S28" i="7"/>
  <c r="W11" i="7"/>
  <c r="Q106" i="11"/>
  <c r="T28" i="7"/>
  <c r="T32" i="7"/>
  <c r="S32" i="7"/>
  <c r="Z13" i="7"/>
  <c r="X98" i="11"/>
  <c r="Y12" i="7"/>
  <c r="X95" i="11"/>
  <c r="W12" i="7"/>
  <c r="W13" i="7"/>
  <c r="X96" i="11"/>
  <c r="AA12" i="7"/>
  <c r="V32" i="7"/>
  <c r="Z92" i="11"/>
  <c r="N29" i="7"/>
  <c r="X93" i="11"/>
  <c r="O31" i="7"/>
  <c r="T107" i="11"/>
  <c r="X97" i="11"/>
  <c r="R31" i="7"/>
  <c r="T30" i="7"/>
  <c r="O32" i="7"/>
  <c r="P30" i="7"/>
  <c r="Q32" i="7"/>
  <c r="AA9" i="7"/>
  <c r="V27" i="7"/>
  <c r="S19" i="7"/>
  <c r="Q30" i="7"/>
  <c r="Q29" i="7"/>
  <c r="Q23" i="11"/>
  <c r="Q22" i="11"/>
  <c r="Q21" i="11"/>
  <c r="Q20" i="11"/>
  <c r="J122" i="1"/>
  <c r="J159" i="1" s="1"/>
  <c r="J76" i="1"/>
  <c r="J115" i="1" s="1"/>
  <c r="J156" i="1" s="1"/>
  <c r="Z103" i="11"/>
  <c r="Z107" i="11"/>
  <c r="Z105" i="11"/>
  <c r="Z108" i="11"/>
  <c r="Z106" i="11"/>
  <c r="Z104" i="11"/>
  <c r="Q108" i="11"/>
  <c r="S30" i="7"/>
  <c r="Q31" i="7"/>
  <c r="AA13" i="7"/>
  <c r="R30" i="7"/>
  <c r="G147" i="1"/>
  <c r="G164" i="1" s="1"/>
  <c r="G32" i="12"/>
  <c r="G33" i="12" s="1"/>
  <c r="H52" i="3"/>
  <c r="H60" i="3" s="1"/>
  <c r="M44" i="8"/>
  <c r="M23" i="8" s="1"/>
  <c r="I42" i="9" s="1"/>
  <c r="K44" i="8"/>
  <c r="K23" i="8" s="1"/>
  <c r="G42" i="9" s="1"/>
  <c r="J44" i="8"/>
  <c r="J23" i="8" s="1"/>
  <c r="F42" i="9" s="1"/>
  <c r="I44" i="8"/>
  <c r="I23" i="8" s="1"/>
  <c r="E42" i="9" s="1"/>
  <c r="K42" i="9" s="1"/>
  <c r="L44" i="8"/>
  <c r="L23" i="8" s="1"/>
  <c r="H42" i="9" s="1"/>
  <c r="P19" i="7"/>
  <c r="P18" i="7"/>
  <c r="P17" i="7"/>
  <c r="P16" i="7"/>
  <c r="P15" i="7"/>
  <c r="Y10" i="7"/>
  <c r="O28" i="7"/>
  <c r="Y14" i="7"/>
  <c r="U32" i="7"/>
  <c r="X14" i="7"/>
  <c r="R32" i="7"/>
  <c r="T40" i="7"/>
  <c r="U30" i="7"/>
  <c r="Y11" i="7"/>
  <c r="V28" i="7"/>
  <c r="R28" i="7"/>
  <c r="N32" i="7"/>
  <c r="AA14" i="7"/>
  <c r="Z94" i="11"/>
  <c r="O29" i="7"/>
  <c r="Z95" i="11"/>
  <c r="T103" i="11"/>
  <c r="V30" i="7"/>
  <c r="Z12" i="7"/>
  <c r="W10" i="7"/>
  <c r="N28" i="7"/>
  <c r="Z93" i="11"/>
  <c r="N31" i="7"/>
  <c r="T104" i="11"/>
  <c r="V29" i="7"/>
  <c r="U27" i="7"/>
  <c r="U28" i="7"/>
  <c r="P40" i="7"/>
  <c r="X13" i="7"/>
  <c r="S27" i="7"/>
  <c r="W9" i="7"/>
  <c r="T27" i="7"/>
  <c r="O30" i="7"/>
  <c r="Q109" i="11"/>
  <c r="R109" i="11" s="1"/>
  <c r="AA10" i="7"/>
  <c r="W14" i="7"/>
  <c r="Z9" i="7"/>
  <c r="X9" i="7"/>
  <c r="T106" i="11"/>
  <c r="H45" i="12"/>
  <c r="H46" i="12" s="1"/>
  <c r="I63" i="3"/>
  <c r="V17" i="7"/>
  <c r="V15" i="7"/>
  <c r="V18" i="7"/>
  <c r="V19" i="7"/>
  <c r="V16" i="7"/>
  <c r="H34" i="1"/>
  <c r="H33" i="1"/>
  <c r="H35" i="1" s="1"/>
  <c r="I32" i="1" s="1"/>
  <c r="H97" i="1"/>
  <c r="P27" i="7"/>
  <c r="O27" i="7"/>
  <c r="Q107" i="11"/>
  <c r="S18" i="7"/>
  <c r="X11" i="7"/>
  <c r="P29" i="7"/>
  <c r="R27" i="7"/>
  <c r="W108" i="11"/>
  <c r="N40" i="7"/>
  <c r="Q40" i="7"/>
  <c r="W93" i="11"/>
  <c r="X10" i="7"/>
  <c r="S15" i="7"/>
  <c r="T108" i="11"/>
  <c r="U31" i="7"/>
  <c r="S29" i="7"/>
  <c r="Q104" i="11"/>
  <c r="W105" i="11"/>
  <c r="I44" i="1"/>
  <c r="K135" i="1"/>
  <c r="L135" i="1" s="1"/>
  <c r="M135" i="1" s="1"/>
  <c r="N135" i="1" s="1"/>
  <c r="O135" i="1" s="1"/>
  <c r="Z96" i="11"/>
  <c r="W95" i="11"/>
  <c r="Z97" i="11"/>
  <c r="Z11" i="7"/>
  <c r="Z10" i="7"/>
  <c r="W104" i="11"/>
  <c r="T31" i="7"/>
  <c r="Q103" i="11"/>
  <c r="W94" i="11"/>
  <c r="T29" i="7"/>
  <c r="Z14" i="7"/>
  <c r="W107" i="11"/>
  <c r="AA95" i="11"/>
  <c r="AA92" i="11"/>
  <c r="AA96" i="11"/>
  <c r="AA97" i="11"/>
  <c r="AA94" i="11"/>
  <c r="AA93" i="11"/>
  <c r="I45" i="12"/>
  <c r="I46" i="12" s="1"/>
  <c r="J63" i="3"/>
  <c r="S31" i="7"/>
  <c r="X12" i="7"/>
  <c r="P28" i="7"/>
  <c r="Y9" i="7"/>
  <c r="W103" i="11"/>
  <c r="G45" i="12"/>
  <c r="G46" i="12" s="1"/>
  <c r="H63" i="3"/>
  <c r="Q105" i="11"/>
  <c r="W92" i="11"/>
  <c r="I33" i="1"/>
  <c r="I97" i="1"/>
  <c r="W97" i="11"/>
  <c r="W98" i="11"/>
  <c r="W106" i="11"/>
  <c r="M160" i="1"/>
  <c r="O44" i="3"/>
  <c r="K76" i="1"/>
  <c r="K78" i="1" s="1"/>
  <c r="K79" i="1" s="1"/>
  <c r="L44" i="3"/>
  <c r="M44" i="3"/>
  <c r="L160" i="1"/>
  <c r="N44" i="3"/>
  <c r="K157" i="1"/>
  <c r="K160" i="1"/>
  <c r="L157" i="1"/>
  <c r="M157" i="1"/>
  <c r="M85" i="1"/>
  <c r="M27" i="12" s="1"/>
  <c r="K85" i="1"/>
  <c r="K27" i="12" s="1"/>
  <c r="J157" i="1"/>
  <c r="N85" i="1"/>
  <c r="N27" i="12" s="1"/>
  <c r="L85" i="1"/>
  <c r="L27" i="12" s="1"/>
  <c r="J85" i="1"/>
  <c r="J27" i="12" s="1"/>
  <c r="N157" i="1"/>
  <c r="N160" i="1"/>
  <c r="L3" i="2"/>
  <c r="K38" i="2"/>
  <c r="M76" i="1"/>
  <c r="J105" i="1"/>
  <c r="J144" i="1" s="1"/>
  <c r="J109" i="1"/>
  <c r="J110" i="1"/>
  <c r="L5" i="1"/>
  <c r="K19" i="1"/>
  <c r="K66" i="1" s="1"/>
  <c r="K122" i="1" s="1"/>
  <c r="K24" i="12" l="1"/>
  <c r="K25" i="12" s="1"/>
  <c r="Q35" i="7"/>
  <c r="N42" i="9"/>
  <c r="Q34" i="7"/>
  <c r="Q37" i="7"/>
  <c r="V37" i="7"/>
  <c r="Q38" i="7"/>
  <c r="N36" i="7"/>
  <c r="K46" i="3"/>
  <c r="J40" i="2"/>
  <c r="Q36" i="7"/>
  <c r="M46" i="3"/>
  <c r="L40" i="2"/>
  <c r="I35" i="1"/>
  <c r="J32" i="1" s="1"/>
  <c r="AA16" i="7"/>
  <c r="N35" i="7"/>
  <c r="O46" i="3"/>
  <c r="N40" i="2"/>
  <c r="G51" i="12" a="1"/>
  <c r="G51" i="12" s="1"/>
  <c r="L46" i="3"/>
  <c r="K40" i="2"/>
  <c r="N46" i="3"/>
  <c r="M40" i="2"/>
  <c r="J78" i="1"/>
  <c r="J79" i="1" s="1"/>
  <c r="K159" i="1"/>
  <c r="H147" i="1"/>
  <c r="H164" i="1" s="1"/>
  <c r="H32" i="12"/>
  <c r="H33" i="12" s="1"/>
  <c r="I52" i="3"/>
  <c r="I60" i="3" s="1"/>
  <c r="Y15" i="7"/>
  <c r="Y21" i="7" s="1"/>
  <c r="Y18" i="7"/>
  <c r="Y19" i="7"/>
  <c r="Y16" i="7"/>
  <c r="Y17" i="7"/>
  <c r="N38" i="7"/>
  <c r="V36" i="7"/>
  <c r="L42" i="9"/>
  <c r="N34" i="7"/>
  <c r="M42" i="9"/>
  <c r="N37" i="7"/>
  <c r="AA17" i="7"/>
  <c r="R34" i="7"/>
  <c r="R35" i="7"/>
  <c r="R36" i="7"/>
  <c r="R38" i="7"/>
  <c r="R37" i="7"/>
  <c r="S37" i="7"/>
  <c r="S34" i="7"/>
  <c r="S35" i="7"/>
  <c r="S38" i="7"/>
  <c r="S36" i="7"/>
  <c r="L7" i="3" s="1"/>
  <c r="Z18" i="7"/>
  <c r="Z15" i="7"/>
  <c r="Z21" i="7" s="1"/>
  <c r="Z16" i="7"/>
  <c r="Z19" i="7"/>
  <c r="Z17" i="7"/>
  <c r="V34" i="7"/>
  <c r="V35" i="7"/>
  <c r="T34" i="7"/>
  <c r="T38" i="7"/>
  <c r="T35" i="7"/>
  <c r="T37" i="7"/>
  <c r="T36" i="7"/>
  <c r="O42" i="9"/>
  <c r="V38" i="7"/>
  <c r="AA18" i="7"/>
  <c r="W15" i="7"/>
  <c r="W21" i="7" s="1"/>
  <c r="I53" i="12" s="1"/>
  <c r="W17" i="7"/>
  <c r="I52" i="12" s="1"/>
  <c r="W18" i="7"/>
  <c r="W16" i="7"/>
  <c r="W19" i="7"/>
  <c r="AA19" i="7"/>
  <c r="K115" i="1"/>
  <c r="K156" i="1" s="1"/>
  <c r="AA15" i="7"/>
  <c r="AA21" i="7" s="1"/>
  <c r="G183" i="1"/>
  <c r="G185" i="1" s="1"/>
  <c r="H184" i="1" s="1"/>
  <c r="G38" i="12"/>
  <c r="I147" i="1"/>
  <c r="I164" i="1" s="1"/>
  <c r="I32" i="12"/>
  <c r="I33" i="12" s="1"/>
  <c r="J52" i="3"/>
  <c r="J60" i="3" s="1"/>
  <c r="O36" i="7"/>
  <c r="O34" i="7"/>
  <c r="O37" i="7"/>
  <c r="O35" i="7"/>
  <c r="O38" i="7"/>
  <c r="U37" i="7"/>
  <c r="U35" i="7"/>
  <c r="U36" i="7"/>
  <c r="U38" i="7"/>
  <c r="U34" i="7"/>
  <c r="P38" i="7"/>
  <c r="P36" i="7"/>
  <c r="P37" i="7"/>
  <c r="P34" i="7"/>
  <c r="P35" i="7"/>
  <c r="X17" i="7"/>
  <c r="I57" i="12" s="1"/>
  <c r="X16" i="7"/>
  <c r="X18" i="7"/>
  <c r="X19" i="7"/>
  <c r="X15" i="7"/>
  <c r="X21" i="7" s="1"/>
  <c r="I58" i="12" s="1"/>
  <c r="M111" i="1"/>
  <c r="M124" i="1"/>
  <c r="K87" i="1"/>
  <c r="K124" i="1"/>
  <c r="K125" i="1" s="1"/>
  <c r="K131" i="1" s="1"/>
  <c r="K111" i="1"/>
  <c r="L124" i="1"/>
  <c r="L111" i="1"/>
  <c r="N111" i="1"/>
  <c r="O155" i="1" s="1"/>
  <c r="J111" i="1"/>
  <c r="J155" i="1" s="1"/>
  <c r="N124" i="1"/>
  <c r="O163" i="1" s="1"/>
  <c r="J124" i="1"/>
  <c r="K65" i="3" s="1"/>
  <c r="M3" i="2"/>
  <c r="L38" i="2"/>
  <c r="M115" i="1"/>
  <c r="J154" i="1"/>
  <c r="J153" i="1"/>
  <c r="M78" i="1"/>
  <c r="N76" i="1"/>
  <c r="L76" i="1"/>
  <c r="K105" i="1"/>
  <c r="K144" i="1" s="1"/>
  <c r="K109" i="1"/>
  <c r="K110" i="1"/>
  <c r="L19" i="1"/>
  <c r="L66" i="1" s="1"/>
  <c r="L122" i="1" s="1"/>
  <c r="M5" i="1"/>
  <c r="M24" i="12" l="1"/>
  <c r="M25" i="12" s="1"/>
  <c r="M79" i="1"/>
  <c r="J24" i="12"/>
  <c r="J25" i="12" s="1"/>
  <c r="K153" i="1"/>
  <c r="L65" i="3"/>
  <c r="G50" i="12" a="1"/>
  <c r="G50" i="12" s="1"/>
  <c r="G55" i="12" a="1"/>
  <c r="G55" i="12" s="1"/>
  <c r="J87" i="1"/>
  <c r="N170" i="1"/>
  <c r="N53" i="2"/>
  <c r="O53" i="2"/>
  <c r="M51" i="2"/>
  <c r="L51" i="2"/>
  <c r="L170" i="1"/>
  <c r="N51" i="2"/>
  <c r="O51" i="2"/>
  <c r="J170" i="1"/>
  <c r="K49" i="2"/>
  <c r="L49" i="2"/>
  <c r="N49" i="2"/>
  <c r="J49" i="2"/>
  <c r="J55" i="2" s="1"/>
  <c r="J148" i="1" s="1"/>
  <c r="M49" i="2"/>
  <c r="O49" i="2"/>
  <c r="M52" i="2"/>
  <c r="N52" i="2"/>
  <c r="M170" i="1"/>
  <c r="O52" i="2"/>
  <c r="G60" i="12" a="1"/>
  <c r="G60" i="12" s="1"/>
  <c r="L50" i="2"/>
  <c r="O50" i="2"/>
  <c r="N50" i="2"/>
  <c r="K170" i="1"/>
  <c r="M50" i="2"/>
  <c r="K50" i="2"/>
  <c r="M87" i="1"/>
  <c r="I183" i="1"/>
  <c r="I38" i="12"/>
  <c r="H183" i="1"/>
  <c r="H185" i="1" s="1"/>
  <c r="I184" i="1" s="1"/>
  <c r="H38" i="12"/>
  <c r="C12" i="8" a="1"/>
  <c r="N155" i="1"/>
  <c r="L155" i="1"/>
  <c r="L48" i="3"/>
  <c r="N163" i="1"/>
  <c r="M163" i="1"/>
  <c r="K163" i="1"/>
  <c r="M155" i="1"/>
  <c r="L163" i="1"/>
  <c r="K155" i="1"/>
  <c r="J163" i="1"/>
  <c r="J125" i="1"/>
  <c r="J131" i="1" s="1"/>
  <c r="N3" i="2"/>
  <c r="M38" i="2"/>
  <c r="L115" i="1"/>
  <c r="N115" i="1"/>
  <c r="O156" i="1" s="1"/>
  <c r="N78" i="1"/>
  <c r="L125" i="1"/>
  <c r="L131" i="1" s="1"/>
  <c r="L159" i="1"/>
  <c r="K154" i="1"/>
  <c r="L78" i="1"/>
  <c r="L105" i="1"/>
  <c r="L144" i="1" s="1"/>
  <c r="L109" i="1"/>
  <c r="L110" i="1"/>
  <c r="L154" i="1" s="1"/>
  <c r="M19" i="1"/>
  <c r="M66" i="1" s="1"/>
  <c r="N5" i="1"/>
  <c r="O5" i="1" s="1"/>
  <c r="O19" i="1" s="1"/>
  <c r="O66" i="1" s="1"/>
  <c r="N24" i="12" l="1"/>
  <c r="N25" i="12" s="1"/>
  <c r="N79" i="1"/>
  <c r="L24" i="12"/>
  <c r="L79" i="1"/>
  <c r="O105" i="1"/>
  <c r="O144" i="1" s="1"/>
  <c r="O122" i="1"/>
  <c r="O125" i="1" s="1"/>
  <c r="O131" i="1" s="1"/>
  <c r="O109" i="1"/>
  <c r="O110" i="1"/>
  <c r="M65" i="3"/>
  <c r="K48" i="3"/>
  <c r="J99" i="1"/>
  <c r="N48" i="3"/>
  <c r="K54" i="3"/>
  <c r="J94" i="1"/>
  <c r="K35" i="12"/>
  <c r="K172" i="1"/>
  <c r="K39" i="12" s="1"/>
  <c r="L58" i="3"/>
  <c r="J35" i="12"/>
  <c r="J172" i="1"/>
  <c r="J39" i="12" s="1"/>
  <c r="K58" i="3"/>
  <c r="L35" i="12"/>
  <c r="P35" i="12" s="1"/>
  <c r="M58" i="3"/>
  <c r="L172" i="1"/>
  <c r="L39" i="12" s="1"/>
  <c r="M35" i="12"/>
  <c r="M172" i="1"/>
  <c r="M39" i="12" s="1"/>
  <c r="N58" i="3"/>
  <c r="J43" i="2"/>
  <c r="N35" i="12"/>
  <c r="O58" i="3"/>
  <c r="N172" i="1"/>
  <c r="N39" i="12" s="1"/>
  <c r="K62" i="3"/>
  <c r="N87" i="1"/>
  <c r="M122" i="1"/>
  <c r="M125" i="1" s="1"/>
  <c r="M131" i="1" s="1"/>
  <c r="C12" i="8"/>
  <c r="L87" i="1"/>
  <c r="O3" i="2"/>
  <c r="N38" i="2"/>
  <c r="M156" i="1"/>
  <c r="L156" i="1"/>
  <c r="N156" i="1"/>
  <c r="L153" i="1"/>
  <c r="M105" i="1"/>
  <c r="M144" i="1" s="1"/>
  <c r="M109" i="1"/>
  <c r="M110" i="1"/>
  <c r="M154" i="1" s="1"/>
  <c r="N19" i="1"/>
  <c r="N66" i="1" s="1"/>
  <c r="N122" i="1" s="1"/>
  <c r="O159" i="1" l="1"/>
  <c r="P65" i="3"/>
  <c r="G29" i="12" a="1"/>
  <c r="M153" i="1"/>
  <c r="N65" i="3"/>
  <c r="O48" i="3"/>
  <c r="M48" i="3"/>
  <c r="J33" i="1"/>
  <c r="M159" i="1"/>
  <c r="P5" i="11" a="1"/>
  <c r="P5" i="11" s="1"/>
  <c r="K48" i="2"/>
  <c r="K55" i="2" s="1"/>
  <c r="K148" i="1" s="1"/>
  <c r="J114" i="1"/>
  <c r="J45" i="12"/>
  <c r="K63" i="3"/>
  <c r="L25" i="12"/>
  <c r="P24" i="12"/>
  <c r="O38" i="2"/>
  <c r="N125" i="1"/>
  <c r="N131" i="1" s="1"/>
  <c r="N159" i="1"/>
  <c r="N105" i="1"/>
  <c r="N144" i="1" s="1"/>
  <c r="N110" i="1"/>
  <c r="O154" i="1" s="1"/>
  <c r="N109" i="1"/>
  <c r="O153" i="1" s="1"/>
  <c r="G29" i="12" l="1"/>
  <c r="G30" i="12" s="1"/>
  <c r="L30" i="12"/>
  <c r="J30" i="12"/>
  <c r="K30" i="12"/>
  <c r="I30" i="12"/>
  <c r="N30" i="12"/>
  <c r="H30" i="12"/>
  <c r="M30" i="12"/>
  <c r="O65" i="3"/>
  <c r="P56" i="3" s="1"/>
  <c r="L54" i="3"/>
  <c r="K99" i="1"/>
  <c r="J34" i="1"/>
  <c r="J37" i="1" s="1"/>
  <c r="J38" i="1" s="1"/>
  <c r="J96" i="1" s="1"/>
  <c r="J97" i="1" s="1"/>
  <c r="E33" i="4" s="1"/>
  <c r="J46" i="12"/>
  <c r="E32" i="4"/>
  <c r="K43" i="2"/>
  <c r="K114" i="1" s="1"/>
  <c r="P20" i="11"/>
  <c r="P23" i="11"/>
  <c r="P22" i="11"/>
  <c r="P21" i="11"/>
  <c r="N153" i="1"/>
  <c r="N154" i="1"/>
  <c r="P29" i="12" l="1"/>
  <c r="K50" i="3"/>
  <c r="J147" i="1"/>
  <c r="J136" i="1" s="1"/>
  <c r="J137" i="1" s="1"/>
  <c r="J139" i="1" s="1"/>
  <c r="K52" i="3"/>
  <c r="J32" i="12"/>
  <c r="J33" i="12" s="1"/>
  <c r="J101" i="1"/>
  <c r="J35" i="1"/>
  <c r="K32" i="1" s="1"/>
  <c r="H74" i="4"/>
  <c r="F68" i="4"/>
  <c r="H97" i="4" s="1"/>
  <c r="H75" i="4"/>
  <c r="U21" i="7" s="1"/>
  <c r="F69" i="4"/>
  <c r="H98" i="4" s="1"/>
  <c r="U40" i="7" s="1"/>
  <c r="P27" i="11"/>
  <c r="L48" i="2"/>
  <c r="L55" i="2" s="1"/>
  <c r="L43" i="2" s="1"/>
  <c r="J164" i="1" l="1"/>
  <c r="J183" i="1" s="1"/>
  <c r="J185" i="1" s="1"/>
  <c r="J108" i="1" s="1"/>
  <c r="J112" i="1" s="1"/>
  <c r="K56" i="3" s="1"/>
  <c r="K60" i="3" s="1"/>
  <c r="Z98" i="11"/>
  <c r="R40" i="7"/>
  <c r="H89" i="4"/>
  <c r="R21" i="7"/>
  <c r="T98" i="11"/>
  <c r="L148" i="1"/>
  <c r="L114" i="1"/>
  <c r="M48" i="2"/>
  <c r="M55" i="2" s="1"/>
  <c r="K184" i="1" l="1"/>
  <c r="J43" i="12"/>
  <c r="K89" i="1"/>
  <c r="K92" i="1" s="1"/>
  <c r="K94" i="1" s="1"/>
  <c r="J38" i="12"/>
  <c r="M54" i="3"/>
  <c r="L99" i="1"/>
  <c r="H24" i="8"/>
  <c r="M43" i="2"/>
  <c r="M148" i="1"/>
  <c r="J118" i="1"/>
  <c r="J42" i="12" s="1"/>
  <c r="L62" i="3" l="1"/>
  <c r="K45" i="12" s="1"/>
  <c r="N54" i="3"/>
  <c r="M99" i="1"/>
  <c r="M45" i="8"/>
  <c r="M24" i="8" s="1"/>
  <c r="I41" i="9" s="1"/>
  <c r="L45" i="8"/>
  <c r="L24" i="8" s="1"/>
  <c r="H41" i="9" s="1"/>
  <c r="I45" i="8"/>
  <c r="I24" i="8" s="1"/>
  <c r="E41" i="9" s="1"/>
  <c r="K41" i="9" s="1"/>
  <c r="K45" i="8"/>
  <c r="K24" i="8" s="1"/>
  <c r="G41" i="9" s="1"/>
  <c r="J45" i="8"/>
  <c r="J24" i="8" s="1"/>
  <c r="F41" i="9" s="1"/>
  <c r="J141" i="1"/>
  <c r="M114" i="1"/>
  <c r="N48" i="2"/>
  <c r="N55" i="2" s="1"/>
  <c r="K33" i="1"/>
  <c r="K34" i="1" s="1"/>
  <c r="K37" i="1" s="1"/>
  <c r="K38" i="1" s="1"/>
  <c r="L63" i="3" l="1"/>
  <c r="L41" i="9"/>
  <c r="K46" i="12"/>
  <c r="F32" i="4"/>
  <c r="M41" i="9"/>
  <c r="N41" i="9"/>
  <c r="O41" i="9"/>
  <c r="N43" i="2"/>
  <c r="N148" i="1"/>
  <c r="K96" i="1"/>
  <c r="K35" i="1"/>
  <c r="L32" i="1" s="1"/>
  <c r="O54" i="3" l="1"/>
  <c r="N99" i="1"/>
  <c r="H78" i="4"/>
  <c r="G68" i="4"/>
  <c r="H101" i="4" s="1"/>
  <c r="N114" i="1"/>
  <c r="O48" i="2"/>
  <c r="O55" i="2" s="1"/>
  <c r="L50" i="3"/>
  <c r="K97" i="1"/>
  <c r="O43" i="2" l="1"/>
  <c r="O114" i="1" s="1"/>
  <c r="O148" i="1"/>
  <c r="F33" i="4"/>
  <c r="H79" i="4" s="1"/>
  <c r="V21" i="7" s="1"/>
  <c r="K101" i="1"/>
  <c r="AA98" i="11"/>
  <c r="S40" i="7"/>
  <c r="Z109" i="11"/>
  <c r="AA109" i="11" s="1"/>
  <c r="H86" i="4"/>
  <c r="T109" i="11" s="1"/>
  <c r="U109" i="11" s="1"/>
  <c r="H90" i="4"/>
  <c r="S21" i="7"/>
  <c r="U98" i="11"/>
  <c r="K32" i="12"/>
  <c r="K33" i="12" s="1"/>
  <c r="K147" i="1"/>
  <c r="L52" i="3"/>
  <c r="P54" i="3" l="1"/>
  <c r="O99" i="1"/>
  <c r="G69" i="4"/>
  <c r="H102" i="4" s="1"/>
  <c r="V40" i="7" s="1"/>
  <c r="G61" i="12" s="1" a="1"/>
  <c r="G61" i="12" s="1"/>
  <c r="H12" i="8" a="1"/>
  <c r="H12" i="8" s="1"/>
  <c r="L8" i="3"/>
  <c r="G56" i="12" a="1"/>
  <c r="G56" i="12" s="1"/>
  <c r="K164" i="1"/>
  <c r="K136" i="1"/>
  <c r="K137" i="1" s="1"/>
  <c r="K139" i="1" s="1"/>
  <c r="W109" i="11" l="1"/>
  <c r="X109" i="11" s="1"/>
  <c r="J36" i="8"/>
  <c r="J14" i="8" s="1"/>
  <c r="F50" i="9" s="1"/>
  <c r="L40" i="8"/>
  <c r="L18" i="8" s="1"/>
  <c r="H46" i="9" s="1"/>
  <c r="J40" i="8"/>
  <c r="J18" i="8" s="1"/>
  <c r="F46" i="9" s="1"/>
  <c r="J37" i="8"/>
  <c r="J15" i="8" s="1"/>
  <c r="F49" i="9" s="1"/>
  <c r="I36" i="8"/>
  <c r="I14" i="8" s="1"/>
  <c r="E50" i="9" s="1"/>
  <c r="K50" i="9" s="1"/>
  <c r="I41" i="8"/>
  <c r="I19" i="8" s="1"/>
  <c r="E45" i="9" s="1"/>
  <c r="K45" i="9" s="1"/>
  <c r="J39" i="8"/>
  <c r="J17" i="8" s="1"/>
  <c r="F47" i="9" s="1"/>
  <c r="K42" i="8"/>
  <c r="K20" i="8" s="1"/>
  <c r="G44" i="9" s="1"/>
  <c r="K39" i="8"/>
  <c r="K17" i="8" s="1"/>
  <c r="G47" i="9" s="1"/>
  <c r="M41" i="8"/>
  <c r="M19" i="8" s="1"/>
  <c r="I45" i="9" s="1"/>
  <c r="I38" i="8"/>
  <c r="I16" i="8" s="1"/>
  <c r="E48" i="9" s="1"/>
  <c r="K48" i="9" s="1"/>
  <c r="L36" i="8"/>
  <c r="L14" i="8" s="1"/>
  <c r="H50" i="9" s="1"/>
  <c r="M39" i="8"/>
  <c r="M17" i="8" s="1"/>
  <c r="I47" i="9" s="1"/>
  <c r="I35" i="8"/>
  <c r="I13" i="8" s="1"/>
  <c r="E51" i="9" s="1"/>
  <c r="K51" i="9" s="1"/>
  <c r="K36" i="8"/>
  <c r="E32" i="8" s="1"/>
  <c r="E40" i="8" s="1"/>
  <c r="E44" i="8" s="1"/>
  <c r="E45" i="8" s="1"/>
  <c r="M36" i="8"/>
  <c r="M14" i="8" s="1"/>
  <c r="I50" i="9" s="1"/>
  <c r="I39" i="8"/>
  <c r="I17" i="8" s="1"/>
  <c r="E47" i="9" s="1"/>
  <c r="K47" i="9" s="1"/>
  <c r="L35" i="8"/>
  <c r="L13" i="8" s="1"/>
  <c r="H51" i="9" s="1"/>
  <c r="L39" i="8"/>
  <c r="L17" i="8" s="1"/>
  <c r="H47" i="9" s="1"/>
  <c r="M35" i="8"/>
  <c r="M13" i="8" s="1"/>
  <c r="I51" i="9" s="1"/>
  <c r="M40" i="8"/>
  <c r="M18" i="8" s="1"/>
  <c r="I46" i="9" s="1"/>
  <c r="K38" i="8"/>
  <c r="K16" i="8" s="1"/>
  <c r="G48" i="9" s="1"/>
  <c r="J41" i="8"/>
  <c r="J19" i="8" s="1"/>
  <c r="F45" i="9" s="1"/>
  <c r="K35" i="8"/>
  <c r="K13" i="8" s="1"/>
  <c r="G51" i="9" s="1"/>
  <c r="L42" i="8"/>
  <c r="L20" i="8" s="1"/>
  <c r="H44" i="9" s="1"/>
  <c r="I37" i="8"/>
  <c r="I15" i="8" s="1"/>
  <c r="E49" i="9" s="1"/>
  <c r="K49" i="9" s="1"/>
  <c r="J35" i="8"/>
  <c r="J13" i="8" s="1"/>
  <c r="F51" i="9" s="1"/>
  <c r="K40" i="8"/>
  <c r="K18" i="8" s="1"/>
  <c r="G46" i="9" s="1"/>
  <c r="M38" i="8"/>
  <c r="M16" i="8" s="1"/>
  <c r="I48" i="9" s="1"/>
  <c r="I40" i="8"/>
  <c r="I18" i="8" s="1"/>
  <c r="E46" i="9" s="1"/>
  <c r="K46" i="9" s="1"/>
  <c r="L38" i="8"/>
  <c r="L16" i="8" s="1"/>
  <c r="H48" i="9" s="1"/>
  <c r="L41" i="8"/>
  <c r="L19" i="8" s="1"/>
  <c r="H45" i="9" s="1"/>
  <c r="J38" i="8"/>
  <c r="J16" i="8" s="1"/>
  <c r="F48" i="9" s="1"/>
  <c r="M42" i="8"/>
  <c r="M20" i="8" s="1"/>
  <c r="I44" i="9" s="1"/>
  <c r="J42" i="8"/>
  <c r="J20" i="8" s="1"/>
  <c r="F44" i="9" s="1"/>
  <c r="M37" i="8"/>
  <c r="M15" i="8" s="1"/>
  <c r="I49" i="9" s="1"/>
  <c r="K41" i="8"/>
  <c r="K19" i="8" s="1"/>
  <c r="G45" i="9" s="1"/>
  <c r="L37" i="8"/>
  <c r="L15" i="8" s="1"/>
  <c r="H49" i="9" s="1"/>
  <c r="K37" i="8"/>
  <c r="K15" i="8" s="1"/>
  <c r="G49" i="9" s="1"/>
  <c r="I42" i="8"/>
  <c r="I20" i="8" s="1"/>
  <c r="E44" i="9" s="1"/>
  <c r="K44" i="9" s="1"/>
  <c r="I34" i="8"/>
  <c r="I12" i="8" s="1"/>
  <c r="E52" i="9" s="1"/>
  <c r="K52" i="9" s="1"/>
  <c r="K34" i="8"/>
  <c r="K12" i="8" s="1"/>
  <c r="G52" i="9" s="1"/>
  <c r="L34" i="8"/>
  <c r="L12" i="8" s="1"/>
  <c r="H52" i="9" s="1"/>
  <c r="J34" i="8"/>
  <c r="J12" i="8" s="1"/>
  <c r="F52" i="9" s="1"/>
  <c r="M34" i="8"/>
  <c r="M12" i="8" s="1"/>
  <c r="I52" i="9" s="1"/>
  <c r="K183" i="1"/>
  <c r="K185" i="1" s="1"/>
  <c r="K38" i="12"/>
  <c r="M49" i="9" l="1"/>
  <c r="K14" i="8"/>
  <c r="G50" i="9" s="1"/>
  <c r="M50" i="9" s="1"/>
  <c r="M46" i="9"/>
  <c r="O47" i="9"/>
  <c r="M48" i="9"/>
  <c r="M47" i="9"/>
  <c r="O51" i="9"/>
  <c r="L46" i="9"/>
  <c r="L45" i="9"/>
  <c r="N44" i="9"/>
  <c r="N47" i="9"/>
  <c r="O50" i="9"/>
  <c r="L50" i="9"/>
  <c r="N49" i="9"/>
  <c r="M51" i="9"/>
  <c r="N48" i="9"/>
  <c r="M44" i="9"/>
  <c r="O46" i="9"/>
  <c r="L48" i="9"/>
  <c r="O45" i="9"/>
  <c r="M45" i="9"/>
  <c r="N51" i="9"/>
  <c r="L47" i="9"/>
  <c r="O48" i="9"/>
  <c r="L49" i="9"/>
  <c r="N45" i="9"/>
  <c r="L51" i="9"/>
  <c r="N46" i="9"/>
  <c r="L44" i="9"/>
  <c r="O44" i="9"/>
  <c r="O49" i="9"/>
  <c r="L52" i="9"/>
  <c r="O52" i="9"/>
  <c r="N52" i="9"/>
  <c r="M52" i="9"/>
  <c r="K108" i="1"/>
  <c r="L184" i="1"/>
  <c r="N50" i="9" l="1"/>
  <c r="K112" i="1"/>
  <c r="L89" i="1"/>
  <c r="K43" i="12"/>
  <c r="L92" i="1" l="1"/>
  <c r="L94" i="1" s="1"/>
  <c r="M62" i="3"/>
  <c r="L56" i="3"/>
  <c r="L60" i="3" s="1"/>
  <c r="K118" i="1"/>
  <c r="L45" i="12" l="1"/>
  <c r="G32" i="4" s="1"/>
  <c r="M63" i="3"/>
  <c r="K141" i="1"/>
  <c r="K42" i="12"/>
  <c r="L33" i="1"/>
  <c r="L34" i="1" l="1"/>
  <c r="H82" i="4"/>
  <c r="H68" i="4"/>
  <c r="P45" i="12"/>
  <c r="L46" i="12"/>
  <c r="L37" i="1" l="1"/>
  <c r="L38" i="1" s="1"/>
  <c r="L96" i="1" s="1"/>
  <c r="L35" i="1"/>
  <c r="M32" i="1" s="1"/>
  <c r="M50" i="3" l="1"/>
  <c r="L97" i="1"/>
  <c r="M52" i="3" s="1"/>
  <c r="L147" i="1" l="1"/>
  <c r="L164" i="1" s="1"/>
  <c r="L32" i="12"/>
  <c r="L33" i="12" s="1"/>
  <c r="G33" i="4"/>
  <c r="H69" i="4" s="1"/>
  <c r="L101" i="1"/>
  <c r="L136" i="1" l="1"/>
  <c r="L137" i="1" s="1"/>
  <c r="L139" i="1" s="1"/>
  <c r="P32" i="12"/>
  <c r="H83" i="4"/>
  <c r="L183" i="1"/>
  <c r="L185" i="1" s="1"/>
  <c r="L38" i="12"/>
  <c r="M184" i="1" l="1"/>
  <c r="L108" i="1"/>
  <c r="L112" i="1" l="1"/>
  <c r="M89" i="1"/>
  <c r="L43" i="12"/>
  <c r="M92" i="1" l="1"/>
  <c r="M94" i="1" s="1"/>
  <c r="N62" i="3"/>
  <c r="M56" i="3"/>
  <c r="M60" i="3" s="1"/>
  <c r="L118" i="1"/>
  <c r="L141" i="1" l="1"/>
  <c r="L42" i="12"/>
  <c r="N63" i="3"/>
  <c r="M45" i="12"/>
  <c r="M46" i="12" s="1"/>
  <c r="M33" i="1"/>
  <c r="M34" i="1" l="1"/>
  <c r="M37" i="1" s="1"/>
  <c r="M35" i="1" l="1"/>
  <c r="N32" i="1" s="1"/>
  <c r="M38" i="1" l="1"/>
  <c r="M96" i="1" s="1"/>
  <c r="N50" i="3" l="1"/>
  <c r="M97" i="1"/>
  <c r="M101" i="1" s="1"/>
  <c r="M32" i="12" l="1"/>
  <c r="M33" i="12" s="1"/>
  <c r="M147" i="1"/>
  <c r="N52" i="3"/>
  <c r="M136" i="1" l="1"/>
  <c r="M137" i="1" s="1"/>
  <c r="M139" i="1" s="1"/>
  <c r="M164" i="1"/>
  <c r="M183" i="1" l="1"/>
  <c r="M185" i="1" s="1"/>
  <c r="M38" i="12"/>
  <c r="N184" i="1" l="1"/>
  <c r="M108" i="1"/>
  <c r="N89" i="1" l="1"/>
  <c r="M43" i="12"/>
  <c r="M112" i="1"/>
  <c r="N56" i="3" l="1"/>
  <c r="N60" i="3" s="1"/>
  <c r="M118" i="1"/>
  <c r="O62" i="3"/>
  <c r="N92" i="1"/>
  <c r="N94" i="1" s="1"/>
  <c r="N33" i="1" l="1"/>
  <c r="M141" i="1"/>
  <c r="M42" i="12"/>
  <c r="R5" i="11" a="1"/>
  <c r="O63" i="3"/>
  <c r="N45" i="12"/>
  <c r="N46" i="12" s="1"/>
  <c r="N34" i="1" l="1"/>
  <c r="N37" i="1" s="1"/>
  <c r="N38" i="1" s="1"/>
  <c r="N96" i="1" s="1"/>
  <c r="O50" i="3" s="1"/>
  <c r="R20" i="11"/>
  <c r="S9" i="11"/>
  <c r="S20" i="11" s="1"/>
  <c r="R22" i="11"/>
  <c r="R23" i="11"/>
  <c r="S12" i="11"/>
  <c r="S23" i="11" s="1"/>
  <c r="S6" i="11"/>
  <c r="S7" i="11"/>
  <c r="S8" i="11"/>
  <c r="S10" i="11"/>
  <c r="S21" i="11" s="1"/>
  <c r="R5" i="11"/>
  <c r="S5" i="11" s="1"/>
  <c r="S11" i="11"/>
  <c r="S22" i="11" s="1"/>
  <c r="R21" i="11"/>
  <c r="N97" i="1" l="1"/>
  <c r="N101" i="1" s="1"/>
  <c r="N35" i="1"/>
  <c r="O32" i="1" s="1"/>
  <c r="N32" i="12" l="1"/>
  <c r="N33" i="12" s="1"/>
  <c r="N147" i="1"/>
  <c r="N164" i="1" s="1"/>
  <c r="O52" i="3"/>
  <c r="N136" i="1" l="1"/>
  <c r="N183" i="1"/>
  <c r="N185" i="1" s="1"/>
  <c r="N38" i="12"/>
  <c r="N108" i="1" l="1"/>
  <c r="O89" i="1" s="1"/>
  <c r="O184" i="1"/>
  <c r="N137" i="1"/>
  <c r="N139" i="1" s="1"/>
  <c r="N43" i="12" l="1"/>
  <c r="N112" i="1"/>
  <c r="N118" i="1" s="1"/>
  <c r="O92" i="1"/>
  <c r="O94" i="1" s="1"/>
  <c r="P62" i="3"/>
  <c r="O56" i="3"/>
  <c r="O60" i="3" s="1"/>
  <c r="P63" i="3" l="1"/>
  <c r="L16" i="3"/>
  <c r="O33" i="1"/>
  <c r="N42" i="12"/>
  <c r="N141" i="1"/>
  <c r="L19" i="3" l="1"/>
  <c r="L17" i="3"/>
  <c r="O34" i="1"/>
  <c r="O37" i="1" s="1"/>
  <c r="O38" i="1" s="1"/>
  <c r="O96" i="1" s="1"/>
  <c r="O35" i="1" l="1"/>
  <c r="P50" i="3"/>
  <c r="O97" i="1"/>
  <c r="O147" i="1" l="1"/>
  <c r="P52" i="3"/>
  <c r="P60" i="3" s="1"/>
  <c r="O101" i="1"/>
  <c r="Q16" i="3" l="1"/>
  <c r="Q20" i="3"/>
  <c r="L20" i="3"/>
  <c r="O164" i="1"/>
  <c r="O183" i="1" s="1"/>
  <c r="O185" i="1" s="1"/>
  <c r="O108" i="1" s="1"/>
  <c r="O112" i="1" s="1"/>
  <c r="O118" i="1" s="1"/>
  <c r="O136" i="1"/>
  <c r="O137" i="1" s="1"/>
  <c r="O139" i="1" s="1"/>
  <c r="L23" i="3" l="1"/>
  <c r="L21" i="3"/>
  <c r="L33" i="3" s="1"/>
  <c r="L37" i="3" s="1"/>
  <c r="Q19" i="3"/>
  <c r="Q21" i="3" s="1"/>
  <c r="Q17" i="3"/>
  <c r="O141" i="1"/>
  <c r="Q23" i="3" l="1"/>
  <c r="Q33" i="3" s="1"/>
  <c r="Q37" i="3" s="1"/>
  <c r="L38" i="3"/>
  <c r="E70" i="3"/>
  <c r="Q38" i="3" l="1"/>
  <c r="E8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S364" authorId="0" shapeId="0" xr:uid="{77EFE48A-9B4C-414C-B937-2164A017F60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This should really be 2019-06-05 - fix for graph label.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H22" authorId="0" shapeId="0" xr:uid="{0BFC6FF5-22D4-4F9A-B750-DCB302EFEB33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adjusted for $21M impairment charge</t>
        </r>
      </text>
    </comment>
    <comment ref="C70" authorId="0" shapeId="0" xr:uid="{CBFF2140-E5D7-491D-84C2-6BDA519B91C4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midjourney contract, 15m 2025, 10m annual, 5 year duration</t>
        </r>
      </text>
    </comment>
    <comment ref="H74" authorId="0" shapeId="0" xr:uid="{0C817E35-0F36-4F07-883B-8DBE4EA91F5C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includes $21M impairment charge
</t>
        </r>
      </text>
    </comment>
    <comment ref="C115" authorId="0" shapeId="0" xr:uid="{8AAF95EB-83A8-4F9B-9194-2D9F713E4B4E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current, non-current portions</t>
        </r>
      </text>
    </comment>
    <comment ref="C127" authorId="0" shapeId="0" xr:uid="{8CA50880-C99F-4FDC-BCAE-E4F9147C0BAE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current, non-current portions</t>
        </r>
      </text>
    </comment>
    <comment ref="C151" authorId="0" shapeId="0" xr:uid="{3807FB0C-69B3-4C97-8D71-2A346220266C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Change in fair value of warrant liabilities, writedown of inventories, non-cash interest expense, gain on lease terminationi, other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40" authorId="0" shapeId="0" xr:uid="{4475A81F-72B0-44AD-AAB1-4575FE6087A4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2025,2026 capex per Bloomberg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glenn Rentrop</author>
  </authors>
  <commentList>
    <comment ref="C8" authorId="0" shapeId="0" xr:uid="{E0653FA1-A713-4F85-AFC6-83BBC767B6D2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All Figures per Capital IQ</t>
        </r>
      </text>
    </comment>
    <comment ref="C31" authorId="0" shapeId="0" xr:uid="{444CFEF0-E5AD-443C-BDD7-5EAFCF9E68C0}">
      <text>
        <r>
          <rPr>
            <b/>
            <sz val="9"/>
            <color indexed="81"/>
            <rFont val="Tahoma"/>
            <family val="2"/>
          </rPr>
          <t>glenn Rentrop:</t>
        </r>
        <r>
          <rPr>
            <sz val="9"/>
            <color indexed="81"/>
            <rFont val="Tahoma"/>
            <family val="2"/>
          </rPr>
          <t xml:space="preserve">
Projected Financials Via Bloomberg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<sst xmlns="http://schemas.openxmlformats.org/spreadsheetml/2006/main" count="1165" uniqueCount="539">
  <si>
    <t>Product revenue</t>
  </si>
  <si>
    <t>Software and other services revenue</t>
  </si>
  <si>
    <t>Total revenue</t>
  </si>
  <si>
    <t>Cost of product revenue</t>
  </si>
  <si>
    <t>Cost of software and services revenue</t>
  </si>
  <si>
    <t>Total cost of revenue</t>
  </si>
  <si>
    <t>Gross profit</t>
  </si>
  <si>
    <t>Research and development</t>
  </si>
  <si>
    <t>Sales and marketing</t>
  </si>
  <si>
    <t>General and administrative</t>
  </si>
  <si>
    <t>Other operating expenses</t>
  </si>
  <si>
    <t>Total operating expenses</t>
  </si>
  <si>
    <t>Interest income</t>
  </si>
  <si>
    <t>Interest expense</t>
  </si>
  <si>
    <t>Change in fair value of warrant liabilities</t>
  </si>
  <si>
    <t>Loss before income taxes</t>
  </si>
  <si>
    <t>Provision (benefit) for income taxes</t>
  </si>
  <si>
    <t>Net loss and comprehensive loss</t>
  </si>
  <si>
    <t>Net loss per share (basic and diluted)</t>
  </si>
  <si>
    <t>Weighted-average shares outstanding</t>
  </si>
  <si>
    <t>Cash and cash equivalents</t>
  </si>
  <si>
    <t>Accounts receivable, net</t>
  </si>
  <si>
    <t>Inventories</t>
  </si>
  <si>
    <t>Prepaid expenses and other current assets</t>
  </si>
  <si>
    <t>Total current assets</t>
  </si>
  <si>
    <t>Non-current vendor advances</t>
  </si>
  <si>
    <t>Operating lease assets</t>
  </si>
  <si>
    <t>Other non-current assets</t>
  </si>
  <si>
    <t>Total assets</t>
  </si>
  <si>
    <t>Accounts payable</t>
  </si>
  <si>
    <t>Accrued purchase commitments, current</t>
  </si>
  <si>
    <t>Accrued expenses and other current liabilities</t>
  </si>
  <si>
    <t>Total current liabilities</t>
  </si>
  <si>
    <t>Deferred revenue, non-current</t>
  </si>
  <si>
    <t>Warrant liabilities</t>
  </si>
  <si>
    <t>Operating lease liabilities</t>
  </si>
  <si>
    <t>Other non-current liabilities</t>
  </si>
  <si>
    <t>Total liabilities</t>
  </si>
  <si>
    <t>Class A common stock</t>
  </si>
  <si>
    <t>Class B common stock</t>
  </si>
  <si>
    <t>Additional paid-in capital</t>
  </si>
  <si>
    <t>Accumulated deficit</t>
  </si>
  <si>
    <t>Total stockholders’ equity</t>
  </si>
  <si>
    <t>Total liabilities and stockholders’ equity</t>
  </si>
  <si>
    <t>Net loss</t>
  </si>
  <si>
    <t>Net cash used in operating activities</t>
  </si>
  <si>
    <t>Net cash provided by (used in) investing activities</t>
  </si>
  <si>
    <t>Net cash provided by (used in) financing activities</t>
  </si>
  <si>
    <t>Net decrease in cash, cash equivalents, and restricted cash</t>
  </si>
  <si>
    <t>Depreciation, amortization, and impairments</t>
  </si>
  <si>
    <t>Stock-based compensation expense</t>
  </si>
  <si>
    <t>Other</t>
  </si>
  <si>
    <t>Accounts receivable</t>
  </si>
  <si>
    <t>Prepaid expenses and other assets</t>
  </si>
  <si>
    <t>Accrued purchase commitments</t>
  </si>
  <si>
    <t>Change in operating lease assets and liabilities</t>
  </si>
  <si>
    <t>Accrued expenses and other liabilities</t>
  </si>
  <si>
    <t>Purchases of marketable securities</t>
  </si>
  <si>
    <t>Sales of marketable securities</t>
  </si>
  <si>
    <t>Purchases of property, equipment, and intangible assets, including capitalized software</t>
  </si>
  <si>
    <t>Sales of property and equipment</t>
  </si>
  <si>
    <t>Proceeds from exercise of stock options and warrants</t>
  </si>
  <si>
    <t>Proceeds from employee stock purchase plan</t>
  </si>
  <si>
    <t>Payments to tax authorities for restricted stock units withheld</t>
  </si>
  <si>
    <t>Payments on technology license commitment</t>
  </si>
  <si>
    <t>Cash, cash equivalents, and restricted cash, beginning of period</t>
  </si>
  <si>
    <t>Cash, cash equivalents, and restricted cash, end of period</t>
  </si>
  <si>
    <t>Supplementary disclosure of non-cash investing and financing activities: Acquisition of property, equipment, and intangible assets, including capitalized software</t>
  </si>
  <si>
    <t>Other income</t>
  </si>
  <si>
    <t>Balance Check</t>
  </si>
  <si>
    <t>Historical</t>
  </si>
  <si>
    <t>Projected:</t>
  </si>
  <si>
    <t>Units:</t>
  </si>
  <si>
    <t>Company Name:</t>
  </si>
  <si>
    <t>Name</t>
  </si>
  <si>
    <t>Last Fiscal Year:</t>
  </si>
  <si>
    <t>Ticker:</t>
  </si>
  <si>
    <t>Next Fiscal Year:</t>
  </si>
  <si>
    <t>Current Share Price:</t>
  </si>
  <si>
    <t>$ / Share</t>
  </si>
  <si>
    <t>Most Recent Quarter End Date:</t>
  </si>
  <si>
    <t>Diluted Shares Outstanding:</t>
  </si>
  <si>
    <t>M Shares</t>
  </si>
  <si>
    <t>Valuation Date:</t>
  </si>
  <si>
    <t>Effective Tax Rate:</t>
  </si>
  <si>
    <t>%</t>
  </si>
  <si>
    <t>Discount Rate (WACC):</t>
  </si>
  <si>
    <t>LTM Period:</t>
  </si>
  <si>
    <t>Forward Year 1:</t>
  </si>
  <si>
    <t>Conversion Units:</t>
  </si>
  <si>
    <t>#</t>
  </si>
  <si>
    <t>Forward Year 2:</t>
  </si>
  <si>
    <t>Forward Year 3:</t>
  </si>
  <si>
    <t>Income Statement</t>
  </si>
  <si>
    <t>BFLY</t>
  </si>
  <si>
    <t>ASSETS</t>
  </si>
  <si>
    <t>LIABILITIES AND SHAREHOLDERS' EQUITY</t>
  </si>
  <si>
    <t>CASH FLOWS FROM OPERATING ACTIVITIES</t>
  </si>
  <si>
    <t>CASH FLOWS FROM INVESTING ACTIVITIES</t>
  </si>
  <si>
    <t>CASH FLOWS FROM FINANCING ACTIVITIES</t>
  </si>
  <si>
    <t>ARPU ($ per year)</t>
  </si>
  <si>
    <t>% Growth</t>
  </si>
  <si>
    <t>Product Revenue</t>
  </si>
  <si>
    <t>Paying Subscribers</t>
  </si>
  <si>
    <t>Software Revenue</t>
  </si>
  <si>
    <t>Total Revenue</t>
  </si>
  <si>
    <t>Cost of product revenue % Revenue</t>
  </si>
  <si>
    <t>Cost of software and services revenue % Revenue</t>
  </si>
  <si>
    <t>Beginning Balance</t>
  </si>
  <si>
    <t>$T</t>
  </si>
  <si>
    <t>(+) NOLs Created</t>
  </si>
  <si>
    <t>(-) NOLs Used</t>
  </si>
  <si>
    <t>Ending Balance</t>
  </si>
  <si>
    <t>Taxable Income After NOL</t>
  </si>
  <si>
    <t>Cash Taxes Payable</t>
  </si>
  <si>
    <t>NOL Utilization Limit (% of EBT)</t>
  </si>
  <si>
    <t>Balance Sheet</t>
  </si>
  <si>
    <t>Days Receivables Outstanding</t>
  </si>
  <si>
    <t>Days Inventory Outstanding</t>
  </si>
  <si>
    <t>Prepaid expenses and other current assets % OpEx</t>
  </si>
  <si>
    <t>Property and equipment and Intangible Assets</t>
  </si>
  <si>
    <t>CapEx:</t>
  </si>
  <si>
    <t>CapEx % OpEx (Cash only):</t>
  </si>
  <si>
    <t>Property, Plant and Equipment, Net:</t>
  </si>
  <si>
    <t>D&amp;A of Existing Net PP&amp;E and Intangibles:</t>
  </si>
  <si>
    <t>D&amp;A of NEW CapEx &amp; Intangible Purchases:</t>
  </si>
  <si>
    <t>D&amp;A - Existing PP&amp;E and Intangibles, Net:</t>
  </si>
  <si>
    <t>D&amp;A - Year 1 CapEx &amp; Intangible Purchases:</t>
  </si>
  <si>
    <t>D&amp;A - Year 2 CapEx &amp; Intangible Purchases:</t>
  </si>
  <si>
    <t>D&amp;A - Year 3 CapEx &amp; Intangible Purchases:</t>
  </si>
  <si>
    <t>D&amp;A - Year 4 CapEx &amp; Intangible Purchases:</t>
  </si>
  <si>
    <t>D&amp;A - Year 5 CapEx &amp; Intangible Purchases:</t>
  </si>
  <si>
    <t>D&amp;A - Year 6 CapEx &amp; Intangible Purchases:</t>
  </si>
  <si>
    <t>Total Depreciation &amp; Amortisation:</t>
  </si>
  <si>
    <t>Current portion of vendor advances % COGS</t>
  </si>
  <si>
    <t>Other non-current assets % Revenue</t>
  </si>
  <si>
    <t>Days Payables Outstanding</t>
  </si>
  <si>
    <t>Deferred revenue, current % Revenue</t>
  </si>
  <si>
    <t>Accrued expenses and other current liabilities % OpEx</t>
  </si>
  <si>
    <t>Cash Flow Statement</t>
  </si>
  <si>
    <t>Change in Vendor Advances</t>
  </si>
  <si>
    <t>other assets</t>
  </si>
  <si>
    <t>Change in deferred Revenue</t>
  </si>
  <si>
    <t>Scenario:</t>
  </si>
  <si>
    <t>Base</t>
  </si>
  <si>
    <t>Terminal Value - Multiples Method:</t>
  </si>
  <si>
    <t>Terminal Value - Perpetuity Growth Method:</t>
  </si>
  <si>
    <t>Median CY 26 TEV / EBITDA of Comps:</t>
  </si>
  <si>
    <t>Expected Long-Term GDP Growth:</t>
  </si>
  <si>
    <t>Median CY 26 TEV / EBITDA of Target:</t>
  </si>
  <si>
    <t>Baseline Terminal EBITDA Multiple:</t>
  </si>
  <si>
    <t>Baseline Terminal FCF Growth Rate:</t>
  </si>
  <si>
    <t>Upside</t>
  </si>
  <si>
    <t>Downside</t>
  </si>
  <si>
    <t>Baseline Terminal Value:</t>
  </si>
  <si>
    <t>Current Equity Value:</t>
  </si>
  <si>
    <t>Implied Terminal FCF Growth Rate:</t>
  </si>
  <si>
    <t>Implied Terminal EBITDA Multiple:</t>
  </si>
  <si>
    <t>(-) Cash &amp; Investments:</t>
  </si>
  <si>
    <t>(-) Net Operating Losses:</t>
  </si>
  <si>
    <t xml:space="preserve">(+) Present Value of Terminal Value: </t>
  </si>
  <si>
    <t>(+) Debt &amp; Finance Leases:</t>
  </si>
  <si>
    <t>(+) Present Value of UFCF:</t>
  </si>
  <si>
    <t>(+) Preferred Stock:</t>
  </si>
  <si>
    <t xml:space="preserve">Implied Enterprise Value: </t>
  </si>
  <si>
    <t>(+) Operating Leases:</t>
  </si>
  <si>
    <t>(+) Noncontrolling Interests:</t>
  </si>
  <si>
    <t>% of implied TEV from Terminal Value:</t>
  </si>
  <si>
    <t>(+) Unfunded Pensions:</t>
  </si>
  <si>
    <t>Current Enterprise Value:</t>
  </si>
  <si>
    <t>(+) Cash and Investments:</t>
  </si>
  <si>
    <t>(+) Net Operating Losses:</t>
  </si>
  <si>
    <t>(-)Debt and Finance Leases:</t>
  </si>
  <si>
    <t>(-)Preferred Stock:</t>
  </si>
  <si>
    <t>(-) Operating Leases:</t>
  </si>
  <si>
    <t>(-) Noncontrolling Interests:</t>
  </si>
  <si>
    <t>(-)Unfunded Pensions:</t>
  </si>
  <si>
    <t xml:space="preserve">Implied Equity Value: </t>
  </si>
  <si>
    <t>Implied Share Price from DCF:</t>
  </si>
  <si>
    <t>Premium / (Discount) to Current:</t>
  </si>
  <si>
    <t>Revenue</t>
  </si>
  <si>
    <t>% Change</t>
  </si>
  <si>
    <t>Operating Expenses</t>
  </si>
  <si>
    <t>Operating Income (EBIT)</t>
  </si>
  <si>
    <t>(-) Taxes, Excluding Effect of Interest</t>
  </si>
  <si>
    <t>Net Operating Profit After Taxes (NOPAT)</t>
  </si>
  <si>
    <t>Depreciation and amortization:</t>
  </si>
  <si>
    <t>Operating Net Working Capital</t>
  </si>
  <si>
    <t>Change in Working Capital</t>
  </si>
  <si>
    <t xml:space="preserve">Capital Expenditures: </t>
  </si>
  <si>
    <t>Unlevered Free Cash Flow</t>
  </si>
  <si>
    <t>EBITDA</t>
  </si>
  <si>
    <t>EBITDA Margin</t>
  </si>
  <si>
    <t>Sensitivity Analyses</t>
  </si>
  <si>
    <t>Discount Rate: (WACC)</t>
  </si>
  <si>
    <t>TEV / EBITDA Multiple:</t>
  </si>
  <si>
    <t xml:space="preserve">Terminal FCF Growth Rates: </t>
  </si>
  <si>
    <t>Calendarization:</t>
  </si>
  <si>
    <t>N/A</t>
  </si>
  <si>
    <t>Old Partial</t>
  </si>
  <si>
    <t>New Partial</t>
  </si>
  <si>
    <t>FY</t>
  </si>
  <si>
    <t>LTM</t>
  </si>
  <si>
    <t>LTM Revenue:</t>
  </si>
  <si>
    <t>LTM Reported Net Income:</t>
  </si>
  <si>
    <t>LTM Operating Income (EBIT):</t>
  </si>
  <si>
    <t>(+) Non-Recurring Items in EBIT:</t>
  </si>
  <si>
    <t>(+) Depreciation &amp; Amortization:</t>
  </si>
  <si>
    <t>LTM EBITDA:</t>
  </si>
  <si>
    <t>Balance Sheet Data:</t>
  </si>
  <si>
    <t>(-) Cash &amp; Cash-Equivalents:</t>
  </si>
  <si>
    <t>(-) Equity Investments:</t>
  </si>
  <si>
    <t>(-) Other Non-Core Assets, Net:</t>
  </si>
  <si>
    <t>(+) Debt &amp; Capital Leases:</t>
  </si>
  <si>
    <t>(+) Unfunded Pension Obligations:</t>
  </si>
  <si>
    <t>(+) Restructuring &amp; Other Liabilities:</t>
  </si>
  <si>
    <t>Projected Financials:</t>
  </si>
  <si>
    <t>Revenue:</t>
  </si>
  <si>
    <t>EBITDA:</t>
  </si>
  <si>
    <t>Reported Net Income:</t>
  </si>
  <si>
    <t>Diluted Shares Calculations:</t>
  </si>
  <si>
    <t>Share Price:</t>
  </si>
  <si>
    <t>Common Shares Outstanding:</t>
  </si>
  <si>
    <t>Options and Warrants:</t>
  </si>
  <si>
    <t>Total</t>
  </si>
  <si>
    <t>Strike</t>
  </si>
  <si>
    <t>Dilution</t>
  </si>
  <si>
    <t>Convertible Bonds:</t>
  </si>
  <si>
    <t>$ Amount</t>
  </si>
  <si>
    <t>Par Value</t>
  </si>
  <si>
    <t>Conv. Price</t>
  </si>
  <si>
    <t># RSUs</t>
  </si>
  <si>
    <t>Restricted Stock Units (RSUs):</t>
  </si>
  <si>
    <t>Total Diluted Shares:</t>
  </si>
  <si>
    <t>Valuation Metrics:</t>
  </si>
  <si>
    <t>Equity Value:</t>
  </si>
  <si>
    <t>Enterprise Value:</t>
  </si>
  <si>
    <t>Levered Beta:</t>
  </si>
  <si>
    <t>Valuation Multiples:</t>
  </si>
  <si>
    <t>EV / Revenue:</t>
  </si>
  <si>
    <t>EV / EBITDA:</t>
  </si>
  <si>
    <t>P / E:</t>
  </si>
  <si>
    <t>Lookup Variables:</t>
  </si>
  <si>
    <t>Year 1 Projected Revenue Growth:</t>
  </si>
  <si>
    <t>Year 1 Projected EBITDA Growth:</t>
  </si>
  <si>
    <t>LTM EBITDA Margin:</t>
  </si>
  <si>
    <t>Corporate Website:</t>
  </si>
  <si>
    <t>($ USD in Millions Except Per Share Amounts in USD as Stated)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</si>
  <si>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</si>
  <si>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</si>
  <si>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</si>
  <si>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</si>
  <si>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</si>
  <si>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Comparable Companies - Unlevered Beta Calculation:</t>
  </si>
  <si>
    <t>Levered</t>
  </si>
  <si>
    <t>Preferred</t>
  </si>
  <si>
    <t>Equity</t>
  </si>
  <si>
    <t>Unlevered</t>
  </si>
  <si>
    <t>Ticker</t>
  </si>
  <si>
    <t>Beta</t>
  </si>
  <si>
    <t>Debt</t>
  </si>
  <si>
    <t>% Debt</t>
  </si>
  <si>
    <t>Stock</t>
  </si>
  <si>
    <t>% Preferred</t>
  </si>
  <si>
    <t>Value</t>
  </si>
  <si>
    <t>% Equity</t>
  </si>
  <si>
    <t>Tax Rate</t>
  </si>
  <si>
    <t>Median: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</si>
  <si>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</si>
  <si>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</si>
  <si>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</si>
  <si>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</si>
  <si>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</si>
  <si>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WACC, Current Capital Structure:</t>
  </si>
  <si>
    <t>WACC, "Optimal" Capital Structure:</t>
  </si>
  <si>
    <t>WACC, Current Capital Structure and Historical Cost of Equity:</t>
  </si>
  <si>
    <t>Average WACC Produced by All Methods:</t>
  </si>
  <si>
    <t>Product</t>
  </si>
  <si>
    <t>$</t>
  </si>
  <si>
    <t>GEHC</t>
  </si>
  <si>
    <t>GE Healthcare Technologies Inc.</t>
  </si>
  <si>
    <t>MASI</t>
  </si>
  <si>
    <t>Masimo Corporation</t>
  </si>
  <si>
    <t>INMD</t>
  </si>
  <si>
    <t>InMode, Ltd.</t>
  </si>
  <si>
    <t>Operating Metrics</t>
  </si>
  <si>
    <t>Valuation Multiples</t>
  </si>
  <si>
    <t>Share Prices</t>
  </si>
  <si>
    <t>Premiums Paid</t>
  </si>
  <si>
    <t>Transaction</t>
  </si>
  <si>
    <t xml:space="preserve">EV / </t>
  </si>
  <si>
    <t>Enterprise</t>
  </si>
  <si>
    <t>Offer</t>
  </si>
  <si>
    <t>1-Day</t>
  </si>
  <si>
    <t>1-Week</t>
  </si>
  <si>
    <t>1-Month</t>
  </si>
  <si>
    <t>Acquirer Name</t>
  </si>
  <si>
    <t>Target Name</t>
  </si>
  <si>
    <t>Date</t>
  </si>
  <si>
    <t>Price</t>
  </si>
  <si>
    <t>Prior</t>
  </si>
  <si>
    <t>Maximum</t>
  </si>
  <si>
    <t>75th Percentile</t>
  </si>
  <si>
    <t>Median</t>
  </si>
  <si>
    <t>25th Percentile</t>
  </si>
  <si>
    <t>Minimum</t>
  </si>
  <si>
    <t>Axonics, Inc.</t>
  </si>
  <si>
    <t>Boston Scientific Corporation</t>
  </si>
  <si>
    <t>NM</t>
  </si>
  <si>
    <t>IART</t>
  </si>
  <si>
    <t>Integra LifeSciences Holdings Corporation</t>
  </si>
  <si>
    <t>CVAC</t>
  </si>
  <si>
    <t>CureVac N.V.</t>
  </si>
  <si>
    <t>CDNA</t>
  </si>
  <si>
    <t>CareDx, Inc</t>
  </si>
  <si>
    <t>Philips Holding USA Inc.</t>
  </si>
  <si>
    <t>BioTelemetry, Inc.</t>
  </si>
  <si>
    <t>Volcano Corporation</t>
  </si>
  <si>
    <t>Siemens Healthineers AG</t>
  </si>
  <si>
    <t>Varian Medical Systems, Inc.</t>
  </si>
  <si>
    <t>Baxter International Inc.</t>
  </si>
  <si>
    <t>Hill-Rom Holdings, Inc.</t>
  </si>
  <si>
    <t>Stryker Coporation</t>
  </si>
  <si>
    <t>Vocera Communications, Inc.</t>
  </si>
  <si>
    <t>2025-12-31 EBITDA:</t>
  </si>
  <si>
    <t>2025-12-31 Reported Net Income:</t>
  </si>
  <si>
    <t>2026-12-31 Reported Net Income:</t>
  </si>
  <si>
    <t>Operating Statistics:</t>
  </si>
  <si>
    <t>Capitalization</t>
  </si>
  <si>
    <t>Projected</t>
  </si>
  <si>
    <t>Share</t>
  </si>
  <si>
    <t>Diluted</t>
  </si>
  <si>
    <t>Other &amp;</t>
  </si>
  <si>
    <t>Net Income</t>
  </si>
  <si>
    <t>Company Name</t>
  </si>
  <si>
    <t>Shares</t>
  </si>
  <si>
    <t xml:space="preserve">Value </t>
  </si>
  <si>
    <t>Cash</t>
  </si>
  <si>
    <t>NCI</t>
  </si>
  <si>
    <t>Growth</t>
  </si>
  <si>
    <t>LTM P / E:</t>
  </si>
  <si>
    <t>2025-12-31 P / E:</t>
  </si>
  <si>
    <t>2026-12-31 P / E:</t>
  </si>
  <si>
    <t>Valuation Statistics:</t>
  </si>
  <si>
    <t>Enterprise Value /</t>
  </si>
  <si>
    <t>P / E Multiple</t>
  </si>
  <si>
    <t>Comparable Companies – Medical Device and Imaging Technology</t>
  </si>
  <si>
    <t>Range of Valuation Multiples / Premiums</t>
  </si>
  <si>
    <t>Implied Per-Share Value Range</t>
  </si>
  <si>
    <t>75th</t>
  </si>
  <si>
    <t>25th</t>
  </si>
  <si>
    <t>Applicable</t>
  </si>
  <si>
    <t>Percentile</t>
  </si>
  <si>
    <t>Company</t>
  </si>
  <si>
    <t>Methodology Name</t>
  </si>
  <si>
    <t>Multiple</t>
  </si>
  <si>
    <t>Figure</t>
  </si>
  <si>
    <t>Public Company Comparables:</t>
  </si>
  <si>
    <t>LTM TEV / Revenue:</t>
  </si>
  <si>
    <t>LTM TEV / EBITDA:</t>
  </si>
  <si>
    <t>Discounted Cash Flow Analysis:</t>
  </si>
  <si>
    <t>(9.9% - 11.9% WACC, 5.5% - 8.5% Free Cash Flow Growth Rate</t>
  </si>
  <si>
    <t>Implied Enterprise Value:</t>
  </si>
  <si>
    <t>Enterprise Value --&gt;</t>
  </si>
  <si>
    <t>Equity Value --&gt;</t>
  </si>
  <si>
    <t>Precedent Transactions:</t>
  </si>
  <si>
    <t>1-Day Premiums:</t>
  </si>
  <si>
    <t>1-Week Premiums:</t>
  </si>
  <si>
    <t>1-Month Premiums:</t>
  </si>
  <si>
    <t>Max</t>
  </si>
  <si>
    <t>Min Point</t>
  </si>
  <si>
    <t>25th Point</t>
  </si>
  <si>
    <t>Median Point</t>
  </si>
  <si>
    <t>75th Point</t>
  </si>
  <si>
    <t>Max Point</t>
  </si>
  <si>
    <t>Current Share Price</t>
  </si>
  <si>
    <t>Min.</t>
  </si>
  <si>
    <t>DCF Output:</t>
  </si>
  <si>
    <t>CY 22 P / E:</t>
  </si>
  <si>
    <t>CY 21 P / E:</t>
  </si>
  <si>
    <t>CY 22 TEV / EBITDA:</t>
  </si>
  <si>
    <t>CY 21 TEV / EBITDA:</t>
  </si>
  <si>
    <t>CY 22 TEV / Revenue:</t>
  </si>
  <si>
    <t>CY 21 TEV / Revenue:</t>
  </si>
  <si>
    <t>Comparable Public Companies:</t>
  </si>
  <si>
    <t>Announced Between January 1st, 2020 and December 31st, 2024</t>
  </si>
  <si>
    <t>Precedent Transactions – U.S.-Based Medical Device and Connected Health Acquisitions</t>
  </si>
  <si>
    <t>Reported Income Statement and Cash Flow Statement Figures from Q1:</t>
  </si>
  <si>
    <t>Annual Revenue Growth Rate:</t>
  </si>
  <si>
    <t>Operating Income (EBIT):</t>
  </si>
  <si>
    <t>Taxes, Excluding Effect of Interest:</t>
  </si>
  <si>
    <t>Net Operating Profit After Tax (NOPAT):</t>
  </si>
  <si>
    <t>Adjustments for Non-Cash Charges:</t>
  </si>
  <si>
    <t>Depreciation &amp; Amortization:</t>
  </si>
  <si>
    <t>Deferred Income Taxes:</t>
  </si>
  <si>
    <t>Other Operating Activities:</t>
  </si>
  <si>
    <t>Total Adjustments for Non-Cash Charges:</t>
  </si>
  <si>
    <t>Net Change in Working Capital:</t>
  </si>
  <si>
    <t>Accounts Receivable:</t>
  </si>
  <si>
    <t>Inventories:</t>
  </si>
  <si>
    <t>Accounts Payable:</t>
  </si>
  <si>
    <t>Other Liabilities:</t>
  </si>
  <si>
    <t>Total Net Change in Working Capital:</t>
  </si>
  <si>
    <t>Capital Expenditures and Acquisitions:</t>
  </si>
  <si>
    <t>Q3 Unlevered Free Cash Flow:</t>
  </si>
  <si>
    <t>($ in Thousands Except Per Share and Per Unit Data)</t>
  </si>
  <si>
    <t>Year</t>
  </si>
  <si>
    <t>Current Region Selected:</t>
  </si>
  <si>
    <t>Status:</t>
  </si>
  <si>
    <t>Supporting Data (Sorted by revenue in ascending order):</t>
  </si>
  <si>
    <t>Rev. Multiples:</t>
  </si>
  <si>
    <t>EBITDA Multiples:</t>
  </si>
  <si>
    <t>Data for Graphs (Sorted by revenue growth in ascending order):</t>
  </si>
  <si>
    <t>Revenue Growth:</t>
  </si>
  <si>
    <t>EBITDA Growth:</t>
  </si>
  <si>
    <t>Year 2 Rev. Multiple:</t>
  </si>
  <si>
    <t>Year 2 EBITDA Multiple:</t>
  </si>
  <si>
    <t>Helper</t>
  </si>
  <si>
    <t>Volume</t>
  </si>
  <si>
    <t>Close </t>
  </si>
  <si>
    <t>Summary of Operational Performance:</t>
  </si>
  <si>
    <t>CAGR:</t>
  </si>
  <si>
    <t>Segment-Level Statistics:</t>
  </si>
  <si>
    <t>Company-Wide:</t>
  </si>
  <si>
    <t>Gross Profit:</t>
  </si>
  <si>
    <t>Profit Margin:</t>
  </si>
  <si>
    <t>Comprehensive Income:</t>
  </si>
  <si>
    <t>Basic Earnings per Share (EPS):</t>
  </si>
  <si>
    <t>$ as Stated</t>
  </si>
  <si>
    <t>Capital expenditures:</t>
  </si>
  <si>
    <t>% Revenue:</t>
  </si>
  <si>
    <t xml:space="preserve">Cash Flow From Operations: </t>
  </si>
  <si>
    <t>Cash Flow From Investing:</t>
  </si>
  <si>
    <t>Cash Flows From Financing Activities:</t>
  </si>
  <si>
    <t xml:space="preserve">Total Assets: </t>
  </si>
  <si>
    <t>Cash and Cash Equivalents:</t>
  </si>
  <si>
    <t>EBITDA Margin:</t>
  </si>
  <si>
    <t>Summary of Valuation Multiples:</t>
  </si>
  <si>
    <t>EV / Revenue - Comparables:</t>
  </si>
  <si>
    <t>x</t>
  </si>
  <si>
    <t>Projected Revenue Growth - Comparables:</t>
  </si>
  <si>
    <t>EV / EBITDA - Comparables:</t>
  </si>
  <si>
    <t>Projected EBITDA Growth - Comparables:</t>
  </si>
  <si>
    <t>P / E - Comparables:</t>
  </si>
  <si>
    <t>Model Name:</t>
  </si>
  <si>
    <t>Operating Model and Valuation (5-Year Forecast)</t>
  </si>
  <si>
    <t>Author:</t>
  </si>
  <si>
    <t>Glenn Rentrop</t>
  </si>
  <si>
    <t>File Name:</t>
  </si>
  <si>
    <t>Analysis Date:</t>
  </si>
  <si>
    <t>Navigation, Summary, or Graph Worksheet:</t>
  </si>
  <si>
    <t>Financial Model Worksheet:</t>
  </si>
  <si>
    <t>Data and Back-End Calculation Worksheet:</t>
  </si>
  <si>
    <t>Sheet Name</t>
  </si>
  <si>
    <t>Link to Sheet</t>
  </si>
  <si>
    <t>Model and Valuation Summary</t>
  </si>
  <si>
    <t>Summary</t>
  </si>
  <si>
    <t>Graphs and Dashboard</t>
  </si>
  <si>
    <t>Graphs</t>
  </si>
  <si>
    <t>Operating Scenarios and 3-Statement Model</t>
  </si>
  <si>
    <t>Model</t>
  </si>
  <si>
    <t>Stub Period Results from Q1</t>
  </si>
  <si>
    <t>Discounted Cash Flow Analysis and Sensitivities</t>
  </si>
  <si>
    <t>DCF</t>
  </si>
  <si>
    <t>Weighted Average Cost of Capital (WACC) Calculations</t>
  </si>
  <si>
    <t>WACC</t>
  </si>
  <si>
    <t>Valuation Summary - Back-End Calculations</t>
  </si>
  <si>
    <t>ValSum</t>
  </si>
  <si>
    <t>Valuation "Football Field" Chart</t>
  </si>
  <si>
    <t>ValGraph</t>
  </si>
  <si>
    <t>Comparable Public Companies - Output</t>
  </si>
  <si>
    <t>PubComps</t>
  </si>
  <si>
    <t>Comparable Public Companies - Data and Calculations</t>
  </si>
  <si>
    <t>Precedent Transactions</t>
  </si>
  <si>
    <t>MAComps</t>
  </si>
  <si>
    <t>Drivers</t>
  </si>
  <si>
    <t>Revenue Drivers, Scenario Analysis, Capex, D&amp;A</t>
  </si>
  <si>
    <t>Q3</t>
  </si>
  <si>
    <t>PubComps_Data</t>
  </si>
  <si>
    <t>Institution</t>
  </si>
  <si>
    <t>Mount Sinai</t>
  </si>
  <si>
    <t>Butterfly IQ+</t>
  </si>
  <si>
    <t>Butterfly IQ3</t>
  </si>
  <si>
    <t>STAR Center</t>
  </si>
  <si>
    <t>Blueprint</t>
  </si>
  <si>
    <t>No</t>
  </si>
  <si>
    <t>Columbia</t>
  </si>
  <si>
    <t>CAMS</t>
  </si>
  <si>
    <t>Hardware Units (Consolidated)</t>
  </si>
  <si>
    <t>Home Care &amp; AI Workflow Revenue</t>
  </si>
  <si>
    <t>Consolidated ASP</t>
  </si>
  <si>
    <t>Software</t>
  </si>
  <si>
    <t>Octiv Revenue</t>
  </si>
  <si>
    <t>Home-care revenue</t>
  </si>
  <si>
    <t>Home Care Revenue</t>
  </si>
  <si>
    <t>Butterfly Network, inc.</t>
  </si>
  <si>
    <t>vendor advances</t>
  </si>
  <si>
    <t>EBIT</t>
  </si>
  <si>
    <t>$T/OK!</t>
  </si>
  <si>
    <t>($ in Millions Except Per Share and Per Unit Data)</t>
  </si>
  <si>
    <t>(10% - 12% WACC, 4.5% - 7.5% Free Cash Flow Growth Rate</t>
  </si>
  <si>
    <t>2025-12-31 Revenue:</t>
  </si>
  <si>
    <t>2026-12-31 Revenue:</t>
  </si>
  <si>
    <t>2026-12-31 EBITDA:</t>
  </si>
  <si>
    <t>2025-12-31 EBITDA Margin:</t>
  </si>
  <si>
    <t>2026-12-31 EBITDA Margin:</t>
  </si>
  <si>
    <t>LTM EV / Revenue:</t>
  </si>
  <si>
    <t>2025-12-31 EV / Revenue:</t>
  </si>
  <si>
    <t>2026-12-31 EV / Revenue:</t>
  </si>
  <si>
    <t>LTM EV / EBITDA:</t>
  </si>
  <si>
    <t>2025-12-31 EV / EBITDA:</t>
  </si>
  <si>
    <t>2026-12-31 EV / EBITDA:</t>
  </si>
  <si>
    <t>Ebit Margin:</t>
  </si>
  <si>
    <t>Implied Share Price Matrix - DCF</t>
  </si>
  <si>
    <t>Multiples Method</t>
  </si>
  <si>
    <t>Discount</t>
  </si>
  <si>
    <t>Growth Method</t>
  </si>
  <si>
    <t>Perpetuity</t>
  </si>
  <si>
    <t>Butterfly Embedded</t>
  </si>
  <si>
    <t>% Margin</t>
  </si>
  <si>
    <t>Q1-25</t>
  </si>
  <si>
    <t>Q2-25</t>
  </si>
  <si>
    <t>Q3-25</t>
  </si>
  <si>
    <t>Q4-25</t>
  </si>
  <si>
    <t>% Quarterly Operating Margin</t>
  </si>
  <si>
    <t>Normalized Gross Profit</t>
  </si>
  <si>
    <t>Embedded Revenue</t>
  </si>
  <si>
    <t>Revenue by Segment</t>
  </si>
  <si>
    <t>Key Stats</t>
  </si>
  <si>
    <t>Initiation Date</t>
  </si>
  <si>
    <t>Initiation Price</t>
  </si>
  <si>
    <t>Price Target</t>
  </si>
  <si>
    <t>52 Week High - Low</t>
  </si>
  <si>
    <t>Shares Outstanding - Mil</t>
  </si>
  <si>
    <t>Market Cap - Mil</t>
  </si>
  <si>
    <t>Book Value / Share</t>
  </si>
  <si>
    <t>Cash per Share</t>
  </si>
  <si>
    <t xml:space="preserve">Dividend </t>
  </si>
  <si>
    <t>$1.32 - $5.03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</si>
</sst>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8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&quot;OK!&quot;;&quot;Error&quot;"/>
    <numFmt numFmtId="165" formatCode="&quot;FY&quot;\ yy"/>
    <numFmt numFmtId="166" formatCode="_(* #,##0.0_);_(* \(#,##0.0\);_(* &quot;-&quot;?_);_(@_)"/>
    <numFmt numFmtId="167" formatCode="_([$$-409]* #,##0.00_);_([$$-409]* \(#,##0.00\);_([$$-409]* &quot;-&quot;??_);_(@_)"/>
    <numFmt numFmtId="168" formatCode="_(* #,##0.0_);_(* \(#,##0.0\);_(* &quot;-&quot;???_);_(@_)"/>
    <numFmt numFmtId="169" formatCode="0.0%;\(0.0%\)"/>
    <numFmt numFmtId="170" formatCode="_(#,##0.00%_);\(#,##0.00%\);_(&quot;–&quot;_)_%;_(@_)_%"/>
    <numFmt numFmtId="171" formatCode="_(* #,##0_);_(* \(#,##0\);_(* &quot;-&quot;????_);_(@_)"/>
    <numFmt numFmtId="172" formatCode="yyyy\-mm\-dd"/>
    <numFmt numFmtId="173" formatCode="0.0%"/>
    <numFmt numFmtId="174" formatCode="_(&quot;$&quot;* #,##0.0_);_(&quot;$&quot;* \(#,##0.0\);_(&quot;$&quot;* &quot;-&quot;?_);_(@_)"/>
    <numFmt numFmtId="175" formatCode="_(0.0\ \x_);\(0.0\ \x\);_(&quot;–&quot;_);_(@_)"/>
    <numFmt numFmtId="176" formatCode="0.0\ \x"/>
    <numFmt numFmtId="177" formatCode="_(&quot;$&quot;* #,##0_);_(&quot;$&quot;* \(#,##0\);_(&quot;$&quot;* &quot;-&quot;?_);_(@_)"/>
    <numFmt numFmtId="178" formatCode="0.00%;\(0.00%\)"/>
    <numFmt numFmtId="179" formatCode="_([$$-409]* #,##0_);_([$$-409]* \(#,##0\);_([$$-409]* &quot;-&quot;??_);_(@_)"/>
    <numFmt numFmtId="180" formatCode="_(0.0%_);\(0.0%\);_(&quot;–&quot;_);_(@_)"/>
    <numFmt numFmtId="181" formatCode="_(* #,##0_);_(* \(#,##0\);_(* &quot;-&quot;?_);_(@_)"/>
    <numFmt numFmtId="182" formatCode="_(* #,##0.0_);_(* \(#,##0.0\);_(* &quot;-&quot;_);_(@_)"/>
    <numFmt numFmtId="183" formatCode="_(&quot;$&quot;* #,##0.00_);_(&quot;$&quot;* \(#,##0.00\);_(&quot;$&quot;* &quot;-&quot;?_);_(@_)"/>
    <numFmt numFmtId="184" formatCode="0.0%_);\(0.0%\);\-_%_);@_)"/>
    <numFmt numFmtId="185" formatCode="0.0\ \x;\(0.0\ \x\)"/>
    <numFmt numFmtId="186" formatCode="_(0.0%_);\(0.0%\);_(&quot;–&quot;_)_%;_(@_)_%"/>
    <numFmt numFmtId="187" formatCode="#,##0.000"/>
    <numFmt numFmtId="188" formatCode="0.0\ \x;[Red]\ 0.0\ \x"/>
    <numFmt numFmtId="189" formatCode="_(0.00%_);\(0.00%\);_(&quot;–&quot;_)_%;_(@_)_%"/>
    <numFmt numFmtId="190" formatCode="_(#,##0.00_);\(#,##0.00\);_(&quot;–&quot;_);_(@_)"/>
    <numFmt numFmtId="191" formatCode="_(#,##0.00_)_%;\(#,##0.00\)_%;_(&quot;–&quot;_)_%;_(@_)_%"/>
    <numFmt numFmtId="192" formatCode="_(#,##0_)_%;\(#,##0\)_%;_(&quot;–&quot;_)_%;_(@_)_%"/>
    <numFmt numFmtId="193" formatCode="0.0%;\(0.0%\);\-_)_%;@_)_%"/>
    <numFmt numFmtId="194" formatCode="m/d/yyyy;@"/>
    <numFmt numFmtId="195" formatCode="_(* #,##0_);[Red]_(* \(#,##0\);_(* &quot;-&quot;_);_(@_)"/>
    <numFmt numFmtId="196" formatCode="&quot;FY&quot;yy"/>
    <numFmt numFmtId="197" formatCode="_(* #,##0.00_);_(* \(#,##0.00\);_(* &quot;-&quot;_);_(@_)"/>
    <numFmt numFmtId="198" formatCode="_(&quot;$&quot;* #,##0.0_);_(&quot;$&quot;* \(#,##0.0\);_(&quot;$&quot;* &quot;-&quot;??_);_(@_)"/>
    <numFmt numFmtId="199" formatCode="_(#,##0.0%_);\(#,##0.0%\);_(&quot;–&quot;_)_%;_(@_)_%"/>
    <numFmt numFmtId="200" formatCode="_(* #,##0.0_);_(* \(#,##0.0\);_(* &quot;-&quot;??_);_(@_)"/>
    <numFmt numFmtId="201" formatCode="_(&quot;$&quot;* #,##0.00_);_(&quot;$&quot;* \(#,##0.00\);_(&quot;$&quot;* &quot;-&quot;_);_(@_)"/>
    <numFmt numFmtId="202" formatCode="_(* #,##0.00_);_(* \(#,##0.00\);_(* &quot;-&quot;???_);_(@_)"/>
    <numFmt numFmtId="203" formatCode="0.0\ %_);[Red]\(0.0%\)"/>
    <numFmt numFmtId="204" formatCode="m/d/yy;@"/>
    <numFmt numFmtId="205" formatCode="_(&quot;$&quot;* #,##0_);_(&quot;$&quot;* \(#,##0\);_(&quot;$&quot;* &quot;-&quot;??_);_(@_)"/>
  </numFmts>
  <fonts count="6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9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B05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b/>
      <sz val="12"/>
      <color rgb="FF0000FF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</font>
    <font>
      <b/>
      <i/>
      <sz val="12"/>
      <color rgb="FF0000FF"/>
      <name val="Aptos Narrow"/>
      <family val="2"/>
      <scheme val="minor"/>
    </font>
    <font>
      <b/>
      <i/>
      <sz val="12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u/>
      <sz val="12"/>
      <color indexed="9"/>
      <name val="Aptos Narrow"/>
      <family val="2"/>
      <scheme val="minor"/>
    </font>
    <font>
      <u/>
      <sz val="12"/>
      <color indexed="9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0000FF"/>
      <name val="Calibri"/>
      <family val="2"/>
    </font>
    <font>
      <sz val="12"/>
      <color rgb="FFFF0000"/>
      <name val="Calibri"/>
      <family val="2"/>
    </font>
    <font>
      <sz val="12"/>
      <color rgb="FF00B05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Aptos Narrow"/>
      <family val="2"/>
      <scheme val="minor"/>
    </font>
    <font>
      <sz val="12"/>
      <color indexed="9"/>
      <name val="Aptos Narrow"/>
      <family val="2"/>
      <scheme val="minor"/>
    </font>
    <font>
      <sz val="8"/>
      <color indexed="8"/>
      <name val="Arial"/>
      <family val="2"/>
    </font>
    <font>
      <sz val="12"/>
      <color theme="6"/>
      <name val="Aptos Narrow"/>
      <family val="2"/>
      <scheme val="minor"/>
    </font>
    <font>
      <sz val="10"/>
      <color rgb="FF000000"/>
      <name val="Times New Roman"/>
      <family val="1"/>
    </font>
    <font>
      <sz val="11"/>
      <name val="Aptos Narrow"/>
      <family val="2"/>
      <scheme val="minor"/>
    </font>
    <font>
      <sz val="7"/>
      <color rgb="FF232A31"/>
      <name val="Arial"/>
      <family val="2"/>
    </font>
    <font>
      <b/>
      <sz val="16"/>
      <color theme="1"/>
      <name val="Aptos Narrow"/>
      <family val="2"/>
      <scheme val="minor"/>
    </font>
    <font>
      <i/>
      <sz val="12"/>
      <color theme="0"/>
      <name val="Aptos Narrow"/>
      <family val="2"/>
      <scheme val="minor"/>
    </font>
    <font>
      <sz val="12"/>
      <color rgb="FF1C2B33"/>
      <name val="Aptos Narrow"/>
      <family val="2"/>
      <scheme val="minor"/>
    </font>
    <font>
      <sz val="11"/>
      <color rgb="FF232A31"/>
      <name val="Arial"/>
      <family val="2"/>
    </font>
    <font>
      <sz val="12"/>
      <color rgb="FF232A31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i/>
      <sz val="12"/>
      <color rgb="FF00B050"/>
      <name val="Aptos Narrow"/>
      <family val="2"/>
      <scheme val="minor"/>
    </font>
    <font>
      <i/>
      <sz val="12"/>
      <color rgb="FFFF0000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sz val="12"/>
      <color theme="7"/>
      <name val="Aptos Narrow"/>
      <family val="2"/>
      <scheme val="minor"/>
    </font>
    <font>
      <sz val="12"/>
      <color rgb="FFFFFF00"/>
      <name val="Aptos Narrow"/>
      <family val="2"/>
      <scheme val="minor"/>
    </font>
    <font>
      <b/>
      <i/>
      <sz val="12"/>
      <color rgb="FF00B05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5" fillId="0" borderId="0"/>
    <xf numFmtId="0" fontId="17" fillId="0" borderId="0" applyNumberFormat="0" applyFill="0" applyBorder="0" applyAlignment="0" applyProtection="0"/>
    <xf numFmtId="0" fontId="20" fillId="0" borderId="0"/>
    <xf numFmtId="0" fontId="1" fillId="0" borderId="0"/>
    <xf numFmtId="0" fontId="45" fillId="0" borderId="0" applyAlignment="0"/>
    <xf numFmtId="0" fontId="1" fillId="0" borderId="0"/>
    <xf numFmtId="0" fontId="1" fillId="0" borderId="0"/>
    <xf numFmtId="0" fontId="1" fillId="0" borderId="0"/>
    <xf numFmtId="0" fontId="1" fillId="0" borderId="0"/>
  </cellStyleXfs>
  <cellXfs count="637">
    <xf numFmtId="0" fontId="0" fillId="0" borderId="0" xfId="0"/>
    <xf numFmtId="164" fontId="4" fillId="0" borderId="0" xfId="0" applyNumberFormat="1" applyFont="1" applyAlignment="1">
      <alignment horizontal="center"/>
    </xf>
    <xf numFmtId="0" fontId="5" fillId="0" borderId="0" xfId="0" applyFont="1"/>
    <xf numFmtId="0" fontId="5" fillId="3" borderId="0" xfId="0" applyFont="1" applyFill="1"/>
    <xf numFmtId="0" fontId="5" fillId="3" borderId="2" xfId="0" applyFont="1" applyFill="1" applyBorder="1"/>
    <xf numFmtId="0" fontId="6" fillId="3" borderId="2" xfId="0" applyFont="1" applyFill="1" applyBorder="1"/>
    <xf numFmtId="0" fontId="5" fillId="3" borderId="3" xfId="0" applyFont="1" applyFill="1" applyBorder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6" fillId="3" borderId="0" xfId="0" applyFont="1" applyFill="1" applyAlignment="1">
      <alignment horizontal="right"/>
    </xf>
    <xf numFmtId="165" fontId="6" fillId="3" borderId="0" xfId="0" applyNumberFormat="1" applyFont="1" applyFill="1" applyAlignment="1">
      <alignment horizontal="center"/>
    </xf>
    <xf numFmtId="165" fontId="6" fillId="3" borderId="4" xfId="0" applyNumberFormat="1" applyFont="1" applyFill="1" applyBorder="1" applyAlignment="1">
      <alignment horizontal="center"/>
    </xf>
    <xf numFmtId="0" fontId="7" fillId="0" borderId="0" xfId="3" applyFont="1"/>
    <xf numFmtId="0" fontId="8" fillId="4" borderId="0" xfId="2" applyFont="1" applyFill="1" applyBorder="1" applyAlignment="1">
      <alignment horizontal="left"/>
    </xf>
    <xf numFmtId="0" fontId="5" fillId="4" borderId="0" xfId="0" applyFont="1" applyFill="1"/>
    <xf numFmtId="0" fontId="9" fillId="0" borderId="0" xfId="0" applyFont="1"/>
    <xf numFmtId="0" fontId="10" fillId="0" borderId="0" xfId="0" applyFont="1"/>
    <xf numFmtId="166" fontId="10" fillId="0" borderId="0" xfId="0" applyNumberFormat="1" applyFont="1"/>
    <xf numFmtId="14" fontId="8" fillId="4" borderId="0" xfId="0" applyNumberFormat="1" applyFont="1" applyFill="1" applyAlignment="1">
      <alignment horizontal="center"/>
    </xf>
    <xf numFmtId="0" fontId="8" fillId="4" borderId="0" xfId="2" applyFont="1" applyFill="1" applyBorder="1" applyAlignment="1">
      <alignment horizontal="centerContinuous"/>
    </xf>
    <xf numFmtId="167" fontId="11" fillId="4" borderId="0" xfId="3" applyNumberFormat="1" applyFont="1" applyFill="1"/>
    <xf numFmtId="0" fontId="11" fillId="0" borderId="0" xfId="3" applyFont="1"/>
    <xf numFmtId="168" fontId="8" fillId="4" borderId="0" xfId="0" applyNumberFormat="1" applyFont="1" applyFill="1"/>
    <xf numFmtId="169" fontId="11" fillId="4" borderId="0" xfId="2" applyNumberFormat="1" applyFont="1" applyFill="1" applyBorder="1" applyAlignment="1">
      <alignment horizontal="center"/>
    </xf>
    <xf numFmtId="170" fontId="12" fillId="4" borderId="0" xfId="0" applyNumberFormat="1" applyFont="1" applyFill="1" applyAlignment="1">
      <alignment horizontal="center"/>
    </xf>
    <xf numFmtId="171" fontId="8" fillId="4" borderId="0" xfId="0" applyNumberFormat="1" applyFont="1" applyFill="1" applyAlignment="1">
      <alignment horizontal="center"/>
    </xf>
    <xf numFmtId="0" fontId="6" fillId="5" borderId="0" xfId="0" applyFont="1" applyFill="1"/>
    <xf numFmtId="0" fontId="5" fillId="5" borderId="0" xfId="0" applyFont="1" applyFill="1"/>
    <xf numFmtId="0" fontId="5" fillId="0" borderId="0" xfId="0" applyFont="1" applyAlignment="1">
      <alignment horizontal="left" indent="1"/>
    </xf>
    <xf numFmtId="41" fontId="8" fillId="0" borderId="0" xfId="0" applyNumberFormat="1" applyFont="1"/>
    <xf numFmtId="0" fontId="5" fillId="0" borderId="5" xfId="0" applyFont="1" applyBorder="1" applyAlignment="1">
      <alignment horizontal="left" indent="1"/>
    </xf>
    <xf numFmtId="41" fontId="8" fillId="0" borderId="5" xfId="0" applyNumberFormat="1" applyFont="1" applyBorder="1"/>
    <xf numFmtId="0" fontId="13" fillId="0" borderId="0" xfId="0" applyFont="1"/>
    <xf numFmtId="42" fontId="13" fillId="0" borderId="0" xfId="0" applyNumberFormat="1" applyFont="1"/>
    <xf numFmtId="41" fontId="5" fillId="0" borderId="0" xfId="0" applyNumberFormat="1" applyFont="1"/>
    <xf numFmtId="41" fontId="13" fillId="0" borderId="0" xfId="0" applyNumberFormat="1" applyFont="1"/>
    <xf numFmtId="3" fontId="5" fillId="0" borderId="0" xfId="0" applyNumberFormat="1" applyFont="1"/>
    <xf numFmtId="3" fontId="13" fillId="0" borderId="0" xfId="0" applyNumberFormat="1" applyFont="1"/>
    <xf numFmtId="3" fontId="5" fillId="0" borderId="5" xfId="0" applyNumberFormat="1" applyFont="1" applyBorder="1"/>
    <xf numFmtId="0" fontId="6" fillId="5" borderId="0" xfId="0" applyFont="1" applyFill="1" applyAlignment="1">
      <alignment vertical="center"/>
    </xf>
    <xf numFmtId="0" fontId="13" fillId="5" borderId="0" xfId="0" applyFont="1" applyFill="1" applyAlignment="1">
      <alignment vertical="center"/>
    </xf>
    <xf numFmtId="41" fontId="5" fillId="5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41" fontId="5" fillId="0" borderId="0" xfId="0" applyNumberFormat="1" applyFont="1" applyAlignment="1">
      <alignment vertical="center"/>
    </xf>
    <xf numFmtId="0" fontId="6" fillId="0" borderId="0" xfId="0" applyFont="1"/>
    <xf numFmtId="165" fontId="6" fillId="0" borderId="0" xfId="0" applyNumberFormat="1" applyFont="1" applyAlignment="1">
      <alignment horizontal="center"/>
    </xf>
    <xf numFmtId="10" fontId="5" fillId="0" borderId="0" xfId="0" applyNumberFormat="1" applyFont="1"/>
    <xf numFmtId="41" fontId="5" fillId="0" borderId="0" xfId="0" applyNumberFormat="1" applyFont="1" applyAlignment="1">
      <alignment horizontal="left" indent="1"/>
    </xf>
    <xf numFmtId="41" fontId="14" fillId="0" borderId="0" xfId="0" applyNumberFormat="1" applyFont="1" applyAlignment="1">
      <alignment horizontal="left" indent="1"/>
    </xf>
    <xf numFmtId="9" fontId="5" fillId="0" borderId="0" xfId="1" applyFont="1"/>
    <xf numFmtId="41" fontId="5" fillId="0" borderId="5" xfId="0" applyNumberFormat="1" applyFont="1" applyBorder="1" applyAlignment="1">
      <alignment horizontal="left" indent="1"/>
    </xf>
    <xf numFmtId="42" fontId="5" fillId="0" borderId="0" xfId="0" applyNumberFormat="1" applyFont="1"/>
    <xf numFmtId="41" fontId="11" fillId="0" borderId="0" xfId="0" applyNumberFormat="1" applyFont="1"/>
    <xf numFmtId="41" fontId="11" fillId="0" borderId="5" xfId="0" applyNumberFormat="1" applyFont="1" applyBorder="1"/>
    <xf numFmtId="0" fontId="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9" fontId="5" fillId="4" borderId="0" xfId="1" applyFont="1" applyFill="1"/>
    <xf numFmtId="9" fontId="5" fillId="0" borderId="0" xfId="1" applyFont="1" applyFill="1"/>
    <xf numFmtId="9" fontId="5" fillId="0" borderId="0" xfId="0" applyNumberFormat="1" applyFont="1"/>
    <xf numFmtId="43" fontId="5" fillId="0" borderId="0" xfId="0" applyNumberFormat="1" applyFont="1"/>
    <xf numFmtId="41" fontId="8" fillId="4" borderId="0" xfId="0" applyNumberFormat="1" applyFont="1" applyFill="1"/>
    <xf numFmtId="41" fontId="5" fillId="0" borderId="5" xfId="0" applyNumberFormat="1" applyFont="1" applyBorder="1"/>
    <xf numFmtId="41" fontId="5" fillId="4" borderId="5" xfId="0" applyNumberFormat="1" applyFont="1" applyFill="1" applyBorder="1"/>
    <xf numFmtId="41" fontId="5" fillId="4" borderId="0" xfId="0" applyNumberFormat="1" applyFont="1" applyFill="1"/>
    <xf numFmtId="41" fontId="13" fillId="4" borderId="0" xfId="0" applyNumberFormat="1" applyFont="1" applyFill="1"/>
    <xf numFmtId="0" fontId="4" fillId="0" borderId="0" xfId="0" applyFont="1" applyAlignment="1">
      <alignment horizontal="center"/>
    </xf>
    <xf numFmtId="9" fontId="5" fillId="0" borderId="0" xfId="1" applyFont="1" applyFill="1" applyBorder="1"/>
    <xf numFmtId="0" fontId="5" fillId="0" borderId="5" xfId="0" applyFont="1" applyBorder="1"/>
    <xf numFmtId="166" fontId="5" fillId="0" borderId="0" xfId="0" applyNumberFormat="1" applyFont="1"/>
    <xf numFmtId="9" fontId="5" fillId="4" borderId="0" xfId="0" applyNumberFormat="1" applyFont="1" applyFill="1"/>
    <xf numFmtId="0" fontId="5" fillId="0" borderId="0" xfId="0" applyFont="1" applyAlignment="1">
      <alignment horizontal="left" indent="2"/>
    </xf>
    <xf numFmtId="173" fontId="11" fillId="0" borderId="0" xfId="0" applyNumberFormat="1" applyFont="1"/>
    <xf numFmtId="173" fontId="11" fillId="4" borderId="0" xfId="0" applyNumberFormat="1" applyFont="1" applyFill="1"/>
    <xf numFmtId="44" fontId="11" fillId="6" borderId="0" xfId="0" applyNumberFormat="1" applyFont="1" applyFill="1" applyAlignment="1">
      <alignment horizontal="left" vertical="center" indent="1"/>
    </xf>
    <xf numFmtId="169" fontId="11" fillId="0" borderId="0" xfId="2" applyNumberFormat="1" applyFont="1" applyFill="1" applyBorder="1" applyAlignment="1">
      <alignment horizontal="center"/>
    </xf>
    <xf numFmtId="41" fontId="8" fillId="0" borderId="0" xfId="0" applyNumberFormat="1" applyFont="1" applyAlignment="1">
      <alignment vertical="center"/>
    </xf>
    <xf numFmtId="44" fontId="11" fillId="6" borderId="0" xfId="0" applyNumberFormat="1" applyFont="1" applyFill="1" applyAlignment="1">
      <alignment horizontal="left" vertical="center"/>
    </xf>
    <xf numFmtId="169" fontId="8" fillId="0" borderId="0" xfId="2" applyNumberFormat="1" applyFont="1" applyFill="1" applyBorder="1" applyAlignment="1">
      <alignment horizontal="center"/>
    </xf>
    <xf numFmtId="169" fontId="11" fillId="0" borderId="0" xfId="2" applyNumberFormat="1" applyFont="1" applyFill="1" applyBorder="1" applyAlignment="1">
      <alignment horizontal="right"/>
    </xf>
    <xf numFmtId="169" fontId="11" fillId="4" borderId="0" xfId="2" applyNumberFormat="1" applyFont="1" applyFill="1" applyBorder="1" applyAlignment="1">
      <alignment horizontal="right"/>
    </xf>
    <xf numFmtId="41" fontId="8" fillId="0" borderId="0" xfId="0" applyNumberFormat="1" applyFont="1" applyAlignment="1">
      <alignment vertical="center" wrapText="1"/>
    </xf>
    <xf numFmtId="41" fontId="11" fillId="0" borderId="0" xfId="0" applyNumberFormat="1" applyFont="1" applyAlignment="1">
      <alignment vertical="center" wrapText="1"/>
    </xf>
    <xf numFmtId="0" fontId="13" fillId="0" borderId="6" xfId="0" applyFont="1" applyBorder="1"/>
    <xf numFmtId="166" fontId="5" fillId="4" borderId="0" xfId="0" applyNumberFormat="1" applyFont="1" applyFill="1"/>
    <xf numFmtId="41" fontId="8" fillId="4" borderId="5" xfId="0" applyNumberFormat="1" applyFont="1" applyFill="1" applyBorder="1"/>
    <xf numFmtId="41" fontId="11" fillId="4" borderId="0" xfId="0" applyNumberFormat="1" applyFont="1" applyFill="1"/>
    <xf numFmtId="43" fontId="5" fillId="0" borderId="5" xfId="0" applyNumberFormat="1" applyFont="1" applyBorder="1"/>
    <xf numFmtId="42" fontId="18" fillId="0" borderId="0" xfId="0" applyNumberFormat="1" applyFont="1"/>
    <xf numFmtId="165" fontId="6" fillId="3" borderId="7" xfId="0" applyNumberFormat="1" applyFont="1" applyFill="1" applyBorder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0" fontId="6" fillId="0" borderId="0" xfId="0" applyFont="1" applyAlignment="1">
      <alignment horizontal="left" indent="1"/>
    </xf>
    <xf numFmtId="0" fontId="19" fillId="0" borderId="0" xfId="0" applyFont="1"/>
    <xf numFmtId="0" fontId="11" fillId="4" borderId="0" xfId="0" applyFont="1" applyFill="1"/>
    <xf numFmtId="0" fontId="11" fillId="0" borderId="0" xfId="0" applyFont="1"/>
    <xf numFmtId="0" fontId="8" fillId="4" borderId="0" xfId="2" applyFont="1" applyFill="1" applyBorder="1" applyAlignment="1">
      <alignment horizontal="center"/>
    </xf>
    <xf numFmtId="0" fontId="13" fillId="7" borderId="5" xfId="0" applyFont="1" applyFill="1" applyBorder="1"/>
    <xf numFmtId="167" fontId="11" fillId="0" borderId="0" xfId="3" applyNumberFormat="1" applyFont="1"/>
    <xf numFmtId="166" fontId="8" fillId="4" borderId="0" xfId="0" applyNumberFormat="1" applyFont="1" applyFill="1"/>
    <xf numFmtId="175" fontId="12" fillId="0" borderId="0" xfId="0" applyNumberFormat="1" applyFont="1" applyAlignment="1">
      <alignment horizontal="center"/>
    </xf>
    <xf numFmtId="169" fontId="8" fillId="4" borderId="0" xfId="2" applyNumberFormat="1" applyFont="1" applyFill="1" applyBorder="1" applyAlignment="1">
      <alignment horizontal="center"/>
    </xf>
    <xf numFmtId="9" fontId="0" fillId="0" borderId="0" xfId="1" applyFont="1"/>
    <xf numFmtId="175" fontId="11" fillId="0" borderId="0" xfId="3" applyNumberFormat="1" applyFont="1"/>
    <xf numFmtId="173" fontId="12" fillId="4" borderId="0" xfId="0" applyNumberFormat="1" applyFont="1" applyFill="1" applyAlignment="1">
      <alignment horizontal="center"/>
    </xf>
    <xf numFmtId="174" fontId="19" fillId="0" borderId="0" xfId="3" applyNumberFormat="1" applyFont="1"/>
    <xf numFmtId="176" fontId="11" fillId="4" borderId="0" xfId="3" applyNumberFormat="1" applyFont="1" applyFill="1" applyAlignment="1">
      <alignment horizontal="center"/>
    </xf>
    <xf numFmtId="173" fontId="12" fillId="0" borderId="0" xfId="0" applyNumberFormat="1" applyFont="1" applyAlignment="1">
      <alignment horizontal="center"/>
    </xf>
    <xf numFmtId="176" fontId="8" fillId="4" borderId="0" xfId="3" applyNumberFormat="1" applyFont="1" applyFill="1" applyAlignment="1">
      <alignment horizontal="center"/>
    </xf>
    <xf numFmtId="176" fontId="8" fillId="0" borderId="0" xfId="3" applyNumberFormat="1" applyFont="1" applyAlignment="1">
      <alignment horizontal="center"/>
    </xf>
    <xf numFmtId="170" fontId="12" fillId="0" borderId="0" xfId="0" applyNumberFormat="1" applyFont="1"/>
    <xf numFmtId="177" fontId="5" fillId="0" borderId="0" xfId="0" applyNumberFormat="1" applyFont="1"/>
    <xf numFmtId="177" fontId="9" fillId="0" borderId="0" xfId="0" applyNumberFormat="1" applyFont="1"/>
    <xf numFmtId="0" fontId="19" fillId="7" borderId="0" xfId="3" applyFont="1" applyFill="1"/>
    <xf numFmtId="0" fontId="5" fillId="7" borderId="0" xfId="0" applyFont="1" applyFill="1"/>
    <xf numFmtId="0" fontId="7" fillId="7" borderId="0" xfId="3" applyFont="1" applyFill="1"/>
    <xf numFmtId="42" fontId="19" fillId="7" borderId="0" xfId="0" applyNumberFormat="1" applyFont="1" applyFill="1"/>
    <xf numFmtId="178" fontId="9" fillId="0" borderId="0" xfId="5" applyNumberFormat="1" applyFont="1" applyAlignment="1">
      <alignment horizontal="center"/>
    </xf>
    <xf numFmtId="176" fontId="11" fillId="0" borderId="0" xfId="3" applyNumberFormat="1" applyFont="1"/>
    <xf numFmtId="0" fontId="11" fillId="0" borderId="0" xfId="3" applyFont="1" applyAlignment="1">
      <alignment horizontal="left" indent="1"/>
    </xf>
    <xf numFmtId="179" fontId="11" fillId="0" borderId="0" xfId="3" applyNumberFormat="1" applyFont="1"/>
    <xf numFmtId="6" fontId="11" fillId="0" borderId="0" xfId="3" applyNumberFormat="1" applyFont="1"/>
    <xf numFmtId="0" fontId="11" fillId="0" borderId="5" xfId="3" applyFont="1" applyBorder="1" applyAlignment="1">
      <alignment horizontal="left" indent="1"/>
    </xf>
    <xf numFmtId="0" fontId="11" fillId="0" borderId="5" xfId="3" applyFont="1" applyBorder="1"/>
    <xf numFmtId="179" fontId="11" fillId="0" borderId="5" xfId="3" applyNumberFormat="1" applyFont="1" applyBorder="1"/>
    <xf numFmtId="0" fontId="19" fillId="7" borderId="0" xfId="3" applyFont="1" applyFill="1" applyAlignment="1">
      <alignment horizontal="left"/>
    </xf>
    <xf numFmtId="0" fontId="11" fillId="7" borderId="0" xfId="3" applyFont="1" applyFill="1"/>
    <xf numFmtId="179" fontId="13" fillId="7" borderId="0" xfId="0" applyNumberFormat="1" applyFont="1" applyFill="1"/>
    <xf numFmtId="0" fontId="7" fillId="0" borderId="0" xfId="3" applyFont="1" applyAlignment="1">
      <alignment horizontal="left" indent="1"/>
    </xf>
    <xf numFmtId="180" fontId="7" fillId="0" borderId="0" xfId="3" applyNumberFormat="1" applyFont="1"/>
    <xf numFmtId="0" fontId="19" fillId="7" borderId="6" xfId="3" applyFont="1" applyFill="1" applyBorder="1"/>
    <xf numFmtId="42" fontId="19" fillId="7" borderId="6" xfId="3" applyNumberFormat="1" applyFont="1" applyFill="1" applyBorder="1"/>
    <xf numFmtId="181" fontId="11" fillId="4" borderId="0" xfId="3" applyNumberFormat="1" applyFont="1" applyFill="1"/>
    <xf numFmtId="0" fontId="11" fillId="0" borderId="0" xfId="3" applyFont="1" applyAlignment="1">
      <alignment horizontal="left"/>
    </xf>
    <xf numFmtId="166" fontId="11" fillId="0" borderId="0" xfId="3" applyNumberFormat="1" applyFont="1"/>
    <xf numFmtId="0" fontId="19" fillId="7" borderId="5" xfId="3" applyFont="1" applyFill="1" applyBorder="1" applyAlignment="1">
      <alignment horizontal="left"/>
    </xf>
    <xf numFmtId="0" fontId="11" fillId="7" borderId="5" xfId="3" applyFont="1" applyFill="1" applyBorder="1"/>
    <xf numFmtId="179" fontId="13" fillId="7" borderId="5" xfId="0" applyNumberFormat="1" applyFont="1" applyFill="1" applyBorder="1"/>
    <xf numFmtId="0" fontId="19" fillId="0" borderId="0" xfId="3" applyFont="1" applyAlignment="1">
      <alignment horizontal="left"/>
    </xf>
    <xf numFmtId="167" fontId="13" fillId="0" borderId="0" xfId="0" applyNumberFormat="1" applyFont="1"/>
    <xf numFmtId="182" fontId="5" fillId="0" borderId="0" xfId="0" applyNumberFormat="1" applyFont="1"/>
    <xf numFmtId="0" fontId="19" fillId="8" borderId="9" xfId="3" applyFont="1" applyFill="1" applyBorder="1"/>
    <xf numFmtId="0" fontId="19" fillId="8" borderId="6" xfId="3" applyFont="1" applyFill="1" applyBorder="1"/>
    <xf numFmtId="183" fontId="13" fillId="8" borderId="10" xfId="0" applyNumberFormat="1" applyFont="1" applyFill="1" applyBorder="1"/>
    <xf numFmtId="0" fontId="19" fillId="8" borderId="11" xfId="3" applyFont="1" applyFill="1" applyBorder="1"/>
    <xf numFmtId="0" fontId="19" fillId="8" borderId="5" xfId="3" applyFont="1" applyFill="1" applyBorder="1"/>
    <xf numFmtId="173" fontId="13" fillId="8" borderId="12" xfId="0" applyNumberFormat="1" applyFont="1" applyFill="1" applyBorder="1"/>
    <xf numFmtId="0" fontId="14" fillId="0" borderId="0" xfId="0" applyFont="1" applyAlignment="1">
      <alignment horizontal="left" indent="1"/>
    </xf>
    <xf numFmtId="0" fontId="11" fillId="6" borderId="0" xfId="0" applyFont="1" applyFill="1" applyAlignment="1">
      <alignment horizontal="left" vertical="center" indent="1"/>
    </xf>
    <xf numFmtId="0" fontId="19" fillId="0" borderId="0" xfId="3" applyFont="1"/>
    <xf numFmtId="9" fontId="14" fillId="0" borderId="0" xfId="1" applyFont="1"/>
    <xf numFmtId="9" fontId="14" fillId="0" borderId="0" xfId="1" applyFont="1" applyFill="1" applyBorder="1"/>
    <xf numFmtId="0" fontId="5" fillId="9" borderId="9" xfId="0" applyFont="1" applyFill="1" applyBorder="1"/>
    <xf numFmtId="0" fontId="5" fillId="9" borderId="6" xfId="0" applyFont="1" applyFill="1" applyBorder="1"/>
    <xf numFmtId="0" fontId="21" fillId="9" borderId="6" xfId="3" applyFont="1" applyFill="1" applyBorder="1" applyAlignment="1">
      <alignment horizontal="center"/>
    </xf>
    <xf numFmtId="0" fontId="6" fillId="9" borderId="6" xfId="0" applyFont="1" applyFill="1" applyBorder="1"/>
    <xf numFmtId="0" fontId="5" fillId="9" borderId="10" xfId="0" applyFont="1" applyFill="1" applyBorder="1"/>
    <xf numFmtId="183" fontId="6" fillId="9" borderId="13" xfId="0" applyNumberFormat="1" applyFont="1" applyFill="1" applyBorder="1" applyAlignment="1">
      <alignment horizontal="center"/>
    </xf>
    <xf numFmtId="184" fontId="22" fillId="9" borderId="0" xfId="0" applyNumberFormat="1" applyFont="1" applyFill="1"/>
    <xf numFmtId="184" fontId="23" fillId="9" borderId="0" xfId="0" applyNumberFormat="1" applyFont="1" applyFill="1"/>
    <xf numFmtId="185" fontId="22" fillId="9" borderId="13" xfId="3" applyNumberFormat="1" applyFont="1" applyFill="1" applyBorder="1" applyAlignment="1">
      <alignment horizontal="center"/>
    </xf>
    <xf numFmtId="43" fontId="13" fillId="7" borderId="0" xfId="0" applyNumberFormat="1" applyFont="1" applyFill="1"/>
    <xf numFmtId="43" fontId="5" fillId="0" borderId="14" xfId="0" applyNumberFormat="1" applyFont="1" applyBorder="1"/>
    <xf numFmtId="185" fontId="23" fillId="9" borderId="13" xfId="3" applyNumberFormat="1" applyFont="1" applyFill="1" applyBorder="1" applyAlignment="1">
      <alignment horizontal="center"/>
    </xf>
    <xf numFmtId="0" fontId="24" fillId="0" borderId="0" xfId="0" applyFont="1"/>
    <xf numFmtId="43" fontId="13" fillId="7" borderId="14" xfId="0" applyNumberFormat="1" applyFont="1" applyFill="1" applyBorder="1"/>
    <xf numFmtId="43" fontId="13" fillId="7" borderId="5" xfId="0" applyNumberFormat="1" applyFont="1" applyFill="1" applyBorder="1"/>
    <xf numFmtId="43" fontId="5" fillId="0" borderId="12" xfId="0" applyNumberFormat="1" applyFont="1" applyBorder="1"/>
    <xf numFmtId="173" fontId="22" fillId="9" borderId="13" xfId="0" applyNumberFormat="1" applyFont="1" applyFill="1" applyBorder="1" applyAlignment="1">
      <alignment horizontal="center"/>
    </xf>
    <xf numFmtId="173" fontId="23" fillId="9" borderId="13" xfId="0" applyNumberFormat="1" applyFont="1" applyFill="1" applyBorder="1" applyAlignment="1">
      <alignment horizontal="center"/>
    </xf>
    <xf numFmtId="0" fontId="25" fillId="0" borderId="0" xfId="6" applyFont="1" applyAlignment="1">
      <alignment horizontal="center"/>
    </xf>
    <xf numFmtId="0" fontId="9" fillId="0" borderId="0" xfId="6" applyFont="1"/>
    <xf numFmtId="0" fontId="25" fillId="0" borderId="0" xfId="6" applyFont="1"/>
    <xf numFmtId="0" fontId="26" fillId="3" borderId="0" xfId="6" applyFont="1" applyFill="1" applyAlignment="1">
      <alignment horizontal="left"/>
    </xf>
    <xf numFmtId="0" fontId="27" fillId="3" borderId="0" xfId="6" applyFont="1" applyFill="1" applyAlignment="1">
      <alignment horizontal="left"/>
    </xf>
    <xf numFmtId="0" fontId="28" fillId="3" borderId="0" xfId="6" applyFont="1" applyFill="1" applyAlignment="1">
      <alignment horizontal="right"/>
    </xf>
    <xf numFmtId="0" fontId="5" fillId="0" borderId="0" xfId="6" applyFont="1"/>
    <xf numFmtId="0" fontId="28" fillId="0" borderId="0" xfId="6" applyFont="1" applyAlignment="1">
      <alignment horizontal="right"/>
    </xf>
    <xf numFmtId="0" fontId="29" fillId="3" borderId="0" xfId="3" applyFont="1" applyFill="1" applyAlignment="1">
      <alignment horizontal="right"/>
    </xf>
    <xf numFmtId="0" fontId="29" fillId="0" borderId="0" xfId="3" applyFont="1" applyAlignment="1">
      <alignment horizontal="right"/>
    </xf>
    <xf numFmtId="0" fontId="19" fillId="5" borderId="0" xfId="6" applyFont="1" applyFill="1" applyAlignment="1">
      <alignment horizontal="centerContinuous"/>
    </xf>
    <xf numFmtId="0" fontId="5" fillId="5" borderId="0" xfId="6" applyFont="1" applyFill="1" applyAlignment="1">
      <alignment horizontal="centerContinuous"/>
    </xf>
    <xf numFmtId="0" fontId="5" fillId="0" borderId="0" xfId="6" applyFont="1" applyAlignment="1">
      <alignment horizontal="centerContinuous"/>
    </xf>
    <xf numFmtId="14" fontId="11" fillId="5" borderId="0" xfId="0" applyNumberFormat="1" applyFont="1" applyFill="1" applyAlignment="1">
      <alignment horizontal="center"/>
    </xf>
    <xf numFmtId="14" fontId="11" fillId="0" borderId="0" xfId="0" applyNumberFormat="1" applyFont="1" applyAlignment="1">
      <alignment horizontal="center"/>
    </xf>
    <xf numFmtId="172" fontId="9" fillId="0" borderId="0" xfId="0" applyNumberFormat="1" applyFont="1" applyAlignment="1">
      <alignment horizontal="center" vertical="center"/>
    </xf>
    <xf numFmtId="172" fontId="9" fillId="0" borderId="0" xfId="0" applyNumberFormat="1" applyFont="1" applyAlignment="1">
      <alignment horizontal="center"/>
    </xf>
    <xf numFmtId="181" fontId="8" fillId="0" borderId="0" xfId="6" applyNumberFormat="1" applyFont="1"/>
    <xf numFmtId="41" fontId="8" fillId="0" borderId="0" xfId="6" applyNumberFormat="1" applyFont="1"/>
    <xf numFmtId="42" fontId="9" fillId="0" borderId="0" xfId="6" applyNumberFormat="1" applyFont="1"/>
    <xf numFmtId="177" fontId="9" fillId="0" borderId="0" xfId="6" applyNumberFormat="1" applyFont="1"/>
    <xf numFmtId="0" fontId="9" fillId="0" borderId="0" xfId="6" applyFont="1" applyAlignment="1">
      <alignment horizontal="left"/>
    </xf>
    <xf numFmtId="0" fontId="25" fillId="0" borderId="0" xfId="6" applyFont="1" applyAlignment="1">
      <alignment horizontal="left" indent="1"/>
    </xf>
    <xf numFmtId="181" fontId="9" fillId="0" borderId="0" xfId="6" applyNumberFormat="1" applyFont="1"/>
    <xf numFmtId="9" fontId="25" fillId="0" borderId="0" xfId="1" applyFont="1" applyBorder="1"/>
    <xf numFmtId="41" fontId="25" fillId="0" borderId="0" xfId="1" applyNumberFormat="1" applyFont="1" applyBorder="1"/>
    <xf numFmtId="181" fontId="25" fillId="0" borderId="0" xfId="6" applyNumberFormat="1" applyFont="1"/>
    <xf numFmtId="0" fontId="9" fillId="0" borderId="0" xfId="6" applyFont="1" applyAlignment="1">
      <alignment horizontal="left" indent="1"/>
    </xf>
    <xf numFmtId="181" fontId="9" fillId="0" borderId="5" xfId="6" applyNumberFormat="1" applyFont="1" applyBorder="1"/>
    <xf numFmtId="0" fontId="30" fillId="0" borderId="6" xfId="6" applyFont="1" applyBorder="1" applyAlignment="1">
      <alignment horizontal="left"/>
    </xf>
    <xf numFmtId="0" fontId="25" fillId="0" borderId="6" xfId="6" applyFont="1" applyBorder="1" applyAlignment="1">
      <alignment horizontal="left" indent="1"/>
    </xf>
    <xf numFmtId="177" fontId="31" fillId="0" borderId="0" xfId="6" applyNumberFormat="1" applyFont="1"/>
    <xf numFmtId="177" fontId="30" fillId="0" borderId="0" xfId="6" applyNumberFormat="1" applyFont="1"/>
    <xf numFmtId="0" fontId="25" fillId="0" borderId="0" xfId="6" applyFont="1" applyAlignment="1">
      <alignment horizontal="left"/>
    </xf>
    <xf numFmtId="166" fontId="25" fillId="0" borderId="0" xfId="6" applyNumberFormat="1" applyFont="1"/>
    <xf numFmtId="9" fontId="25" fillId="0" borderId="0" xfId="6" applyNumberFormat="1" applyFont="1"/>
    <xf numFmtId="186" fontId="9" fillId="0" borderId="0" xfId="6" applyNumberFormat="1" applyFont="1"/>
    <xf numFmtId="173" fontId="5" fillId="0" borderId="0" xfId="6" applyNumberFormat="1" applyFont="1"/>
    <xf numFmtId="6" fontId="25" fillId="0" borderId="0" xfId="6" applyNumberFormat="1" applyFont="1"/>
    <xf numFmtId="0" fontId="6" fillId="3" borderId="0" xfId="6" applyFont="1" applyFill="1" applyAlignment="1">
      <alignment horizontal="centerContinuous"/>
    </xf>
    <xf numFmtId="0" fontId="2" fillId="3" borderId="0" xfId="6" applyFont="1" applyFill="1" applyAlignment="1">
      <alignment horizontal="centerContinuous"/>
    </xf>
    <xf numFmtId="0" fontId="2" fillId="0" borderId="0" xfId="6" applyFont="1" applyAlignment="1">
      <alignment horizontal="centerContinuous"/>
    </xf>
    <xf numFmtId="0" fontId="31" fillId="0" borderId="0" xfId="6" applyFont="1" applyAlignment="1">
      <alignment horizontal="centerContinuous"/>
    </xf>
    <xf numFmtId="0" fontId="25" fillId="0" borderId="0" xfId="6" applyFont="1" applyAlignment="1">
      <alignment horizontal="centerContinuous"/>
    </xf>
    <xf numFmtId="177" fontId="8" fillId="0" borderId="0" xfId="6" applyNumberFormat="1" applyFont="1"/>
    <xf numFmtId="166" fontId="5" fillId="0" borderId="0" xfId="6" applyNumberFormat="1" applyFont="1"/>
    <xf numFmtId="0" fontId="32" fillId="3" borderId="0" xfId="6" applyFont="1" applyFill="1" applyAlignment="1">
      <alignment horizontal="centerContinuous"/>
    </xf>
    <xf numFmtId="0" fontId="25" fillId="3" borderId="0" xfId="6" applyFont="1" applyFill="1" applyAlignment="1">
      <alignment horizontal="centerContinuous"/>
    </xf>
    <xf numFmtId="0" fontId="25" fillId="10" borderId="0" xfId="6" applyFont="1" applyFill="1" applyAlignment="1">
      <alignment horizontal="centerContinuous"/>
    </xf>
    <xf numFmtId="41" fontId="9" fillId="0" borderId="0" xfId="6" applyNumberFormat="1" applyFont="1"/>
    <xf numFmtId="0" fontId="5" fillId="0" borderId="0" xfId="6" applyFont="1" applyAlignment="1">
      <alignment horizontal="center"/>
    </xf>
    <xf numFmtId="9" fontId="5" fillId="0" borderId="0" xfId="1" applyFont="1" applyBorder="1"/>
    <xf numFmtId="0" fontId="32" fillId="0" borderId="0" xfId="6" applyFont="1" applyAlignment="1">
      <alignment horizontal="centerContinuous"/>
    </xf>
    <xf numFmtId="0" fontId="5" fillId="0" borderId="0" xfId="6" applyFont="1" applyAlignment="1">
      <alignment horizontal="left" indent="1"/>
    </xf>
    <xf numFmtId="0" fontId="13" fillId="0" borderId="0" xfId="6" applyFont="1" applyAlignment="1">
      <alignment horizontal="centerContinuous"/>
    </xf>
    <xf numFmtId="44" fontId="8" fillId="0" borderId="0" xfId="6" applyNumberFormat="1" applyFont="1"/>
    <xf numFmtId="3" fontId="8" fillId="0" borderId="0" xfId="6" applyNumberFormat="1" applyFont="1" applyAlignment="1">
      <alignment horizontal="right"/>
    </xf>
    <xf numFmtId="4" fontId="8" fillId="0" borderId="0" xfId="6" applyNumberFormat="1" applyFont="1" applyAlignment="1">
      <alignment horizontal="right"/>
    </xf>
    <xf numFmtId="0" fontId="13" fillId="5" borderId="0" xfId="6" applyFont="1" applyFill="1" applyAlignment="1">
      <alignment horizontal="center"/>
    </xf>
    <xf numFmtId="0" fontId="13" fillId="0" borderId="0" xfId="6" applyFont="1" applyAlignment="1">
      <alignment horizontal="center"/>
    </xf>
    <xf numFmtId="187" fontId="8" fillId="0" borderId="0" xfId="6" applyNumberFormat="1" applyFont="1"/>
    <xf numFmtId="44" fontId="8" fillId="0" borderId="0" xfId="6" applyNumberFormat="1" applyFont="1" applyAlignment="1">
      <alignment horizontal="right"/>
    </xf>
    <xf numFmtId="187" fontId="5" fillId="0" borderId="0" xfId="6" applyNumberFormat="1" applyFont="1"/>
    <xf numFmtId="4" fontId="5" fillId="0" borderId="0" xfId="6" applyNumberFormat="1" applyFont="1"/>
    <xf numFmtId="0" fontId="6" fillId="3" borderId="0" xfId="6" applyFont="1" applyFill="1" applyAlignment="1">
      <alignment horizontal="center"/>
    </xf>
    <xf numFmtId="0" fontId="6" fillId="0" borderId="0" xfId="6" applyFont="1" applyAlignment="1">
      <alignment horizontal="center"/>
    </xf>
    <xf numFmtId="174" fontId="8" fillId="0" borderId="0" xfId="6" applyNumberFormat="1" applyFont="1"/>
    <xf numFmtId="42" fontId="8" fillId="0" borderId="0" xfId="6" applyNumberFormat="1" applyFont="1"/>
    <xf numFmtId="44" fontId="5" fillId="0" borderId="0" xfId="6" applyNumberFormat="1" applyFont="1"/>
    <xf numFmtId="4" fontId="13" fillId="0" borderId="0" xfId="6" applyNumberFormat="1" applyFont="1"/>
    <xf numFmtId="44" fontId="5" fillId="0" borderId="0" xfId="6" applyNumberFormat="1" applyFont="1" applyAlignment="1">
      <alignment horizontal="centerContinuous"/>
    </xf>
    <xf numFmtId="42" fontId="5" fillId="0" borderId="0" xfId="6" applyNumberFormat="1" applyFont="1"/>
    <xf numFmtId="41" fontId="5" fillId="0" borderId="0" xfId="6" applyNumberFormat="1" applyFont="1"/>
    <xf numFmtId="4" fontId="8" fillId="0" borderId="0" xfId="6" applyNumberFormat="1" applyFont="1"/>
    <xf numFmtId="172" fontId="11" fillId="5" borderId="0" xfId="0" applyNumberFormat="1" applyFont="1" applyFill="1" applyAlignment="1">
      <alignment horizontal="center"/>
    </xf>
    <xf numFmtId="172" fontId="11" fillId="0" borderId="0" xfId="0" applyNumberFormat="1" applyFont="1" applyAlignment="1">
      <alignment horizontal="center"/>
    </xf>
    <xf numFmtId="188" fontId="11" fillId="0" borderId="0" xfId="6" applyNumberFormat="1" applyFont="1"/>
    <xf numFmtId="0" fontId="5" fillId="10" borderId="0" xfId="6" applyFont="1" applyFill="1"/>
    <xf numFmtId="177" fontId="11" fillId="0" borderId="0" xfId="6" applyNumberFormat="1" applyFont="1"/>
    <xf numFmtId="181" fontId="11" fillId="0" borderId="0" xfId="6" applyNumberFormat="1" applyFont="1"/>
    <xf numFmtId="41" fontId="11" fillId="0" borderId="0" xfId="6" applyNumberFormat="1" applyFont="1"/>
    <xf numFmtId="186" fontId="11" fillId="0" borderId="0" xfId="6" applyNumberFormat="1" applyFont="1"/>
    <xf numFmtId="0" fontId="33" fillId="0" borderId="0" xfId="0" applyFont="1"/>
    <xf numFmtId="0" fontId="17" fillId="0" borderId="0" xfId="4"/>
    <xf numFmtId="0" fontId="34" fillId="0" borderId="0" xfId="4" applyFont="1" applyAlignment="1">
      <alignment horizontal="right"/>
    </xf>
    <xf numFmtId="0" fontId="34" fillId="0" borderId="0" xfId="4" applyFont="1" applyFill="1" applyBorder="1" applyAlignment="1">
      <alignment horizontal="right"/>
    </xf>
    <xf numFmtId="0" fontId="0" fillId="0" borderId="0" xfId="0" applyAlignment="1">
      <alignment wrapText="1"/>
    </xf>
    <xf numFmtId="0" fontId="35" fillId="0" borderId="0" xfId="0" applyFont="1"/>
    <xf numFmtId="0" fontId="36" fillId="0" borderId="0" xfId="0" applyFont="1"/>
    <xf numFmtId="0" fontId="37" fillId="11" borderId="0" xfId="0" applyFont="1" applyFill="1"/>
    <xf numFmtId="0" fontId="38" fillId="11" borderId="0" xfId="0" applyFont="1" applyFill="1"/>
    <xf numFmtId="0" fontId="38" fillId="0" borderId="0" xfId="0" applyFont="1"/>
    <xf numFmtId="189" fontId="8" fillId="12" borderId="0" xfId="0" applyNumberFormat="1" applyFont="1" applyFill="1" applyAlignment="1">
      <alignment horizontal="center"/>
    </xf>
    <xf numFmtId="189" fontId="39" fillId="0" borderId="0" xfId="0" applyNumberFormat="1" applyFont="1"/>
    <xf numFmtId="189" fontId="11" fillId="12" borderId="0" xfId="0" applyNumberFormat="1" applyFont="1" applyFill="1" applyAlignment="1">
      <alignment horizontal="center"/>
    </xf>
    <xf numFmtId="0" fontId="40" fillId="0" borderId="0" xfId="0" applyFont="1"/>
    <xf numFmtId="0" fontId="41" fillId="0" borderId="0" xfId="0" applyFont="1"/>
    <xf numFmtId="1" fontId="41" fillId="0" borderId="0" xfId="0" applyNumberFormat="1" applyFont="1"/>
    <xf numFmtId="0" fontId="28" fillId="11" borderId="0" xfId="3" applyFont="1" applyFill="1"/>
    <xf numFmtId="0" fontId="28" fillId="11" borderId="0" xfId="3" applyFont="1" applyFill="1" applyAlignment="1">
      <alignment horizontal="center"/>
    </xf>
    <xf numFmtId="0" fontId="11" fillId="0" borderId="0" xfId="3" applyFont="1" applyAlignment="1">
      <alignment horizontal="center"/>
    </xf>
    <xf numFmtId="173" fontId="11" fillId="0" borderId="0" xfId="1" applyNumberFormat="1" applyFont="1"/>
    <xf numFmtId="9" fontId="11" fillId="0" borderId="0" xfId="1" applyFont="1"/>
    <xf numFmtId="42" fontId="11" fillId="0" borderId="0" xfId="3" applyNumberFormat="1" applyFont="1"/>
    <xf numFmtId="190" fontId="42" fillId="0" borderId="0" xfId="0" applyNumberFormat="1" applyFont="1"/>
    <xf numFmtId="0" fontId="19" fillId="9" borderId="0" xfId="3" applyFont="1" applyFill="1" applyAlignment="1">
      <alignment horizontal="left"/>
    </xf>
    <xf numFmtId="0" fontId="19" fillId="9" borderId="0" xfId="3" applyFont="1" applyFill="1"/>
    <xf numFmtId="191" fontId="19" fillId="9" borderId="0" xfId="3" applyNumberFormat="1" applyFont="1" applyFill="1"/>
    <xf numFmtId="192" fontId="19" fillId="9" borderId="0" xfId="3" applyNumberFormat="1" applyFont="1" applyFill="1" applyAlignment="1">
      <alignment horizontal="right"/>
    </xf>
    <xf numFmtId="173" fontId="19" fillId="9" borderId="0" xfId="1" applyNumberFormat="1" applyFont="1" applyFill="1"/>
    <xf numFmtId="9" fontId="19" fillId="9" borderId="0" xfId="1" applyFont="1" applyFill="1"/>
    <xf numFmtId="192" fontId="19" fillId="9" borderId="0" xfId="3" applyNumberFormat="1" applyFont="1" applyFill="1"/>
    <xf numFmtId="191" fontId="19" fillId="9" borderId="0" xfId="3" applyNumberFormat="1" applyFont="1" applyFill="1" applyAlignment="1">
      <alignment horizontal="right"/>
    </xf>
    <xf numFmtId="0" fontId="6" fillId="5" borderId="0" xfId="3" applyFont="1" applyFill="1"/>
    <xf numFmtId="173" fontId="6" fillId="5" borderId="0" xfId="1" applyNumberFormat="1" applyFont="1" applyFill="1"/>
    <xf numFmtId="41" fontId="6" fillId="5" borderId="0" xfId="3" applyNumberFormat="1" applyFont="1" applyFill="1"/>
    <xf numFmtId="9" fontId="6" fillId="5" borderId="0" xfId="1" applyFont="1" applyFill="1"/>
    <xf numFmtId="173" fontId="6" fillId="5" borderId="0" xfId="3" applyNumberFormat="1" applyFont="1" applyFill="1"/>
    <xf numFmtId="43" fontId="6" fillId="5" borderId="0" xfId="3" applyNumberFormat="1" applyFont="1" applyFill="1"/>
    <xf numFmtId="191" fontId="11" fillId="0" borderId="0" xfId="3" applyNumberFormat="1" applyFont="1"/>
    <xf numFmtId="173" fontId="11" fillId="0" borderId="0" xfId="3" applyNumberFormat="1" applyFont="1"/>
    <xf numFmtId="186" fontId="11" fillId="0" borderId="0" xfId="3" applyNumberFormat="1" applyFont="1"/>
    <xf numFmtId="173" fontId="11" fillId="0" borderId="0" xfId="3" applyNumberFormat="1" applyFont="1" applyAlignment="1">
      <alignment horizontal="center"/>
    </xf>
    <xf numFmtId="186" fontId="11" fillId="0" borderId="0" xfId="3" applyNumberFormat="1" applyFont="1" applyAlignment="1">
      <alignment horizontal="center"/>
    </xf>
    <xf numFmtId="191" fontId="5" fillId="0" borderId="0" xfId="0" applyNumberFormat="1" applyFont="1"/>
    <xf numFmtId="0" fontId="6" fillId="9" borderId="0" xfId="3" applyFont="1" applyFill="1"/>
    <xf numFmtId="178" fontId="6" fillId="9" borderId="0" xfId="3" applyNumberFormat="1" applyFont="1" applyFill="1"/>
    <xf numFmtId="189" fontId="6" fillId="9" borderId="0" xfId="3" applyNumberFormat="1" applyFont="1" applyFill="1"/>
    <xf numFmtId="41" fontId="14" fillId="0" borderId="0" xfId="0" applyNumberFormat="1" applyFont="1" applyAlignment="1">
      <alignment horizontal="center"/>
    </xf>
    <xf numFmtId="41" fontId="4" fillId="0" borderId="0" xfId="0" applyNumberFormat="1" applyFont="1" applyAlignment="1">
      <alignment horizontal="center"/>
    </xf>
    <xf numFmtId="0" fontId="43" fillId="0" borderId="0" xfId="5" applyFont="1"/>
    <xf numFmtId="0" fontId="19" fillId="0" borderId="0" xfId="5" applyFont="1"/>
    <xf numFmtId="0" fontId="11" fillId="0" borderId="0" xfId="5" applyFont="1"/>
    <xf numFmtId="0" fontId="9" fillId="0" borderId="0" xfId="5" applyFont="1"/>
    <xf numFmtId="44" fontId="11" fillId="0" borderId="0" xfId="5" applyNumberFormat="1" applyFont="1"/>
    <xf numFmtId="0" fontId="28" fillId="3" borderId="0" xfId="5" applyFont="1" applyFill="1"/>
    <xf numFmtId="0" fontId="28" fillId="3" borderId="0" xfId="5" applyFont="1" applyFill="1" applyAlignment="1">
      <alignment horizontal="center"/>
    </xf>
    <xf numFmtId="0" fontId="26" fillId="3" borderId="0" xfId="5" applyFont="1" applyFill="1" applyAlignment="1">
      <alignment horizontal="centerContinuous"/>
    </xf>
    <xf numFmtId="0" fontId="28" fillId="3" borderId="0" xfId="5" applyFont="1" applyFill="1" applyAlignment="1">
      <alignment horizontal="centerContinuous"/>
    </xf>
    <xf numFmtId="0" fontId="26" fillId="3" borderId="0" xfId="5" applyFont="1" applyFill="1"/>
    <xf numFmtId="0" fontId="44" fillId="3" borderId="0" xfId="5" applyFont="1" applyFill="1"/>
    <xf numFmtId="0" fontId="28" fillId="3" borderId="5" xfId="5" applyFont="1" applyFill="1" applyBorder="1" applyAlignment="1">
      <alignment horizontal="center"/>
    </xf>
    <xf numFmtId="0" fontId="11" fillId="0" borderId="0" xfId="5" applyFont="1" applyAlignment="1">
      <alignment horizontal="left"/>
    </xf>
    <xf numFmtId="0" fontId="11" fillId="0" borderId="0" xfId="5" applyFont="1" applyAlignment="1">
      <alignment horizontal="center"/>
    </xf>
    <xf numFmtId="14" fontId="9" fillId="0" borderId="0" xfId="7" applyNumberFormat="1" applyFont="1" applyAlignment="1">
      <alignment horizontal="left" vertical="top"/>
    </xf>
    <xf numFmtId="181" fontId="8" fillId="0" borderId="0" xfId="0" applyNumberFormat="1" applyFont="1" applyAlignment="1">
      <alignment vertical="top" wrapText="1"/>
    </xf>
    <xf numFmtId="177" fontId="8" fillId="0" borderId="0" xfId="0" applyNumberFormat="1" applyFont="1" applyAlignment="1">
      <alignment vertical="top" wrapText="1"/>
    </xf>
    <xf numFmtId="188" fontId="9" fillId="0" borderId="0" xfId="8" applyNumberFormat="1" applyFont="1" applyAlignment="1">
      <alignment vertical="top" wrapText="1"/>
    </xf>
    <xf numFmtId="44" fontId="8" fillId="0" borderId="0" xfId="8" applyNumberFormat="1" applyFont="1" applyAlignment="1">
      <alignment vertical="top" wrapText="1"/>
    </xf>
    <xf numFmtId="193" fontId="9" fillId="0" borderId="0" xfId="8" applyNumberFormat="1" applyFont="1" applyAlignment="1">
      <alignment vertical="top" wrapText="1"/>
    </xf>
    <xf numFmtId="0" fontId="9" fillId="0" borderId="0" xfId="7" applyFont="1" applyAlignment="1">
      <alignment horizontal="left" vertical="top"/>
    </xf>
    <xf numFmtId="0" fontId="9" fillId="0" borderId="0" xfId="7" applyFont="1" applyAlignment="1">
      <alignment horizontal="center" vertical="top"/>
    </xf>
    <xf numFmtId="179" fontId="8" fillId="0" borderId="0" xfId="0" applyNumberFormat="1" applyFont="1" applyAlignment="1">
      <alignment vertical="top" wrapText="1"/>
    </xf>
    <xf numFmtId="43" fontId="8" fillId="0" borderId="0" xfId="8" applyNumberFormat="1" applyFont="1" applyAlignment="1">
      <alignment vertical="top" wrapText="1"/>
    </xf>
    <xf numFmtId="0" fontId="46" fillId="0" borderId="0" xfId="5" applyFont="1"/>
    <xf numFmtId="194" fontId="46" fillId="0" borderId="0" xfId="5" applyNumberFormat="1" applyFont="1" applyAlignment="1">
      <alignment horizontal="right"/>
    </xf>
    <xf numFmtId="195" fontId="46" fillId="0" borderId="0" xfId="5" applyNumberFormat="1" applyFont="1"/>
    <xf numFmtId="188" fontId="46" fillId="0" borderId="0" xfId="5" applyNumberFormat="1" applyFont="1" applyAlignment="1">
      <alignment horizontal="right"/>
    </xf>
    <xf numFmtId="0" fontId="9" fillId="0" borderId="9" xfId="5" applyFont="1" applyBorder="1" applyAlignment="1">
      <alignment horizontal="left"/>
    </xf>
    <xf numFmtId="0" fontId="9" fillId="0" borderId="6" xfId="5" applyFont="1" applyBorder="1" applyAlignment="1">
      <alignment horizontal="left"/>
    </xf>
    <xf numFmtId="0" fontId="46" fillId="0" borderId="6" xfId="5" applyFont="1" applyBorder="1" applyAlignment="1">
      <alignment horizontal="right"/>
    </xf>
    <xf numFmtId="42" fontId="9" fillId="0" borderId="6" xfId="5" applyNumberFormat="1" applyFont="1" applyBorder="1"/>
    <xf numFmtId="188" fontId="9" fillId="0" borderId="6" xfId="5" applyNumberFormat="1" applyFont="1" applyBorder="1"/>
    <xf numFmtId="188" fontId="46" fillId="0" borderId="6" xfId="5" applyNumberFormat="1" applyFont="1" applyBorder="1"/>
    <xf numFmtId="193" fontId="9" fillId="0" borderId="6" xfId="5" applyNumberFormat="1" applyFont="1" applyBorder="1"/>
    <xf numFmtId="193" fontId="9" fillId="0" borderId="10" xfId="5" applyNumberFormat="1" applyFont="1" applyBorder="1"/>
    <xf numFmtId="0" fontId="9" fillId="0" borderId="13" xfId="5" applyFont="1" applyBorder="1" applyAlignment="1">
      <alignment horizontal="left"/>
    </xf>
    <xf numFmtId="0" fontId="9" fillId="0" borderId="0" xfId="5" applyFont="1" applyAlignment="1">
      <alignment horizontal="left"/>
    </xf>
    <xf numFmtId="0" fontId="46" fillId="0" borderId="0" xfId="5" applyFont="1" applyAlignment="1">
      <alignment horizontal="right"/>
    </xf>
    <xf numFmtId="181" fontId="9" fillId="0" borderId="0" xfId="5" applyNumberFormat="1" applyFont="1"/>
    <xf numFmtId="188" fontId="9" fillId="0" borderId="0" xfId="5" applyNumberFormat="1" applyFont="1"/>
    <xf numFmtId="188" fontId="46" fillId="0" borderId="0" xfId="5" applyNumberFormat="1" applyFont="1"/>
    <xf numFmtId="193" fontId="9" fillId="0" borderId="0" xfId="5" applyNumberFormat="1" applyFont="1"/>
    <xf numFmtId="193" fontId="9" fillId="0" borderId="14" xfId="5" applyNumberFormat="1" applyFont="1" applyBorder="1"/>
    <xf numFmtId="0" fontId="19" fillId="5" borderId="15" xfId="5" applyFont="1" applyFill="1" applyBorder="1" applyAlignment="1">
      <alignment horizontal="left"/>
    </xf>
    <xf numFmtId="0" fontId="19" fillId="5" borderId="16" xfId="5" applyFont="1" applyFill="1" applyBorder="1" applyAlignment="1">
      <alignment horizontal="left"/>
    </xf>
    <xf numFmtId="0" fontId="19" fillId="5" borderId="16" xfId="5" applyFont="1" applyFill="1" applyBorder="1" applyAlignment="1">
      <alignment horizontal="right"/>
    </xf>
    <xf numFmtId="181" fontId="19" fillId="5" borderId="16" xfId="5" applyNumberFormat="1" applyFont="1" applyFill="1" applyBorder="1"/>
    <xf numFmtId="188" fontId="19" fillId="5" borderId="16" xfId="5" applyNumberFormat="1" applyFont="1" applyFill="1" applyBorder="1"/>
    <xf numFmtId="193" fontId="19" fillId="5" borderId="16" xfId="5" applyNumberFormat="1" applyFont="1" applyFill="1" applyBorder="1"/>
    <xf numFmtId="193" fontId="19" fillId="5" borderId="17" xfId="5" applyNumberFormat="1" applyFont="1" applyFill="1" applyBorder="1"/>
    <xf numFmtId="0" fontId="9" fillId="0" borderId="11" xfId="5" applyFont="1" applyBorder="1" applyAlignment="1">
      <alignment horizontal="left"/>
    </xf>
    <xf numFmtId="0" fontId="9" fillId="0" borderId="5" xfId="5" applyFont="1" applyBorder="1" applyAlignment="1">
      <alignment horizontal="left"/>
    </xf>
    <xf numFmtId="0" fontId="46" fillId="0" borderId="5" xfId="5" applyFont="1" applyBorder="1" applyAlignment="1">
      <alignment horizontal="right"/>
    </xf>
    <xf numFmtId="181" fontId="9" fillId="0" borderId="5" xfId="5" applyNumberFormat="1" applyFont="1" applyBorder="1"/>
    <xf numFmtId="188" fontId="9" fillId="0" borderId="5" xfId="5" applyNumberFormat="1" applyFont="1" applyBorder="1"/>
    <xf numFmtId="188" fontId="46" fillId="0" borderId="5" xfId="5" applyNumberFormat="1" applyFont="1" applyBorder="1"/>
    <xf numFmtId="193" fontId="9" fillId="0" borderId="5" xfId="5" applyNumberFormat="1" applyFont="1" applyBorder="1"/>
    <xf numFmtId="193" fontId="9" fillId="0" borderId="12" xfId="5" applyNumberFormat="1" applyFont="1" applyBorder="1"/>
    <xf numFmtId="3" fontId="47" fillId="0" borderId="0" xfId="0" applyNumberFormat="1" applyFont="1"/>
    <xf numFmtId="3" fontId="0" fillId="0" borderId="0" xfId="0" applyNumberFormat="1"/>
    <xf numFmtId="177" fontId="8" fillId="0" borderId="0" xfId="0" applyNumberFormat="1" applyFont="1" applyAlignment="1">
      <alignment horizontal="right" vertical="top" wrapText="1"/>
    </xf>
    <xf numFmtId="0" fontId="42" fillId="0" borderId="0" xfId="0" applyFont="1"/>
    <xf numFmtId="1" fontId="9" fillId="0" borderId="0" xfId="5" applyNumberFormat="1" applyFont="1"/>
    <xf numFmtId="0" fontId="30" fillId="0" borderId="0" xfId="6" applyFont="1" applyAlignment="1">
      <alignment horizontal="left"/>
    </xf>
    <xf numFmtId="0" fontId="28" fillId="3" borderId="0" xfId="6" applyFont="1" applyFill="1" applyAlignment="1">
      <alignment horizontal="left"/>
    </xf>
    <xf numFmtId="0" fontId="28" fillId="3" borderId="0" xfId="3" applyFont="1" applyFill="1"/>
    <xf numFmtId="0" fontId="26" fillId="3" borderId="0" xfId="3" applyFont="1" applyFill="1" applyAlignment="1">
      <alignment horizontal="centerContinuous"/>
    </xf>
    <xf numFmtId="0" fontId="27" fillId="3" borderId="0" xfId="3" applyFont="1" applyFill="1" applyAlignment="1">
      <alignment horizontal="centerContinuous"/>
    </xf>
    <xf numFmtId="0" fontId="44" fillId="3" borderId="0" xfId="3" applyFont="1" applyFill="1"/>
    <xf numFmtId="0" fontId="28" fillId="3" borderId="0" xfId="3" applyFont="1" applyFill="1" applyAlignment="1">
      <alignment horizontal="center"/>
    </xf>
    <xf numFmtId="0" fontId="44" fillId="3" borderId="0" xfId="3" applyFont="1" applyFill="1" applyAlignment="1">
      <alignment horizontal="centerContinuous"/>
    </xf>
    <xf numFmtId="0" fontId="28" fillId="3" borderId="5" xfId="3" applyFont="1" applyFill="1" applyBorder="1"/>
    <xf numFmtId="0" fontId="28" fillId="3" borderId="5" xfId="3" applyFont="1" applyFill="1" applyBorder="1" applyAlignment="1">
      <alignment horizontal="center"/>
    </xf>
    <xf numFmtId="14" fontId="28" fillId="3" borderId="5" xfId="3" applyNumberFormat="1" applyFont="1" applyFill="1" applyBorder="1" applyAlignment="1">
      <alignment horizontal="center"/>
    </xf>
    <xf numFmtId="196" fontId="6" fillId="3" borderId="5" xfId="0" applyNumberFormat="1" applyFont="1" applyFill="1" applyBorder="1" applyAlignment="1">
      <alignment horizontal="center"/>
    </xf>
    <xf numFmtId="44" fontId="11" fillId="0" borderId="6" xfId="3" applyNumberFormat="1" applyFont="1" applyBorder="1"/>
    <xf numFmtId="42" fontId="9" fillId="0" borderId="0" xfId="5" applyNumberFormat="1" applyFont="1"/>
    <xf numFmtId="197" fontId="9" fillId="0" borderId="0" xfId="5" applyNumberFormat="1" applyFont="1"/>
    <xf numFmtId="173" fontId="9" fillId="0" borderId="0" xfId="1" applyNumberFormat="1" applyFont="1"/>
    <xf numFmtId="41" fontId="9" fillId="0" borderId="0" xfId="5" applyNumberFormat="1" applyFont="1"/>
    <xf numFmtId="41" fontId="9" fillId="0" borderId="0" xfId="5" applyNumberFormat="1" applyFont="1" applyAlignment="1">
      <alignment horizontal="center"/>
    </xf>
    <xf numFmtId="9" fontId="9" fillId="0" borderId="0" xfId="1" applyFont="1" applyAlignment="1">
      <alignment horizontal="center"/>
    </xf>
    <xf numFmtId="0" fontId="11" fillId="0" borderId="9" xfId="3" applyFont="1" applyBorder="1"/>
    <xf numFmtId="0" fontId="11" fillId="0" borderId="6" xfId="3" applyFont="1" applyBorder="1"/>
    <xf numFmtId="198" fontId="11" fillId="0" borderId="6" xfId="3" applyNumberFormat="1" applyFont="1" applyBorder="1"/>
    <xf numFmtId="199" fontId="11" fillId="0" borderId="6" xfId="3" applyNumberFormat="1" applyFont="1" applyBorder="1"/>
    <xf numFmtId="199" fontId="11" fillId="0" borderId="10" xfId="3" applyNumberFormat="1" applyFont="1" applyBorder="1"/>
    <xf numFmtId="0" fontId="11" fillId="0" borderId="13" xfId="3" applyFont="1" applyBorder="1"/>
    <xf numFmtId="43" fontId="11" fillId="0" borderId="0" xfId="3" applyNumberFormat="1" applyFont="1"/>
    <xf numFmtId="200" fontId="11" fillId="0" borderId="0" xfId="3" applyNumberFormat="1" applyFont="1"/>
    <xf numFmtId="199" fontId="11" fillId="0" borderId="0" xfId="3" applyNumberFormat="1" applyFont="1"/>
    <xf numFmtId="199" fontId="11" fillId="0" borderId="14" xfId="3" applyNumberFormat="1" applyFont="1" applyBorder="1"/>
    <xf numFmtId="0" fontId="19" fillId="9" borderId="15" xfId="3" applyFont="1" applyFill="1" applyBorder="1"/>
    <xf numFmtId="0" fontId="19" fillId="9" borderId="16" xfId="3" applyFont="1" applyFill="1" applyBorder="1"/>
    <xf numFmtId="44" fontId="19" fillId="9" borderId="16" xfId="3" applyNumberFormat="1" applyFont="1" applyFill="1" applyBorder="1"/>
    <xf numFmtId="166" fontId="19" fillId="9" borderId="16" xfId="3" applyNumberFormat="1" applyFont="1" applyFill="1" applyBorder="1"/>
    <xf numFmtId="198" fontId="19" fillId="9" borderId="16" xfId="3" applyNumberFormat="1" applyFont="1" applyFill="1" applyBorder="1"/>
    <xf numFmtId="199" fontId="19" fillId="9" borderId="16" xfId="3" applyNumberFormat="1" applyFont="1" applyFill="1" applyBorder="1"/>
    <xf numFmtId="199" fontId="19" fillId="9" borderId="17" xfId="3" applyNumberFormat="1" applyFont="1" applyFill="1" applyBorder="1"/>
    <xf numFmtId="0" fontId="11" fillId="0" borderId="11" xfId="3" applyFont="1" applyBorder="1"/>
    <xf numFmtId="0" fontId="19" fillId="0" borderId="5" xfId="3" applyFont="1" applyBorder="1"/>
    <xf numFmtId="43" fontId="11" fillId="0" borderId="5" xfId="3" applyNumberFormat="1" applyFont="1" applyBorder="1"/>
    <xf numFmtId="200" fontId="11" fillId="0" borderId="5" xfId="3" applyNumberFormat="1" applyFont="1" applyBorder="1"/>
    <xf numFmtId="199" fontId="11" fillId="0" borderId="5" xfId="3" applyNumberFormat="1" applyFont="1" applyBorder="1"/>
    <xf numFmtId="199" fontId="11" fillId="0" borderId="12" xfId="3" applyNumberFormat="1" applyFont="1" applyBorder="1"/>
    <xf numFmtId="0" fontId="48" fillId="0" borderId="0" xfId="0" applyFont="1"/>
    <xf numFmtId="42" fontId="6" fillId="5" borderId="15" xfId="5" applyNumberFormat="1" applyFont="1" applyFill="1" applyBorder="1"/>
    <xf numFmtId="0" fontId="6" fillId="5" borderId="16" xfId="3" applyFont="1" applyFill="1" applyBorder="1"/>
    <xf numFmtId="201" fontId="6" fillId="5" borderId="16" xfId="5" applyNumberFormat="1" applyFont="1" applyFill="1" applyBorder="1"/>
    <xf numFmtId="0" fontId="6" fillId="5" borderId="16" xfId="5" applyFont="1" applyFill="1" applyBorder="1"/>
    <xf numFmtId="42" fontId="6" fillId="5" borderId="16" xfId="5" applyNumberFormat="1" applyFont="1" applyFill="1" applyBorder="1"/>
    <xf numFmtId="197" fontId="6" fillId="5" borderId="16" xfId="5" applyNumberFormat="1" applyFont="1" applyFill="1" applyBorder="1"/>
    <xf numFmtId="9" fontId="6" fillId="5" borderId="16" xfId="1" applyFont="1" applyFill="1" applyBorder="1"/>
    <xf numFmtId="199" fontId="6" fillId="5" borderId="16" xfId="3" applyNumberFormat="1" applyFont="1" applyFill="1" applyBorder="1"/>
    <xf numFmtId="199" fontId="6" fillId="5" borderId="17" xfId="3" applyNumberFormat="1" applyFont="1" applyFill="1" applyBorder="1"/>
    <xf numFmtId="0" fontId="6" fillId="0" borderId="0" xfId="3" applyFont="1"/>
    <xf numFmtId="44" fontId="6" fillId="0" borderId="0" xfId="3" applyNumberFormat="1" applyFont="1"/>
    <xf numFmtId="200" fontId="6" fillId="0" borderId="0" xfId="3" applyNumberFormat="1" applyFont="1"/>
    <xf numFmtId="174" fontId="6" fillId="0" borderId="0" xfId="3" applyNumberFormat="1" applyFont="1"/>
    <xf numFmtId="43" fontId="6" fillId="0" borderId="0" xfId="3" applyNumberFormat="1" applyFont="1" applyAlignment="1">
      <alignment horizontal="center"/>
    </xf>
    <xf numFmtId="199" fontId="6" fillId="0" borderId="0" xfId="3" applyNumberFormat="1" applyFont="1" applyAlignment="1">
      <alignment horizontal="center"/>
    </xf>
    <xf numFmtId="173" fontId="6" fillId="0" borderId="0" xfId="3" applyNumberFormat="1" applyFont="1"/>
    <xf numFmtId="43" fontId="11" fillId="0" borderId="0" xfId="3" applyNumberFormat="1" applyFont="1" applyAlignment="1">
      <alignment horizontal="center"/>
    </xf>
    <xf numFmtId="14" fontId="28" fillId="3" borderId="0" xfId="3" applyNumberFormat="1" applyFont="1" applyFill="1" applyAlignment="1">
      <alignment horizontal="center"/>
    </xf>
    <xf numFmtId="196" fontId="6" fillId="3" borderId="0" xfId="0" applyNumberFormat="1" applyFont="1" applyFill="1" applyAlignment="1">
      <alignment horizontal="center"/>
    </xf>
    <xf numFmtId="0" fontId="19" fillId="0" borderId="0" xfId="3" applyFont="1" applyAlignment="1">
      <alignment horizontal="center"/>
    </xf>
    <xf numFmtId="176" fontId="11" fillId="0" borderId="0" xfId="3" applyNumberFormat="1" applyFont="1" applyAlignment="1">
      <alignment horizontal="center"/>
    </xf>
    <xf numFmtId="3" fontId="49" fillId="0" borderId="0" xfId="0" applyNumberFormat="1" applyFont="1" applyAlignment="1">
      <alignment vertical="center"/>
    </xf>
    <xf numFmtId="176" fontId="11" fillId="0" borderId="6" xfId="3" applyNumberFormat="1" applyFont="1" applyBorder="1"/>
    <xf numFmtId="176" fontId="11" fillId="0" borderId="10" xfId="3" applyNumberFormat="1" applyFont="1" applyBorder="1"/>
    <xf numFmtId="176" fontId="11" fillId="0" borderId="14" xfId="3" applyNumberFormat="1" applyFont="1" applyBorder="1"/>
    <xf numFmtId="0" fontId="19" fillId="5" borderId="15" xfId="3" applyFont="1" applyFill="1" applyBorder="1"/>
    <xf numFmtId="0" fontId="19" fillId="5" borderId="16" xfId="3" applyFont="1" applyFill="1" applyBorder="1"/>
    <xf numFmtId="44" fontId="19" fillId="5" borderId="16" xfId="3" applyNumberFormat="1" applyFont="1" applyFill="1" applyBorder="1"/>
    <xf numFmtId="166" fontId="19" fillId="5" borderId="16" xfId="3" applyNumberFormat="1" applyFont="1" applyFill="1" applyBorder="1"/>
    <xf numFmtId="198" fontId="19" fillId="5" borderId="16" xfId="3" applyNumberFormat="1" applyFont="1" applyFill="1" applyBorder="1"/>
    <xf numFmtId="176" fontId="19" fillId="5" borderId="16" xfId="3" applyNumberFormat="1" applyFont="1" applyFill="1" applyBorder="1"/>
    <xf numFmtId="176" fontId="19" fillId="5" borderId="17" xfId="3" applyNumberFormat="1" applyFont="1" applyFill="1" applyBorder="1"/>
    <xf numFmtId="176" fontId="11" fillId="0" borderId="5" xfId="3" applyNumberFormat="1" applyFont="1" applyBorder="1"/>
    <xf numFmtId="176" fontId="11" fillId="0" borderId="12" xfId="3" applyNumberFormat="1" applyFont="1" applyBorder="1"/>
    <xf numFmtId="185" fontId="6" fillId="5" borderId="15" xfId="5" applyNumberFormat="1" applyFont="1" applyFill="1" applyBorder="1"/>
    <xf numFmtId="44" fontId="6" fillId="5" borderId="16" xfId="3" applyNumberFormat="1" applyFont="1" applyFill="1" applyBorder="1"/>
    <xf numFmtId="185" fontId="6" fillId="5" borderId="16" xfId="5" applyNumberFormat="1" applyFont="1" applyFill="1" applyBorder="1"/>
    <xf numFmtId="185" fontId="6" fillId="5" borderId="17" xfId="5" applyNumberFormat="1" applyFont="1" applyFill="1" applyBorder="1"/>
    <xf numFmtId="0" fontId="3" fillId="0" borderId="0" xfId="0" applyFont="1"/>
    <xf numFmtId="14" fontId="19" fillId="0" borderId="0" xfId="0" applyNumberFormat="1" applyFont="1" applyAlignment="1">
      <alignment horizontal="center"/>
    </xf>
    <xf numFmtId="172" fontId="19" fillId="0" borderId="0" xfId="0" applyNumberFormat="1" applyFont="1" applyAlignment="1">
      <alignment horizontal="center"/>
    </xf>
    <xf numFmtId="0" fontId="11" fillId="0" borderId="0" xfId="6" applyFont="1" applyAlignment="1">
      <alignment horizontal="center"/>
    </xf>
    <xf numFmtId="177" fontId="11" fillId="0" borderId="0" xfId="6" applyNumberFormat="1" applyFont="1" applyAlignment="1">
      <alignment horizontal="center"/>
    </xf>
    <xf numFmtId="181" fontId="11" fillId="0" borderId="0" xfId="6" applyNumberFormat="1" applyFont="1" applyAlignment="1">
      <alignment horizontal="center"/>
    </xf>
    <xf numFmtId="0" fontId="19" fillId="0" borderId="0" xfId="6" applyFont="1" applyAlignment="1">
      <alignment horizontal="center"/>
    </xf>
    <xf numFmtId="177" fontId="19" fillId="0" borderId="0" xfId="6" applyNumberFormat="1" applyFont="1" applyAlignment="1">
      <alignment horizontal="center"/>
    </xf>
    <xf numFmtId="181" fontId="19" fillId="0" borderId="0" xfId="6" applyNumberFormat="1" applyFont="1" applyAlignment="1">
      <alignment horizontal="center"/>
    </xf>
    <xf numFmtId="0" fontId="35" fillId="0" borderId="0" xfId="9" applyFont="1"/>
    <xf numFmtId="0" fontId="5" fillId="0" borderId="0" xfId="9" applyFont="1"/>
    <xf numFmtId="176" fontId="12" fillId="0" borderId="0" xfId="0" applyNumberFormat="1" applyFont="1" applyAlignment="1">
      <alignment horizontal="center"/>
    </xf>
    <xf numFmtId="42" fontId="12" fillId="0" borderId="0" xfId="0" applyNumberFormat="1" applyFont="1" applyAlignment="1">
      <alignment horizontal="center"/>
    </xf>
    <xf numFmtId="41" fontId="12" fillId="0" borderId="0" xfId="0" applyNumberFormat="1" applyFont="1" applyAlignment="1">
      <alignment horizontal="center"/>
    </xf>
    <xf numFmtId="44" fontId="0" fillId="0" borderId="0" xfId="0" applyNumberFormat="1"/>
    <xf numFmtId="44" fontId="9" fillId="0" borderId="0" xfId="5" applyNumberFormat="1" applyFont="1"/>
    <xf numFmtId="174" fontId="11" fillId="0" borderId="0" xfId="3" applyNumberFormat="1" applyFont="1"/>
    <xf numFmtId="176" fontId="19" fillId="0" borderId="0" xfId="3" applyNumberFormat="1" applyFont="1"/>
    <xf numFmtId="167" fontId="12" fillId="0" borderId="0" xfId="0" applyNumberFormat="1" applyFont="1" applyAlignment="1">
      <alignment horizontal="center"/>
    </xf>
    <xf numFmtId="0" fontId="19" fillId="7" borderId="5" xfId="3" applyFont="1" applyFill="1" applyBorder="1"/>
    <xf numFmtId="0" fontId="5" fillId="7" borderId="5" xfId="0" applyFont="1" applyFill="1" applyBorder="1"/>
    <xf numFmtId="174" fontId="13" fillId="7" borderId="5" xfId="0" applyNumberFormat="1" applyFont="1" applyFill="1" applyBorder="1"/>
    <xf numFmtId="166" fontId="12" fillId="0" borderId="0" xfId="0" applyNumberFormat="1" applyFont="1"/>
    <xf numFmtId="0" fontId="5" fillId="0" borderId="0" xfId="0" applyFont="1" applyAlignment="1">
      <alignment wrapText="1"/>
    </xf>
    <xf numFmtId="166" fontId="12" fillId="0" borderId="5" xfId="0" applyNumberFormat="1" applyFont="1" applyBorder="1"/>
    <xf numFmtId="0" fontId="19" fillId="7" borderId="6" xfId="3" applyFont="1" applyFill="1" applyBorder="1" applyAlignment="1">
      <alignment horizontal="left"/>
    </xf>
    <xf numFmtId="0" fontId="11" fillId="7" borderId="6" xfId="3" applyFont="1" applyFill="1" applyBorder="1"/>
    <xf numFmtId="166" fontId="19" fillId="7" borderId="0" xfId="3" applyNumberFormat="1" applyFont="1" applyFill="1"/>
    <xf numFmtId="202" fontId="12" fillId="0" borderId="0" xfId="0" applyNumberFormat="1" applyFont="1"/>
    <xf numFmtId="0" fontId="19" fillId="13" borderId="9" xfId="3" applyFont="1" applyFill="1" applyBorder="1"/>
    <xf numFmtId="0" fontId="11" fillId="13" borderId="6" xfId="3" applyFont="1" applyFill="1" applyBorder="1"/>
    <xf numFmtId="44" fontId="19" fillId="13" borderId="10" xfId="3" applyNumberFormat="1" applyFont="1" applyFill="1" applyBorder="1"/>
    <xf numFmtId="0" fontId="19" fillId="13" borderId="11" xfId="3" applyFont="1" applyFill="1" applyBorder="1"/>
    <xf numFmtId="0" fontId="11" fillId="13" borderId="5" xfId="3" applyFont="1" applyFill="1" applyBorder="1"/>
    <xf numFmtId="169" fontId="19" fillId="13" borderId="12" xfId="3" applyNumberFormat="1" applyFont="1" applyFill="1" applyBorder="1"/>
    <xf numFmtId="43" fontId="5" fillId="0" borderId="0" xfId="0" applyNumberFormat="1" applyFont="1" applyAlignment="1">
      <alignment horizontal="right"/>
    </xf>
    <xf numFmtId="0" fontId="11" fillId="0" borderId="0" xfId="5" applyFont="1" applyAlignment="1">
      <alignment horizontal="left" indent="1"/>
    </xf>
    <xf numFmtId="193" fontId="12" fillId="0" borderId="0" xfId="5" applyNumberFormat="1" applyFont="1" applyAlignment="1">
      <alignment horizontal="center"/>
    </xf>
    <xf numFmtId="43" fontId="9" fillId="0" borderId="0" xfId="5" applyNumberFormat="1" applyFont="1"/>
    <xf numFmtId="0" fontId="5" fillId="0" borderId="0" xfId="10" applyFont="1"/>
    <xf numFmtId="0" fontId="12" fillId="0" borderId="0" xfId="10" applyFont="1"/>
    <xf numFmtId="44" fontId="11" fillId="0" borderId="0" xfId="10" applyNumberFormat="1" applyFont="1"/>
    <xf numFmtId="44" fontId="12" fillId="0" borderId="0" xfId="10" applyNumberFormat="1" applyFont="1"/>
    <xf numFmtId="43" fontId="11" fillId="0" borderId="0" xfId="10" applyNumberFormat="1" applyFont="1"/>
    <xf numFmtId="43" fontId="12" fillId="0" borderId="0" xfId="10" applyNumberFormat="1" applyFont="1"/>
    <xf numFmtId="43" fontId="8" fillId="0" borderId="0" xfId="10" applyNumberFormat="1" applyFont="1" applyAlignment="1">
      <alignment horizontal="right"/>
    </xf>
    <xf numFmtId="0" fontId="50" fillId="0" borderId="0" xfId="0" applyFont="1"/>
    <xf numFmtId="0" fontId="24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14" fillId="0" borderId="0" xfId="0" applyFont="1"/>
    <xf numFmtId="0" fontId="32" fillId="3" borderId="0" xfId="0" applyFont="1" applyFill="1"/>
    <xf numFmtId="0" fontId="51" fillId="3" borderId="0" xfId="0" applyFont="1" applyFill="1"/>
    <xf numFmtId="196" fontId="6" fillId="0" borderId="0" xfId="0" applyNumberFormat="1" applyFont="1" applyAlignment="1">
      <alignment horizontal="center"/>
    </xf>
    <xf numFmtId="179" fontId="18" fillId="6" borderId="0" xfId="0" applyNumberFormat="1" applyFont="1" applyFill="1" applyAlignment="1">
      <alignment horizontal="left" vertical="center"/>
    </xf>
    <xf numFmtId="173" fontId="7" fillId="0" borderId="0" xfId="1" applyNumberFormat="1" applyFont="1"/>
    <xf numFmtId="41" fontId="0" fillId="0" borderId="0" xfId="0" applyNumberFormat="1"/>
    <xf numFmtId="179" fontId="30" fillId="0" borderId="0" xfId="0" applyNumberFormat="1" applyFont="1"/>
    <xf numFmtId="41" fontId="52" fillId="6" borderId="0" xfId="0" applyNumberFormat="1" applyFont="1" applyFill="1" applyAlignment="1">
      <alignment horizontal="center" vertical="center"/>
    </xf>
    <xf numFmtId="41" fontId="52" fillId="6" borderId="0" xfId="0" applyNumberFormat="1" applyFont="1" applyFill="1" applyAlignment="1">
      <alignment horizontal="left" vertical="center"/>
    </xf>
    <xf numFmtId="0" fontId="14" fillId="0" borderId="6" xfId="0" applyFont="1" applyBorder="1"/>
    <xf numFmtId="179" fontId="13" fillId="0" borderId="6" xfId="0" applyNumberFormat="1" applyFont="1" applyBorder="1"/>
    <xf numFmtId="41" fontId="13" fillId="0" borderId="0" xfId="0" applyNumberFormat="1" applyFont="1" applyAlignment="1">
      <alignment horizontal="right" indent="1"/>
    </xf>
    <xf numFmtId="0" fontId="28" fillId="3" borderId="5" xfId="11" applyFont="1" applyFill="1" applyBorder="1" applyAlignment="1">
      <alignment horizontal="left"/>
    </xf>
    <xf numFmtId="0" fontId="13" fillId="0" borderId="5" xfId="11" applyFont="1" applyBorder="1" applyAlignment="1">
      <alignment horizontal="center"/>
    </xf>
    <xf numFmtId="0" fontId="5" fillId="0" borderId="0" xfId="11" applyFont="1"/>
    <xf numFmtId="172" fontId="5" fillId="0" borderId="0" xfId="11" applyNumberFormat="1" applyFont="1" applyAlignment="1">
      <alignment horizontal="center"/>
    </xf>
    <xf numFmtId="42" fontId="11" fillId="0" borderId="0" xfId="11" applyNumberFormat="1" applyFont="1" applyAlignment="1">
      <alignment horizontal="center"/>
    </xf>
    <xf numFmtId="41" fontId="11" fillId="0" borderId="0" xfId="11" applyNumberFormat="1" applyFont="1" applyAlignment="1">
      <alignment horizontal="center"/>
    </xf>
    <xf numFmtId="41" fontId="5" fillId="0" borderId="0" xfId="11" applyNumberFormat="1" applyFont="1"/>
    <xf numFmtId="0" fontId="13" fillId="0" borderId="0" xfId="11" applyFont="1"/>
    <xf numFmtId="0" fontId="5" fillId="0" borderId="15" xfId="11" applyFont="1" applyBorder="1"/>
    <xf numFmtId="0" fontId="5" fillId="0" borderId="18" xfId="11" applyFont="1" applyBorder="1"/>
    <xf numFmtId="0" fontId="5" fillId="0" borderId="17" xfId="11" applyFont="1" applyBorder="1"/>
    <xf numFmtId="42" fontId="11" fillId="0" borderId="0" xfId="11" applyNumberFormat="1" applyFont="1"/>
    <xf numFmtId="203" fontId="11" fillId="0" borderId="0" xfId="11" applyNumberFormat="1" applyFont="1" applyAlignment="1">
      <alignment horizontal="right"/>
    </xf>
    <xf numFmtId="0" fontId="5" fillId="0" borderId="0" xfId="11" quotePrefix="1" applyFont="1"/>
    <xf numFmtId="0" fontId="13" fillId="0" borderId="0" xfId="11" applyFont="1" applyAlignment="1">
      <alignment horizontal="centerContinuous"/>
    </xf>
    <xf numFmtId="0" fontId="5" fillId="0" borderId="0" xfId="11" applyFont="1" applyAlignment="1">
      <alignment horizontal="centerContinuous"/>
    </xf>
    <xf numFmtId="14" fontId="12" fillId="0" borderId="5" xfId="11" applyNumberFormat="1" applyFont="1" applyBorder="1"/>
    <xf numFmtId="1" fontId="12" fillId="0" borderId="5" xfId="5" applyNumberFormat="1" applyFont="1" applyBorder="1"/>
    <xf numFmtId="42" fontId="5" fillId="0" borderId="0" xfId="11" applyNumberFormat="1" applyFont="1"/>
    <xf numFmtId="9" fontId="5" fillId="0" borderId="0" xfId="11" applyNumberFormat="1" applyFont="1"/>
    <xf numFmtId="0" fontId="12" fillId="0" borderId="5" xfId="5" applyFont="1" applyBorder="1"/>
    <xf numFmtId="0" fontId="5" fillId="0" borderId="5" xfId="11" applyFont="1" applyBorder="1" applyAlignment="1">
      <alignment horizontal="center"/>
    </xf>
    <xf numFmtId="173" fontId="5" fillId="0" borderId="0" xfId="1" applyNumberFormat="1" applyFont="1"/>
    <xf numFmtId="186" fontId="11" fillId="0" borderId="0" xfId="6" applyNumberFormat="1" applyFont="1" applyAlignment="1">
      <alignment horizontal="center"/>
    </xf>
    <xf numFmtId="186" fontId="11" fillId="0" borderId="0" xfId="6" applyNumberFormat="1" applyFont="1" applyAlignment="1">
      <alignment horizontal="right"/>
    </xf>
    <xf numFmtId="0" fontId="5" fillId="0" borderId="0" xfId="11" applyFont="1" applyAlignment="1">
      <alignment horizontal="right"/>
    </xf>
    <xf numFmtId="204" fontId="53" fillId="6" borderId="0" xfId="0" applyNumberFormat="1" applyFont="1" applyFill="1" applyAlignment="1">
      <alignment horizontal="left" vertical="center"/>
    </xf>
    <xf numFmtId="172" fontId="5" fillId="0" borderId="0" xfId="11" applyNumberFormat="1" applyFont="1"/>
    <xf numFmtId="44" fontId="5" fillId="0" borderId="0" xfId="11" applyNumberFormat="1" applyFont="1"/>
    <xf numFmtId="3" fontId="5" fillId="0" borderId="0" xfId="11" applyNumberFormat="1" applyFont="1"/>
    <xf numFmtId="43" fontId="5" fillId="0" borderId="0" xfId="11" applyNumberFormat="1" applyFont="1"/>
    <xf numFmtId="176" fontId="11" fillId="0" borderId="0" xfId="3" applyNumberFormat="1" applyFont="1" applyAlignment="1">
      <alignment horizontal="right"/>
    </xf>
    <xf numFmtId="0" fontId="54" fillId="0" borderId="0" xfId="0" applyFont="1" applyAlignment="1">
      <alignment horizontal="left" vertical="center"/>
    </xf>
    <xf numFmtId="0" fontId="54" fillId="0" borderId="0" xfId="0" applyFont="1" applyAlignment="1">
      <alignment horizontal="right" vertical="center"/>
    </xf>
    <xf numFmtId="15" fontId="54" fillId="0" borderId="0" xfId="0" applyNumberFormat="1" applyFont="1" applyAlignment="1">
      <alignment horizontal="left" vertical="center"/>
    </xf>
    <xf numFmtId="3" fontId="54" fillId="0" borderId="0" xfId="0" applyNumberFormat="1" applyFont="1" applyAlignment="1">
      <alignment horizontal="right" vertical="center"/>
    </xf>
    <xf numFmtId="0" fontId="43" fillId="0" borderId="0" xfId="0" applyFont="1"/>
    <xf numFmtId="0" fontId="6" fillId="3" borderId="2" xfId="0" applyFont="1" applyFill="1" applyBorder="1" applyAlignment="1">
      <alignment horizontal="centerContinuous"/>
    </xf>
    <xf numFmtId="0" fontId="6" fillId="3" borderId="3" xfId="0" applyFont="1" applyFill="1" applyBorder="1" applyAlignment="1">
      <alignment horizontal="centerContinuous"/>
    </xf>
    <xf numFmtId="0" fontId="6" fillId="3" borderId="0" xfId="0" applyFont="1" applyFill="1" applyAlignment="1">
      <alignment horizontal="centerContinuous"/>
    </xf>
    <xf numFmtId="0" fontId="11" fillId="0" borderId="0" xfId="11" applyFont="1"/>
    <xf numFmtId="0" fontId="23" fillId="3" borderId="0" xfId="0" applyFont="1" applyFill="1" applyAlignment="1">
      <alignment horizontal="center"/>
    </xf>
    <xf numFmtId="196" fontId="6" fillId="3" borderId="7" xfId="0" applyNumberFormat="1" applyFont="1" applyFill="1" applyBorder="1" applyAlignment="1">
      <alignment horizontal="center"/>
    </xf>
    <xf numFmtId="0" fontId="19" fillId="14" borderId="0" xfId="0" applyFont="1" applyFill="1"/>
    <xf numFmtId="0" fontId="7" fillId="14" borderId="0" xfId="0" applyFont="1" applyFill="1"/>
    <xf numFmtId="196" fontId="19" fillId="14" borderId="0" xfId="0" applyNumberFormat="1" applyFont="1" applyFill="1" applyAlignment="1">
      <alignment horizontal="center"/>
    </xf>
    <xf numFmtId="0" fontId="11" fillId="6" borderId="0" xfId="0" applyFont="1" applyFill="1" applyAlignment="1">
      <alignment horizontal="center" vertical="center"/>
    </xf>
    <xf numFmtId="42" fontId="9" fillId="0" borderId="0" xfId="0" applyNumberFormat="1" applyFont="1"/>
    <xf numFmtId="0" fontId="9" fillId="0" borderId="0" xfId="11" applyFont="1"/>
    <xf numFmtId="0" fontId="55" fillId="0" borderId="0" xfId="0" applyFont="1" applyAlignment="1">
      <alignment horizontal="center"/>
    </xf>
    <xf numFmtId="205" fontId="12" fillId="0" borderId="0" xfId="0" applyNumberFormat="1" applyFont="1" applyAlignment="1">
      <alignment horizontal="right"/>
    </xf>
    <xf numFmtId="186" fontId="14" fillId="0" borderId="0" xfId="0" applyNumberFormat="1" applyFont="1" applyAlignment="1">
      <alignment horizontal="center"/>
    </xf>
    <xf numFmtId="0" fontId="55" fillId="0" borderId="0" xfId="0" applyFont="1" applyAlignment="1">
      <alignment horizontal="left" indent="1"/>
    </xf>
    <xf numFmtId="0" fontId="7" fillId="6" borderId="0" xfId="0" applyFont="1" applyFill="1" applyAlignment="1">
      <alignment horizontal="left" vertical="center" indent="1"/>
    </xf>
    <xf numFmtId="0" fontId="57" fillId="0" borderId="0" xfId="0" applyFont="1" applyAlignment="1">
      <alignment horizontal="left" indent="1"/>
    </xf>
    <xf numFmtId="0" fontId="25" fillId="0" borderId="0" xfId="11" applyFont="1"/>
    <xf numFmtId="0" fontId="55" fillId="0" borderId="0" xfId="11" applyFont="1" applyAlignment="1">
      <alignment horizontal="left" indent="1"/>
    </xf>
    <xf numFmtId="41" fontId="9" fillId="0" borderId="0" xfId="0" applyNumberFormat="1" applyFont="1"/>
    <xf numFmtId="0" fontId="7" fillId="0" borderId="0" xfId="0" applyFont="1"/>
    <xf numFmtId="196" fontId="19" fillId="0" borderId="0" xfId="0" applyNumberFormat="1" applyFont="1" applyAlignment="1">
      <alignment horizontal="center"/>
    </xf>
    <xf numFmtId="0" fontId="19" fillId="6" borderId="0" xfId="0" applyFont="1" applyFill="1" applyAlignment="1">
      <alignment vertical="center"/>
    </xf>
    <xf numFmtId="0" fontId="30" fillId="0" borderId="0" xfId="11" applyFont="1"/>
    <xf numFmtId="42" fontId="58" fillId="0" borderId="0" xfId="0" applyNumberFormat="1" applyFont="1"/>
    <xf numFmtId="9" fontId="58" fillId="0" borderId="0" xfId="1" applyFont="1"/>
    <xf numFmtId="0" fontId="59" fillId="0" borderId="0" xfId="11" applyFont="1"/>
    <xf numFmtId="0" fontId="60" fillId="0" borderId="0" xfId="11" applyFont="1"/>
    <xf numFmtId="0" fontId="9" fillId="0" borderId="0" xfId="0" applyFont="1" applyAlignment="1">
      <alignment horizontal="left"/>
    </xf>
    <xf numFmtId="43" fontId="12" fillId="0" borderId="0" xfId="0" applyNumberFormat="1" applyFont="1"/>
    <xf numFmtId="41" fontId="12" fillId="0" borderId="0" xfId="0" applyNumberFormat="1" applyFont="1"/>
    <xf numFmtId="205" fontId="11" fillId="6" borderId="0" xfId="0" applyNumberFormat="1" applyFont="1" applyFill="1" applyAlignment="1">
      <alignment horizontal="left" vertical="center"/>
    </xf>
    <xf numFmtId="42" fontId="12" fillId="0" borderId="0" xfId="0" applyNumberFormat="1" applyFont="1"/>
    <xf numFmtId="9" fontId="12" fillId="0" borderId="0" xfId="1" applyFont="1"/>
    <xf numFmtId="0" fontId="6" fillId="3" borderId="19" xfId="0" applyFont="1" applyFill="1" applyBorder="1" applyAlignment="1">
      <alignment horizontal="centerContinuous"/>
    </xf>
    <xf numFmtId="0" fontId="6" fillId="0" borderId="0" xfId="0" applyFont="1" applyAlignment="1">
      <alignment horizontal="centerContinuous"/>
    </xf>
    <xf numFmtId="0" fontId="6" fillId="3" borderId="5" xfId="0" applyFont="1" applyFill="1" applyBorder="1"/>
    <xf numFmtId="0" fontId="23" fillId="3" borderId="5" xfId="0" applyFont="1" applyFill="1" applyBorder="1" applyAlignment="1">
      <alignment horizontal="center"/>
    </xf>
    <xf numFmtId="172" fontId="6" fillId="3" borderId="20" xfId="0" applyNumberFormat="1" applyFont="1" applyFill="1" applyBorder="1" applyAlignment="1">
      <alignment horizontal="center"/>
    </xf>
    <xf numFmtId="0" fontId="55" fillId="0" borderId="0" xfId="11" applyFont="1" applyAlignment="1">
      <alignment horizontal="center"/>
    </xf>
    <xf numFmtId="176" fontId="12" fillId="0" borderId="0" xfId="5" applyNumberFormat="1" applyFont="1"/>
    <xf numFmtId="176" fontId="12" fillId="0" borderId="0" xfId="5" applyNumberFormat="1" applyFont="1" applyAlignment="1">
      <alignment horizontal="right"/>
    </xf>
    <xf numFmtId="186" fontId="56" fillId="0" borderId="0" xfId="0" applyNumberFormat="1" applyFont="1" applyAlignment="1">
      <alignment horizontal="right"/>
    </xf>
    <xf numFmtId="41" fontId="11" fillId="6" borderId="0" xfId="0" applyNumberFormat="1" applyFont="1" applyFill="1" applyAlignment="1">
      <alignment horizontal="left" vertical="center" indent="1"/>
    </xf>
    <xf numFmtId="205" fontId="58" fillId="0" borderId="0" xfId="0" applyNumberFormat="1" applyFont="1" applyAlignment="1">
      <alignment horizontal="right"/>
    </xf>
    <xf numFmtId="9" fontId="61" fillId="0" borderId="0" xfId="1" applyFont="1"/>
    <xf numFmtId="4" fontId="5" fillId="0" borderId="0" xfId="11" applyNumberFormat="1" applyFont="1"/>
    <xf numFmtId="172" fontId="11" fillId="0" borderId="0" xfId="0" applyNumberFormat="1" applyFont="1" applyAlignment="1">
      <alignment horizontal="left"/>
    </xf>
    <xf numFmtId="0" fontId="5" fillId="15" borderId="0" xfId="11" applyFont="1" applyFill="1"/>
    <xf numFmtId="0" fontId="5" fillId="12" borderId="0" xfId="11" applyFont="1" applyFill="1"/>
    <xf numFmtId="0" fontId="5" fillId="16" borderId="0" xfId="11" applyFont="1" applyFill="1"/>
    <xf numFmtId="0" fontId="13" fillId="14" borderId="5" xfId="11" applyFont="1" applyFill="1" applyBorder="1" applyAlignment="1">
      <alignment horizontal="center"/>
    </xf>
    <xf numFmtId="0" fontId="13" fillId="14" borderId="5" xfId="11" applyFont="1" applyFill="1" applyBorder="1"/>
    <xf numFmtId="0" fontId="5" fillId="0" borderId="0" xfId="11" applyFont="1" applyAlignment="1">
      <alignment horizontal="center"/>
    </xf>
    <xf numFmtId="0" fontId="34" fillId="0" borderId="0" xfId="4" applyFont="1"/>
    <xf numFmtId="44" fontId="5" fillId="0" borderId="0" xfId="0" applyNumberFormat="1" applyFont="1"/>
    <xf numFmtId="0" fontId="0" fillId="0" borderId="0" xfId="0" applyAlignment="1">
      <alignment horizontal="left" indent="2"/>
    </xf>
    <xf numFmtId="0" fontId="0" fillId="0" borderId="0" xfId="0" applyAlignment="1">
      <alignment horizontal="right"/>
    </xf>
    <xf numFmtId="41" fontId="0" fillId="0" borderId="0" xfId="0" applyNumberFormat="1" applyAlignment="1">
      <alignment horizontal="right"/>
    </xf>
    <xf numFmtId="9" fontId="14" fillId="0" borderId="0" xfId="0" applyNumberFormat="1" applyFont="1"/>
    <xf numFmtId="42" fontId="13" fillId="4" borderId="0" xfId="0" applyNumberFormat="1" applyFont="1" applyFill="1"/>
    <xf numFmtId="41" fontId="14" fillId="0" borderId="0" xfId="0" applyNumberFormat="1" applyFont="1" applyAlignment="1">
      <alignment horizontal="left" indent="2"/>
    </xf>
    <xf numFmtId="0" fontId="11" fillId="6" borderId="0" xfId="0" applyFont="1" applyFill="1" applyAlignment="1">
      <alignment horizontal="left" vertical="center" indent="2"/>
    </xf>
    <xf numFmtId="42" fontId="61" fillId="0" borderId="0" xfId="1" applyNumberFormat="1" applyFont="1"/>
    <xf numFmtId="0" fontId="30" fillId="0" borderId="0" xfId="0" applyFont="1" applyAlignment="1">
      <alignment horizontal="left"/>
    </xf>
    <xf numFmtId="0" fontId="6" fillId="3" borderId="2" xfId="0" applyFont="1" applyFill="1" applyBorder="1" applyAlignment="1">
      <alignment horizontal="center"/>
    </xf>
    <xf numFmtId="0" fontId="19" fillId="6" borderId="0" xfId="0" applyFont="1" applyFill="1" applyAlignment="1">
      <alignment horizontal="left" vertical="center"/>
    </xf>
    <xf numFmtId="0" fontId="0" fillId="3" borderId="0" xfId="0" applyFill="1"/>
    <xf numFmtId="0" fontId="62" fillId="3" borderId="0" xfId="0" applyFont="1" applyFill="1"/>
    <xf numFmtId="0" fontId="63" fillId="3" borderId="0" xfId="0" applyFont="1" applyFill="1" applyAlignment="1">
      <alignment horizontal="left" indent="1"/>
    </xf>
    <xf numFmtId="44" fontId="13" fillId="0" borderId="0" xfId="0" applyNumberFormat="1" applyFont="1" applyAlignment="1">
      <alignment horizontal="right"/>
    </xf>
    <xf numFmtId="173" fontId="4" fillId="7" borderId="0" xfId="0" applyNumberFormat="1" applyFont="1" applyFill="1" applyAlignment="1">
      <alignment horizontal="right"/>
    </xf>
    <xf numFmtId="0" fontId="62" fillId="3" borderId="0" xfId="0" applyFont="1" applyFill="1" applyAlignment="1">
      <alignment horizontal="center"/>
    </xf>
    <xf numFmtId="0" fontId="62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183" fontId="0" fillId="0" borderId="0" xfId="0" applyNumberFormat="1"/>
    <xf numFmtId="0" fontId="32" fillId="0" borderId="0" xfId="0" applyFont="1"/>
    <xf numFmtId="0" fontId="51" fillId="0" borderId="0" xfId="0" applyFont="1"/>
    <xf numFmtId="0" fontId="13" fillId="0" borderId="0" xfId="0" applyFont="1" applyAlignment="1">
      <alignment horizontal="left"/>
    </xf>
    <xf numFmtId="41" fontId="8" fillId="6" borderId="0" xfId="0" applyNumberFormat="1" applyFont="1" applyFill="1" applyAlignment="1">
      <alignment horizontal="left" vertical="center"/>
    </xf>
    <xf numFmtId="173" fontId="14" fillId="0" borderId="0" xfId="1" applyNumberFormat="1" applyFont="1"/>
    <xf numFmtId="14" fontId="0" fillId="0" borderId="0" xfId="0" applyNumberFormat="1"/>
    <xf numFmtId="0" fontId="19" fillId="17" borderId="0" xfId="3" applyFont="1" applyFill="1"/>
    <xf numFmtId="0" fontId="11" fillId="17" borderId="0" xfId="3" applyFont="1" applyFill="1"/>
    <xf numFmtId="8" fontId="11" fillId="17" borderId="0" xfId="3" applyNumberFormat="1" applyFont="1" applyFill="1" applyAlignment="1">
      <alignment horizontal="right"/>
    </xf>
    <xf numFmtId="8" fontId="11" fillId="0" borderId="0" xfId="3" applyNumberFormat="1" applyFont="1" applyAlignment="1">
      <alignment horizontal="right"/>
    </xf>
    <xf numFmtId="44" fontId="11" fillId="0" borderId="0" xfId="3" applyNumberFormat="1" applyFont="1" applyAlignment="1">
      <alignment horizontal="right"/>
    </xf>
    <xf numFmtId="0" fontId="11" fillId="17" borderId="0" xfId="3" applyFont="1" applyFill="1" applyAlignment="1">
      <alignment horizontal="right"/>
    </xf>
    <xf numFmtId="42" fontId="11" fillId="0" borderId="0" xfId="3" applyNumberFormat="1" applyFont="1" applyAlignment="1">
      <alignment horizontal="right"/>
    </xf>
    <xf numFmtId="0" fontId="6" fillId="18" borderId="0" xfId="3" applyFont="1" applyFill="1" applyAlignment="1">
      <alignment horizontal="left"/>
    </xf>
    <xf numFmtId="0" fontId="6" fillId="18" borderId="0" xfId="3" applyFont="1" applyFill="1"/>
    <xf numFmtId="0" fontId="19" fillId="5" borderId="0" xfId="6" applyFont="1" applyFill="1" applyAlignment="1">
      <alignment horizontal="center"/>
    </xf>
    <xf numFmtId="0" fontId="0" fillId="0" borderId="0" xfId="0" applyAlignment="1">
      <alignment horizontal="center"/>
    </xf>
  </cellXfs>
  <cellStyles count="12">
    <cellStyle name="Hyperlink" xfId="4" builtinId="8"/>
    <cellStyle name="Normal" xfId="0" builtinId="0"/>
    <cellStyle name="Normal 2" xfId="3" xr:uid="{022AEB79-1514-46A8-935B-BBBE919B721F}"/>
    <cellStyle name="Normal 2 2" xfId="5" xr:uid="{9A79DCDA-69F2-448E-BC64-5D50F17734D5}"/>
    <cellStyle name="Normal 3 2" xfId="6" xr:uid="{250084AA-8131-4CA1-A438-8268D01A6A46}"/>
    <cellStyle name="Normal 3 2 2" xfId="11" xr:uid="{237C1B21-82B6-4EC6-B0E7-21C8ACB2FD3F}"/>
    <cellStyle name="Normal 3 3" xfId="8" xr:uid="{B9B641C8-D060-41C4-B875-F8E23DFD141A}"/>
    <cellStyle name="Normal 3 4" xfId="10" xr:uid="{609CD1B7-B003-4475-899F-4A5DF275AF71}"/>
    <cellStyle name="Normal 5 2" xfId="9" xr:uid="{002B0699-B6DA-4955-81AE-7D6E58257C0C}"/>
    <cellStyle name="Note" xfId="2" builtinId="10"/>
    <cellStyle name="Percent" xfId="1" builtinId="5"/>
    <cellStyle name="TextNormal" xfId="7" xr:uid="{602BA1BA-811B-43E1-9DFB-160F69DFACA3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Graphs!$P$111</c:f>
          <c:strCache>
            <c:ptCount val="1"/>
            <c:pt idx="0">
              <c:v>Butterfly Network, inc.Price - Volume Chart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Graphs!$R$113</c:f>
              <c:strCache>
                <c:ptCount val="1"/>
                <c:pt idx="0">
                  <c:v>Volume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Graphs!$P$114:$P$363</c:f>
              <c:numCache>
                <c:formatCode>d\-mmm\-yy</c:formatCode>
                <c:ptCount val="250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45898</c:v>
                </c:pt>
                <c:pt idx="48">
                  <c:v>45897</c:v>
                </c:pt>
                <c:pt idx="49">
                  <c:v>45896</c:v>
                </c:pt>
                <c:pt idx="50">
                  <c:v>45895</c:v>
                </c:pt>
                <c:pt idx="51">
                  <c:v>45894</c:v>
                </c:pt>
                <c:pt idx="52">
                  <c:v>45891</c:v>
                </c:pt>
                <c:pt idx="53">
                  <c:v>45890</c:v>
                </c:pt>
                <c:pt idx="54">
                  <c:v>45889</c:v>
                </c:pt>
                <c:pt idx="55">
                  <c:v>45888</c:v>
                </c:pt>
                <c:pt idx="56">
                  <c:v>45887</c:v>
                </c:pt>
                <c:pt idx="57">
                  <c:v>45884</c:v>
                </c:pt>
                <c:pt idx="58">
                  <c:v>45883</c:v>
                </c:pt>
                <c:pt idx="59">
                  <c:v>45882</c:v>
                </c:pt>
                <c:pt idx="60">
                  <c:v>45881</c:v>
                </c:pt>
                <c:pt idx="61">
                  <c:v>45880</c:v>
                </c:pt>
                <c:pt idx="62">
                  <c:v>45877</c:v>
                </c:pt>
                <c:pt idx="63">
                  <c:v>45876</c:v>
                </c:pt>
                <c:pt idx="64">
                  <c:v>45875</c:v>
                </c:pt>
                <c:pt idx="65">
                  <c:v>45874</c:v>
                </c:pt>
                <c:pt idx="66">
                  <c:v>45873</c:v>
                </c:pt>
                <c:pt idx="67">
                  <c:v>45870</c:v>
                </c:pt>
                <c:pt idx="68">
                  <c:v>45869</c:v>
                </c:pt>
                <c:pt idx="69">
                  <c:v>45868</c:v>
                </c:pt>
                <c:pt idx="70">
                  <c:v>45867</c:v>
                </c:pt>
                <c:pt idx="71">
                  <c:v>45866</c:v>
                </c:pt>
                <c:pt idx="72">
                  <c:v>45863</c:v>
                </c:pt>
                <c:pt idx="73">
                  <c:v>45862</c:v>
                </c:pt>
                <c:pt idx="74">
                  <c:v>45861</c:v>
                </c:pt>
                <c:pt idx="75">
                  <c:v>45860</c:v>
                </c:pt>
                <c:pt idx="76">
                  <c:v>45859</c:v>
                </c:pt>
                <c:pt idx="77">
                  <c:v>45856</c:v>
                </c:pt>
                <c:pt idx="78">
                  <c:v>45855</c:v>
                </c:pt>
                <c:pt idx="79">
                  <c:v>45854</c:v>
                </c:pt>
                <c:pt idx="80">
                  <c:v>45853</c:v>
                </c:pt>
                <c:pt idx="81">
                  <c:v>45852</c:v>
                </c:pt>
                <c:pt idx="82">
                  <c:v>45849</c:v>
                </c:pt>
                <c:pt idx="83">
                  <c:v>45848</c:v>
                </c:pt>
                <c:pt idx="84">
                  <c:v>45847</c:v>
                </c:pt>
                <c:pt idx="85">
                  <c:v>45846</c:v>
                </c:pt>
                <c:pt idx="86">
                  <c:v>45845</c:v>
                </c:pt>
                <c:pt idx="87">
                  <c:v>45841</c:v>
                </c:pt>
                <c:pt idx="88">
                  <c:v>45840</c:v>
                </c:pt>
                <c:pt idx="89">
                  <c:v>45839</c:v>
                </c:pt>
                <c:pt idx="90">
                  <c:v>45838</c:v>
                </c:pt>
                <c:pt idx="91">
                  <c:v>45835</c:v>
                </c:pt>
                <c:pt idx="92">
                  <c:v>45834</c:v>
                </c:pt>
                <c:pt idx="93">
                  <c:v>45833</c:v>
                </c:pt>
                <c:pt idx="94">
                  <c:v>45832</c:v>
                </c:pt>
                <c:pt idx="95">
                  <c:v>45831</c:v>
                </c:pt>
                <c:pt idx="96">
                  <c:v>45828</c:v>
                </c:pt>
                <c:pt idx="97">
                  <c:v>45826</c:v>
                </c:pt>
                <c:pt idx="98">
                  <c:v>45825</c:v>
                </c:pt>
                <c:pt idx="99">
                  <c:v>45824</c:v>
                </c:pt>
                <c:pt idx="100">
                  <c:v>45821</c:v>
                </c:pt>
                <c:pt idx="101">
                  <c:v>45820</c:v>
                </c:pt>
                <c:pt idx="102">
                  <c:v>45819</c:v>
                </c:pt>
                <c:pt idx="103">
                  <c:v>45818</c:v>
                </c:pt>
                <c:pt idx="104">
                  <c:v>45817</c:v>
                </c:pt>
                <c:pt idx="105">
                  <c:v>45814</c:v>
                </c:pt>
                <c:pt idx="106">
                  <c:v>45813</c:v>
                </c:pt>
                <c:pt idx="107">
                  <c:v>45812</c:v>
                </c:pt>
                <c:pt idx="108">
                  <c:v>45811</c:v>
                </c:pt>
                <c:pt idx="109">
                  <c:v>45810</c:v>
                </c:pt>
                <c:pt idx="110">
                  <c:v>45807</c:v>
                </c:pt>
                <c:pt idx="111">
                  <c:v>45806</c:v>
                </c:pt>
                <c:pt idx="112">
                  <c:v>45805</c:v>
                </c:pt>
                <c:pt idx="113">
                  <c:v>45804</c:v>
                </c:pt>
                <c:pt idx="114">
                  <c:v>45800</c:v>
                </c:pt>
                <c:pt idx="115">
                  <c:v>45799</c:v>
                </c:pt>
                <c:pt idx="116">
                  <c:v>45798</c:v>
                </c:pt>
                <c:pt idx="117">
                  <c:v>45797</c:v>
                </c:pt>
                <c:pt idx="118">
                  <c:v>45796</c:v>
                </c:pt>
                <c:pt idx="119">
                  <c:v>45793</c:v>
                </c:pt>
                <c:pt idx="120">
                  <c:v>45792</c:v>
                </c:pt>
                <c:pt idx="121">
                  <c:v>45791</c:v>
                </c:pt>
                <c:pt idx="122">
                  <c:v>45790</c:v>
                </c:pt>
                <c:pt idx="123">
                  <c:v>45789</c:v>
                </c:pt>
                <c:pt idx="124">
                  <c:v>45786</c:v>
                </c:pt>
                <c:pt idx="125">
                  <c:v>45785</c:v>
                </c:pt>
                <c:pt idx="126">
                  <c:v>45784</c:v>
                </c:pt>
                <c:pt idx="127">
                  <c:v>45783</c:v>
                </c:pt>
                <c:pt idx="128">
                  <c:v>45782</c:v>
                </c:pt>
                <c:pt idx="129">
                  <c:v>45779</c:v>
                </c:pt>
                <c:pt idx="130">
                  <c:v>45778</c:v>
                </c:pt>
                <c:pt idx="131">
                  <c:v>45777</c:v>
                </c:pt>
                <c:pt idx="132">
                  <c:v>45776</c:v>
                </c:pt>
                <c:pt idx="133">
                  <c:v>45775</c:v>
                </c:pt>
                <c:pt idx="134">
                  <c:v>45772</c:v>
                </c:pt>
                <c:pt idx="135">
                  <c:v>45771</c:v>
                </c:pt>
                <c:pt idx="136">
                  <c:v>45770</c:v>
                </c:pt>
                <c:pt idx="137">
                  <c:v>45769</c:v>
                </c:pt>
                <c:pt idx="138">
                  <c:v>45768</c:v>
                </c:pt>
                <c:pt idx="139">
                  <c:v>45764</c:v>
                </c:pt>
                <c:pt idx="140">
                  <c:v>45763</c:v>
                </c:pt>
                <c:pt idx="141">
                  <c:v>45762</c:v>
                </c:pt>
                <c:pt idx="142">
                  <c:v>45761</c:v>
                </c:pt>
                <c:pt idx="143">
                  <c:v>45758</c:v>
                </c:pt>
                <c:pt idx="144">
                  <c:v>45757</c:v>
                </c:pt>
                <c:pt idx="145">
                  <c:v>45756</c:v>
                </c:pt>
                <c:pt idx="146">
                  <c:v>45755</c:v>
                </c:pt>
                <c:pt idx="147">
                  <c:v>45754</c:v>
                </c:pt>
                <c:pt idx="148">
                  <c:v>45751</c:v>
                </c:pt>
                <c:pt idx="149">
                  <c:v>45750</c:v>
                </c:pt>
                <c:pt idx="150">
                  <c:v>45749</c:v>
                </c:pt>
                <c:pt idx="151">
                  <c:v>45748</c:v>
                </c:pt>
                <c:pt idx="152">
                  <c:v>45747</c:v>
                </c:pt>
                <c:pt idx="153">
                  <c:v>45744</c:v>
                </c:pt>
                <c:pt idx="154">
                  <c:v>45743</c:v>
                </c:pt>
                <c:pt idx="155">
                  <c:v>45742</c:v>
                </c:pt>
                <c:pt idx="156">
                  <c:v>45741</c:v>
                </c:pt>
                <c:pt idx="157">
                  <c:v>45740</c:v>
                </c:pt>
                <c:pt idx="158">
                  <c:v>45737</c:v>
                </c:pt>
                <c:pt idx="159">
                  <c:v>45736</c:v>
                </c:pt>
                <c:pt idx="160">
                  <c:v>45735</c:v>
                </c:pt>
                <c:pt idx="161">
                  <c:v>45734</c:v>
                </c:pt>
                <c:pt idx="162">
                  <c:v>45733</c:v>
                </c:pt>
                <c:pt idx="163">
                  <c:v>45730</c:v>
                </c:pt>
                <c:pt idx="164">
                  <c:v>45729</c:v>
                </c:pt>
                <c:pt idx="165">
                  <c:v>45728</c:v>
                </c:pt>
                <c:pt idx="166">
                  <c:v>45727</c:v>
                </c:pt>
                <c:pt idx="167">
                  <c:v>45726</c:v>
                </c:pt>
                <c:pt idx="168">
                  <c:v>45723</c:v>
                </c:pt>
                <c:pt idx="169">
                  <c:v>45722</c:v>
                </c:pt>
                <c:pt idx="170">
                  <c:v>45721</c:v>
                </c:pt>
                <c:pt idx="171">
                  <c:v>45720</c:v>
                </c:pt>
                <c:pt idx="172">
                  <c:v>45719</c:v>
                </c:pt>
                <c:pt idx="173">
                  <c:v>45716</c:v>
                </c:pt>
                <c:pt idx="174">
                  <c:v>45715</c:v>
                </c:pt>
                <c:pt idx="175">
                  <c:v>45714</c:v>
                </c:pt>
                <c:pt idx="176">
                  <c:v>45713</c:v>
                </c:pt>
                <c:pt idx="177">
                  <c:v>45712</c:v>
                </c:pt>
                <c:pt idx="178">
                  <c:v>45709</c:v>
                </c:pt>
                <c:pt idx="179">
                  <c:v>45708</c:v>
                </c:pt>
                <c:pt idx="180">
                  <c:v>45707</c:v>
                </c:pt>
                <c:pt idx="181">
                  <c:v>45706</c:v>
                </c:pt>
                <c:pt idx="182">
                  <c:v>45702</c:v>
                </c:pt>
                <c:pt idx="183">
                  <c:v>45701</c:v>
                </c:pt>
                <c:pt idx="184">
                  <c:v>45700</c:v>
                </c:pt>
                <c:pt idx="185">
                  <c:v>45699</c:v>
                </c:pt>
                <c:pt idx="186">
                  <c:v>45698</c:v>
                </c:pt>
                <c:pt idx="187">
                  <c:v>45695</c:v>
                </c:pt>
                <c:pt idx="188">
                  <c:v>45694</c:v>
                </c:pt>
                <c:pt idx="189">
                  <c:v>45693</c:v>
                </c:pt>
                <c:pt idx="190">
                  <c:v>45692</c:v>
                </c:pt>
                <c:pt idx="191">
                  <c:v>45691</c:v>
                </c:pt>
                <c:pt idx="192">
                  <c:v>45688</c:v>
                </c:pt>
                <c:pt idx="193">
                  <c:v>45687</c:v>
                </c:pt>
                <c:pt idx="194">
                  <c:v>45686</c:v>
                </c:pt>
                <c:pt idx="195">
                  <c:v>45685</c:v>
                </c:pt>
                <c:pt idx="196">
                  <c:v>45684</c:v>
                </c:pt>
                <c:pt idx="197">
                  <c:v>45681</c:v>
                </c:pt>
                <c:pt idx="198">
                  <c:v>45680</c:v>
                </c:pt>
                <c:pt idx="199">
                  <c:v>45679</c:v>
                </c:pt>
                <c:pt idx="200">
                  <c:v>45678</c:v>
                </c:pt>
                <c:pt idx="201">
                  <c:v>45674</c:v>
                </c:pt>
                <c:pt idx="202">
                  <c:v>45673</c:v>
                </c:pt>
                <c:pt idx="203">
                  <c:v>45672</c:v>
                </c:pt>
                <c:pt idx="204">
                  <c:v>45671</c:v>
                </c:pt>
                <c:pt idx="205">
                  <c:v>45670</c:v>
                </c:pt>
                <c:pt idx="206">
                  <c:v>45667</c:v>
                </c:pt>
                <c:pt idx="207">
                  <c:v>45665</c:v>
                </c:pt>
                <c:pt idx="208">
                  <c:v>45664</c:v>
                </c:pt>
                <c:pt idx="209">
                  <c:v>45663</c:v>
                </c:pt>
                <c:pt idx="210">
                  <c:v>45660</c:v>
                </c:pt>
                <c:pt idx="211">
                  <c:v>45659</c:v>
                </c:pt>
                <c:pt idx="212">
                  <c:v>45657</c:v>
                </c:pt>
                <c:pt idx="213">
                  <c:v>45656</c:v>
                </c:pt>
                <c:pt idx="214">
                  <c:v>45653</c:v>
                </c:pt>
                <c:pt idx="215">
                  <c:v>45652</c:v>
                </c:pt>
                <c:pt idx="216">
                  <c:v>45650</c:v>
                </c:pt>
                <c:pt idx="217">
                  <c:v>45649</c:v>
                </c:pt>
                <c:pt idx="218">
                  <c:v>45646</c:v>
                </c:pt>
                <c:pt idx="219">
                  <c:v>45645</c:v>
                </c:pt>
                <c:pt idx="220">
                  <c:v>45644</c:v>
                </c:pt>
                <c:pt idx="221">
                  <c:v>45643</c:v>
                </c:pt>
                <c:pt idx="222">
                  <c:v>45642</c:v>
                </c:pt>
                <c:pt idx="223">
                  <c:v>45639</c:v>
                </c:pt>
                <c:pt idx="224">
                  <c:v>45638</c:v>
                </c:pt>
                <c:pt idx="225">
                  <c:v>45637</c:v>
                </c:pt>
                <c:pt idx="226">
                  <c:v>45636</c:v>
                </c:pt>
                <c:pt idx="227">
                  <c:v>45635</c:v>
                </c:pt>
                <c:pt idx="228">
                  <c:v>45632</c:v>
                </c:pt>
                <c:pt idx="229">
                  <c:v>45631</c:v>
                </c:pt>
                <c:pt idx="230">
                  <c:v>45630</c:v>
                </c:pt>
                <c:pt idx="231">
                  <c:v>45629</c:v>
                </c:pt>
                <c:pt idx="232">
                  <c:v>45628</c:v>
                </c:pt>
                <c:pt idx="233">
                  <c:v>45625</c:v>
                </c:pt>
                <c:pt idx="234">
                  <c:v>45623</c:v>
                </c:pt>
                <c:pt idx="235">
                  <c:v>45622</c:v>
                </c:pt>
                <c:pt idx="236">
                  <c:v>45621</c:v>
                </c:pt>
                <c:pt idx="237">
                  <c:v>45618</c:v>
                </c:pt>
                <c:pt idx="238">
                  <c:v>45617</c:v>
                </c:pt>
                <c:pt idx="239">
                  <c:v>45616</c:v>
                </c:pt>
                <c:pt idx="240">
                  <c:v>45615</c:v>
                </c:pt>
                <c:pt idx="241">
                  <c:v>45614</c:v>
                </c:pt>
                <c:pt idx="242">
                  <c:v>45611</c:v>
                </c:pt>
                <c:pt idx="243">
                  <c:v>45610</c:v>
                </c:pt>
                <c:pt idx="244">
                  <c:v>45609</c:v>
                </c:pt>
                <c:pt idx="245">
                  <c:v>45608</c:v>
                </c:pt>
                <c:pt idx="246">
                  <c:v>45607</c:v>
                </c:pt>
                <c:pt idx="247">
                  <c:v>45604</c:v>
                </c:pt>
                <c:pt idx="248">
                  <c:v>45603</c:v>
                </c:pt>
                <c:pt idx="249">
                  <c:v>45602</c:v>
                </c:pt>
              </c:numCache>
            </c:numRef>
          </c:cat>
          <c:val>
            <c:numRef>
              <c:f>Graphs!$R$114:$R$363</c:f>
              <c:numCache>
                <c:formatCode>#,##0</c:formatCode>
                <c:ptCount val="250"/>
                <c:pt idx="0">
                  <c:v>5962215</c:v>
                </c:pt>
                <c:pt idx="1">
                  <c:v>9139300</c:v>
                </c:pt>
                <c:pt idx="2">
                  <c:v>16518800</c:v>
                </c:pt>
                <c:pt idx="3">
                  <c:v>20976600</c:v>
                </c:pt>
                <c:pt idx="4">
                  <c:v>3732000</c:v>
                </c:pt>
                <c:pt idx="5">
                  <c:v>3463200</c:v>
                </c:pt>
                <c:pt idx="6">
                  <c:v>3234000</c:v>
                </c:pt>
                <c:pt idx="7">
                  <c:v>3299600</c:v>
                </c:pt>
                <c:pt idx="8">
                  <c:v>3323900</c:v>
                </c:pt>
                <c:pt idx="9">
                  <c:v>2944000</c:v>
                </c:pt>
                <c:pt idx="10">
                  <c:v>5017200</c:v>
                </c:pt>
                <c:pt idx="11">
                  <c:v>3006500</c:v>
                </c:pt>
                <c:pt idx="12">
                  <c:v>4975600</c:v>
                </c:pt>
                <c:pt idx="13">
                  <c:v>4183500</c:v>
                </c:pt>
                <c:pt idx="14">
                  <c:v>5197800</c:v>
                </c:pt>
                <c:pt idx="15">
                  <c:v>5385000</c:v>
                </c:pt>
                <c:pt idx="16">
                  <c:v>5292000</c:v>
                </c:pt>
                <c:pt idx="17">
                  <c:v>4828100</c:v>
                </c:pt>
                <c:pt idx="18">
                  <c:v>9382800</c:v>
                </c:pt>
                <c:pt idx="19">
                  <c:v>5530700</c:v>
                </c:pt>
                <c:pt idx="20">
                  <c:v>12033900</c:v>
                </c:pt>
                <c:pt idx="21">
                  <c:v>10159200</c:v>
                </c:pt>
                <c:pt idx="22">
                  <c:v>15314800</c:v>
                </c:pt>
                <c:pt idx="23">
                  <c:v>15197700</c:v>
                </c:pt>
                <c:pt idx="24">
                  <c:v>3076600</c:v>
                </c:pt>
                <c:pt idx="25">
                  <c:v>4792800</c:v>
                </c:pt>
                <c:pt idx="26">
                  <c:v>2179000</c:v>
                </c:pt>
                <c:pt idx="27">
                  <c:v>5960100</c:v>
                </c:pt>
                <c:pt idx="28">
                  <c:v>5518200</c:v>
                </c:pt>
                <c:pt idx="29">
                  <c:v>6716900</c:v>
                </c:pt>
                <c:pt idx="30">
                  <c:v>6816600</c:v>
                </c:pt>
                <c:pt idx="31">
                  <c:v>9554300</c:v>
                </c:pt>
                <c:pt idx="32">
                  <c:v>11947700</c:v>
                </c:pt>
                <c:pt idx="33">
                  <c:v>15350700</c:v>
                </c:pt>
                <c:pt idx="34">
                  <c:v>13768400</c:v>
                </c:pt>
                <c:pt idx="35">
                  <c:v>2796700</c:v>
                </c:pt>
                <c:pt idx="36">
                  <c:v>2002700</c:v>
                </c:pt>
                <c:pt idx="37">
                  <c:v>3275700</c:v>
                </c:pt>
                <c:pt idx="38">
                  <c:v>1920800</c:v>
                </c:pt>
                <c:pt idx="39">
                  <c:v>1709700</c:v>
                </c:pt>
                <c:pt idx="40">
                  <c:v>1998800</c:v>
                </c:pt>
                <c:pt idx="41">
                  <c:v>1158700</c:v>
                </c:pt>
                <c:pt idx="42">
                  <c:v>2074200</c:v>
                </c:pt>
                <c:pt idx="43">
                  <c:v>1548600</c:v>
                </c:pt>
                <c:pt idx="44">
                  <c:v>1841000</c:v>
                </c:pt>
                <c:pt idx="45">
                  <c:v>2588800</c:v>
                </c:pt>
                <c:pt idx="46">
                  <c:v>4051200</c:v>
                </c:pt>
                <c:pt idx="47">
                  <c:v>2384100</c:v>
                </c:pt>
                <c:pt idx="48">
                  <c:v>3124400</c:v>
                </c:pt>
                <c:pt idx="49">
                  <c:v>4140300</c:v>
                </c:pt>
                <c:pt idx="50">
                  <c:v>6037600</c:v>
                </c:pt>
                <c:pt idx="51">
                  <c:v>4901800</c:v>
                </c:pt>
                <c:pt idx="52">
                  <c:v>4319400</c:v>
                </c:pt>
                <c:pt idx="53">
                  <c:v>1448600</c:v>
                </c:pt>
                <c:pt idx="54">
                  <c:v>2382200</c:v>
                </c:pt>
                <c:pt idx="55">
                  <c:v>4118000</c:v>
                </c:pt>
                <c:pt idx="56">
                  <c:v>2892100</c:v>
                </c:pt>
                <c:pt idx="57">
                  <c:v>3172200</c:v>
                </c:pt>
                <c:pt idx="58">
                  <c:v>3108100</c:v>
                </c:pt>
                <c:pt idx="59">
                  <c:v>3319500</c:v>
                </c:pt>
                <c:pt idx="60">
                  <c:v>2516300</c:v>
                </c:pt>
                <c:pt idx="61">
                  <c:v>3004000</c:v>
                </c:pt>
                <c:pt idx="62">
                  <c:v>2744100</c:v>
                </c:pt>
                <c:pt idx="63">
                  <c:v>3482600</c:v>
                </c:pt>
                <c:pt idx="64">
                  <c:v>3120900</c:v>
                </c:pt>
                <c:pt idx="65">
                  <c:v>4798600</c:v>
                </c:pt>
                <c:pt idx="66">
                  <c:v>3565700</c:v>
                </c:pt>
                <c:pt idx="67">
                  <c:v>10651000</c:v>
                </c:pt>
                <c:pt idx="68">
                  <c:v>7619600</c:v>
                </c:pt>
                <c:pt idx="69">
                  <c:v>2233400</c:v>
                </c:pt>
                <c:pt idx="70">
                  <c:v>2687000</c:v>
                </c:pt>
                <c:pt idx="71">
                  <c:v>2591500</c:v>
                </c:pt>
                <c:pt idx="72">
                  <c:v>3000500</c:v>
                </c:pt>
                <c:pt idx="73">
                  <c:v>4918900</c:v>
                </c:pt>
                <c:pt idx="74">
                  <c:v>5796800</c:v>
                </c:pt>
                <c:pt idx="75">
                  <c:v>2522000</c:v>
                </c:pt>
                <c:pt idx="76">
                  <c:v>2683100</c:v>
                </c:pt>
                <c:pt idx="77">
                  <c:v>2486300</c:v>
                </c:pt>
                <c:pt idx="78">
                  <c:v>4289900</c:v>
                </c:pt>
                <c:pt idx="79">
                  <c:v>1936200</c:v>
                </c:pt>
                <c:pt idx="80">
                  <c:v>3311000</c:v>
                </c:pt>
                <c:pt idx="81">
                  <c:v>2735000</c:v>
                </c:pt>
                <c:pt idx="82">
                  <c:v>2859200</c:v>
                </c:pt>
                <c:pt idx="83">
                  <c:v>2368800</c:v>
                </c:pt>
                <c:pt idx="84">
                  <c:v>3890000</c:v>
                </c:pt>
                <c:pt idx="85">
                  <c:v>5062600</c:v>
                </c:pt>
                <c:pt idx="86">
                  <c:v>3608400</c:v>
                </c:pt>
                <c:pt idx="87">
                  <c:v>4647900</c:v>
                </c:pt>
                <c:pt idx="88">
                  <c:v>3654900</c:v>
                </c:pt>
                <c:pt idx="89">
                  <c:v>3962000</c:v>
                </c:pt>
                <c:pt idx="90">
                  <c:v>4496000</c:v>
                </c:pt>
                <c:pt idx="91">
                  <c:v>31480300</c:v>
                </c:pt>
                <c:pt idx="92">
                  <c:v>3805000</c:v>
                </c:pt>
                <c:pt idx="93">
                  <c:v>2962800</c:v>
                </c:pt>
                <c:pt idx="94">
                  <c:v>3922700</c:v>
                </c:pt>
                <c:pt idx="95">
                  <c:v>3515600</c:v>
                </c:pt>
                <c:pt idx="96">
                  <c:v>4200100</c:v>
                </c:pt>
                <c:pt idx="97">
                  <c:v>3123000</c:v>
                </c:pt>
                <c:pt idx="98">
                  <c:v>3297000</c:v>
                </c:pt>
                <c:pt idx="99">
                  <c:v>2190300</c:v>
                </c:pt>
                <c:pt idx="100">
                  <c:v>2921600</c:v>
                </c:pt>
                <c:pt idx="101">
                  <c:v>2452800</c:v>
                </c:pt>
                <c:pt idx="102">
                  <c:v>3612800</c:v>
                </c:pt>
                <c:pt idx="103">
                  <c:v>3936700</c:v>
                </c:pt>
                <c:pt idx="104">
                  <c:v>1887900</c:v>
                </c:pt>
                <c:pt idx="105">
                  <c:v>3365000</c:v>
                </c:pt>
                <c:pt idx="106">
                  <c:v>2578400</c:v>
                </c:pt>
                <c:pt idx="107">
                  <c:v>1634200</c:v>
                </c:pt>
                <c:pt idx="108">
                  <c:v>1715300</c:v>
                </c:pt>
                <c:pt idx="109">
                  <c:v>3764900</c:v>
                </c:pt>
                <c:pt idx="110">
                  <c:v>3683100</c:v>
                </c:pt>
                <c:pt idx="111">
                  <c:v>4266000</c:v>
                </c:pt>
                <c:pt idx="112">
                  <c:v>5511300</c:v>
                </c:pt>
                <c:pt idx="113">
                  <c:v>5994700</c:v>
                </c:pt>
                <c:pt idx="114">
                  <c:v>3926500</c:v>
                </c:pt>
                <c:pt idx="115">
                  <c:v>1807400</c:v>
                </c:pt>
                <c:pt idx="116">
                  <c:v>2684400</c:v>
                </c:pt>
                <c:pt idx="117">
                  <c:v>2004500</c:v>
                </c:pt>
                <c:pt idx="118">
                  <c:v>1834400</c:v>
                </c:pt>
                <c:pt idx="119">
                  <c:v>2322700</c:v>
                </c:pt>
                <c:pt idx="120">
                  <c:v>2308400</c:v>
                </c:pt>
                <c:pt idx="121">
                  <c:v>1934000</c:v>
                </c:pt>
                <c:pt idx="122">
                  <c:v>2308000</c:v>
                </c:pt>
                <c:pt idx="123">
                  <c:v>3236600</c:v>
                </c:pt>
                <c:pt idx="124">
                  <c:v>2699900</c:v>
                </c:pt>
                <c:pt idx="125">
                  <c:v>2830300</c:v>
                </c:pt>
                <c:pt idx="126">
                  <c:v>2129000</c:v>
                </c:pt>
                <c:pt idx="127">
                  <c:v>2314700</c:v>
                </c:pt>
                <c:pt idx="128">
                  <c:v>3127700</c:v>
                </c:pt>
                <c:pt idx="129">
                  <c:v>4861500</c:v>
                </c:pt>
                <c:pt idx="130">
                  <c:v>2815400</c:v>
                </c:pt>
                <c:pt idx="131">
                  <c:v>1749500</c:v>
                </c:pt>
                <c:pt idx="132">
                  <c:v>1338600</c:v>
                </c:pt>
                <c:pt idx="133">
                  <c:v>3132600</c:v>
                </c:pt>
                <c:pt idx="134">
                  <c:v>1976900</c:v>
                </c:pt>
                <c:pt idx="135">
                  <c:v>949200</c:v>
                </c:pt>
                <c:pt idx="136">
                  <c:v>1851800</c:v>
                </c:pt>
                <c:pt idx="137">
                  <c:v>1799200</c:v>
                </c:pt>
                <c:pt idx="138">
                  <c:v>1696100</c:v>
                </c:pt>
                <c:pt idx="139">
                  <c:v>2123800</c:v>
                </c:pt>
                <c:pt idx="140">
                  <c:v>3630600</c:v>
                </c:pt>
                <c:pt idx="141">
                  <c:v>3808600</c:v>
                </c:pt>
                <c:pt idx="142">
                  <c:v>4579100</c:v>
                </c:pt>
                <c:pt idx="143">
                  <c:v>3572800</c:v>
                </c:pt>
                <c:pt idx="144">
                  <c:v>4267400</c:v>
                </c:pt>
                <c:pt idx="145">
                  <c:v>4081700</c:v>
                </c:pt>
                <c:pt idx="146">
                  <c:v>2605800</c:v>
                </c:pt>
                <c:pt idx="147">
                  <c:v>3434300</c:v>
                </c:pt>
                <c:pt idx="148">
                  <c:v>3342300</c:v>
                </c:pt>
                <c:pt idx="149">
                  <c:v>2620400</c:v>
                </c:pt>
                <c:pt idx="150">
                  <c:v>3025100</c:v>
                </c:pt>
                <c:pt idx="151">
                  <c:v>4486600</c:v>
                </c:pt>
                <c:pt idx="152">
                  <c:v>3972200</c:v>
                </c:pt>
                <c:pt idx="153">
                  <c:v>2720100</c:v>
                </c:pt>
                <c:pt idx="154">
                  <c:v>3331200</c:v>
                </c:pt>
                <c:pt idx="155">
                  <c:v>2554400</c:v>
                </c:pt>
                <c:pt idx="156">
                  <c:v>3435300</c:v>
                </c:pt>
                <c:pt idx="157">
                  <c:v>1901600</c:v>
                </c:pt>
                <c:pt idx="158">
                  <c:v>4814000</c:v>
                </c:pt>
                <c:pt idx="159">
                  <c:v>3417600</c:v>
                </c:pt>
                <c:pt idx="160">
                  <c:v>2477700</c:v>
                </c:pt>
                <c:pt idx="161">
                  <c:v>2678200</c:v>
                </c:pt>
                <c:pt idx="162">
                  <c:v>5279500</c:v>
                </c:pt>
                <c:pt idx="163">
                  <c:v>2536900</c:v>
                </c:pt>
                <c:pt idx="164">
                  <c:v>2019900</c:v>
                </c:pt>
                <c:pt idx="165">
                  <c:v>3669900</c:v>
                </c:pt>
                <c:pt idx="166">
                  <c:v>2777400</c:v>
                </c:pt>
                <c:pt idx="167">
                  <c:v>4098800</c:v>
                </c:pt>
                <c:pt idx="168">
                  <c:v>4566500</c:v>
                </c:pt>
                <c:pt idx="169">
                  <c:v>3341700</c:v>
                </c:pt>
                <c:pt idx="170">
                  <c:v>3803900</c:v>
                </c:pt>
                <c:pt idx="171">
                  <c:v>6352400</c:v>
                </c:pt>
                <c:pt idx="172">
                  <c:v>6746400</c:v>
                </c:pt>
                <c:pt idx="173">
                  <c:v>9743100</c:v>
                </c:pt>
                <c:pt idx="174">
                  <c:v>4343900</c:v>
                </c:pt>
                <c:pt idx="175">
                  <c:v>3155700</c:v>
                </c:pt>
                <c:pt idx="176">
                  <c:v>6142600</c:v>
                </c:pt>
                <c:pt idx="177">
                  <c:v>4520600</c:v>
                </c:pt>
                <c:pt idx="178">
                  <c:v>4187700</c:v>
                </c:pt>
                <c:pt idx="179">
                  <c:v>3019500</c:v>
                </c:pt>
                <c:pt idx="180">
                  <c:v>2291200</c:v>
                </c:pt>
                <c:pt idx="181">
                  <c:v>4069800</c:v>
                </c:pt>
                <c:pt idx="182">
                  <c:v>4807300</c:v>
                </c:pt>
                <c:pt idx="183">
                  <c:v>4042600</c:v>
                </c:pt>
                <c:pt idx="184">
                  <c:v>3476400</c:v>
                </c:pt>
                <c:pt idx="185">
                  <c:v>2458600</c:v>
                </c:pt>
                <c:pt idx="186">
                  <c:v>6267300</c:v>
                </c:pt>
                <c:pt idx="187">
                  <c:v>2668600</c:v>
                </c:pt>
                <c:pt idx="188">
                  <c:v>2785900</c:v>
                </c:pt>
                <c:pt idx="189">
                  <c:v>5878100</c:v>
                </c:pt>
                <c:pt idx="190">
                  <c:v>12016900</c:v>
                </c:pt>
                <c:pt idx="191">
                  <c:v>4467200</c:v>
                </c:pt>
                <c:pt idx="192">
                  <c:v>6567300</c:v>
                </c:pt>
                <c:pt idx="193">
                  <c:v>15661300</c:v>
                </c:pt>
                <c:pt idx="194">
                  <c:v>2831400</c:v>
                </c:pt>
                <c:pt idx="195">
                  <c:v>2745100</c:v>
                </c:pt>
                <c:pt idx="196">
                  <c:v>3067400</c:v>
                </c:pt>
                <c:pt idx="197">
                  <c:v>3241300</c:v>
                </c:pt>
                <c:pt idx="198">
                  <c:v>2359600</c:v>
                </c:pt>
                <c:pt idx="199">
                  <c:v>3323400</c:v>
                </c:pt>
                <c:pt idx="200">
                  <c:v>4155000</c:v>
                </c:pt>
                <c:pt idx="201">
                  <c:v>1982400</c:v>
                </c:pt>
                <c:pt idx="202">
                  <c:v>2959500</c:v>
                </c:pt>
                <c:pt idx="203">
                  <c:v>4287600</c:v>
                </c:pt>
                <c:pt idx="204">
                  <c:v>3742700</c:v>
                </c:pt>
                <c:pt idx="205">
                  <c:v>3311800</c:v>
                </c:pt>
                <c:pt idx="206">
                  <c:v>3772000</c:v>
                </c:pt>
                <c:pt idx="207">
                  <c:v>4239600</c:v>
                </c:pt>
                <c:pt idx="208">
                  <c:v>4144000</c:v>
                </c:pt>
                <c:pt idx="209">
                  <c:v>4201900</c:v>
                </c:pt>
                <c:pt idx="210">
                  <c:v>8797900</c:v>
                </c:pt>
                <c:pt idx="211">
                  <c:v>11433200</c:v>
                </c:pt>
                <c:pt idx="212">
                  <c:v>2664700</c:v>
                </c:pt>
                <c:pt idx="213">
                  <c:v>3020900</c:v>
                </c:pt>
                <c:pt idx="214">
                  <c:v>2795700</c:v>
                </c:pt>
                <c:pt idx="215">
                  <c:v>2525100</c:v>
                </c:pt>
                <c:pt idx="216">
                  <c:v>1013200</c:v>
                </c:pt>
                <c:pt idx="217">
                  <c:v>1631500</c:v>
                </c:pt>
                <c:pt idx="218">
                  <c:v>8899600</c:v>
                </c:pt>
                <c:pt idx="219">
                  <c:v>3331200</c:v>
                </c:pt>
                <c:pt idx="220">
                  <c:v>4235700</c:v>
                </c:pt>
                <c:pt idx="221">
                  <c:v>3710900</c:v>
                </c:pt>
                <c:pt idx="222">
                  <c:v>2980100</c:v>
                </c:pt>
                <c:pt idx="223">
                  <c:v>2335600</c:v>
                </c:pt>
                <c:pt idx="224">
                  <c:v>4026900</c:v>
                </c:pt>
                <c:pt idx="225">
                  <c:v>3697500</c:v>
                </c:pt>
                <c:pt idx="226">
                  <c:v>4450000</c:v>
                </c:pt>
                <c:pt idx="227">
                  <c:v>2403200</c:v>
                </c:pt>
                <c:pt idx="228">
                  <c:v>2475700</c:v>
                </c:pt>
                <c:pt idx="229">
                  <c:v>2096400</c:v>
                </c:pt>
                <c:pt idx="230">
                  <c:v>2406900</c:v>
                </c:pt>
                <c:pt idx="231">
                  <c:v>3378500</c:v>
                </c:pt>
                <c:pt idx="232">
                  <c:v>3684600</c:v>
                </c:pt>
                <c:pt idx="233">
                  <c:v>1525700</c:v>
                </c:pt>
                <c:pt idx="234">
                  <c:v>2227400</c:v>
                </c:pt>
                <c:pt idx="235">
                  <c:v>3427600</c:v>
                </c:pt>
                <c:pt idx="236">
                  <c:v>3311100</c:v>
                </c:pt>
                <c:pt idx="237">
                  <c:v>3342900</c:v>
                </c:pt>
                <c:pt idx="238">
                  <c:v>4091200</c:v>
                </c:pt>
                <c:pt idx="239">
                  <c:v>5230000</c:v>
                </c:pt>
                <c:pt idx="240">
                  <c:v>5586300</c:v>
                </c:pt>
                <c:pt idx="241">
                  <c:v>3901800</c:v>
                </c:pt>
                <c:pt idx="242">
                  <c:v>3007200</c:v>
                </c:pt>
                <c:pt idx="243">
                  <c:v>2125100</c:v>
                </c:pt>
                <c:pt idx="244">
                  <c:v>1986200</c:v>
                </c:pt>
                <c:pt idx="245">
                  <c:v>2420000</c:v>
                </c:pt>
                <c:pt idx="246">
                  <c:v>3638600</c:v>
                </c:pt>
                <c:pt idx="247">
                  <c:v>2944600</c:v>
                </c:pt>
                <c:pt idx="248">
                  <c:v>3479000</c:v>
                </c:pt>
                <c:pt idx="249">
                  <c:v>7348000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A6-4EE7-9111-95859D29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5816319"/>
        <c:axId val="275812959"/>
      </c:barChart>
      <c:scatterChart>
        <c:scatterStyle val="smoothMarker"/>
        <c:varyColors val="0"/>
        <c:ser>
          <c:idx val="0"/>
          <c:order val="0"/>
          <c:tx>
            <c:strRef>
              <c:f>Graphs!$Q$113</c:f>
              <c:strCache>
                <c:ptCount val="1"/>
                <c:pt idx="0">
                  <c:v>Close 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Graphs!$P$114:$P$363</c:f>
              <c:numCache>
                <c:formatCode>d\-mmm\-yy</c:formatCode>
                <c:ptCount val="250"/>
                <c:pt idx="0">
                  <c:v>45966</c:v>
                </c:pt>
                <c:pt idx="1">
                  <c:v>45965</c:v>
                </c:pt>
                <c:pt idx="2">
                  <c:v>45964</c:v>
                </c:pt>
                <c:pt idx="3">
                  <c:v>45961</c:v>
                </c:pt>
                <c:pt idx="4">
                  <c:v>45960</c:v>
                </c:pt>
                <c:pt idx="5">
                  <c:v>45959</c:v>
                </c:pt>
                <c:pt idx="6">
                  <c:v>45958</c:v>
                </c:pt>
                <c:pt idx="7">
                  <c:v>45957</c:v>
                </c:pt>
                <c:pt idx="8">
                  <c:v>45954</c:v>
                </c:pt>
                <c:pt idx="9">
                  <c:v>45953</c:v>
                </c:pt>
                <c:pt idx="10">
                  <c:v>45952</c:v>
                </c:pt>
                <c:pt idx="11">
                  <c:v>45951</c:v>
                </c:pt>
                <c:pt idx="12">
                  <c:v>45950</c:v>
                </c:pt>
                <c:pt idx="13">
                  <c:v>45947</c:v>
                </c:pt>
                <c:pt idx="14">
                  <c:v>45946</c:v>
                </c:pt>
                <c:pt idx="15">
                  <c:v>45945</c:v>
                </c:pt>
                <c:pt idx="16">
                  <c:v>45944</c:v>
                </c:pt>
                <c:pt idx="17">
                  <c:v>45943</c:v>
                </c:pt>
                <c:pt idx="18">
                  <c:v>45940</c:v>
                </c:pt>
                <c:pt idx="19">
                  <c:v>45939</c:v>
                </c:pt>
                <c:pt idx="20">
                  <c:v>45938</c:v>
                </c:pt>
                <c:pt idx="21">
                  <c:v>45937</c:v>
                </c:pt>
                <c:pt idx="22">
                  <c:v>45936</c:v>
                </c:pt>
                <c:pt idx="23">
                  <c:v>45933</c:v>
                </c:pt>
                <c:pt idx="24">
                  <c:v>45932</c:v>
                </c:pt>
                <c:pt idx="25">
                  <c:v>45931</c:v>
                </c:pt>
                <c:pt idx="26">
                  <c:v>45930</c:v>
                </c:pt>
                <c:pt idx="27">
                  <c:v>45929</c:v>
                </c:pt>
                <c:pt idx="28">
                  <c:v>45926</c:v>
                </c:pt>
                <c:pt idx="29">
                  <c:v>45925</c:v>
                </c:pt>
                <c:pt idx="30">
                  <c:v>45924</c:v>
                </c:pt>
                <c:pt idx="31">
                  <c:v>45923</c:v>
                </c:pt>
                <c:pt idx="32">
                  <c:v>45922</c:v>
                </c:pt>
                <c:pt idx="33">
                  <c:v>45919</c:v>
                </c:pt>
                <c:pt idx="34">
                  <c:v>45918</c:v>
                </c:pt>
                <c:pt idx="35">
                  <c:v>45917</c:v>
                </c:pt>
                <c:pt idx="36">
                  <c:v>45916</c:v>
                </c:pt>
                <c:pt idx="37">
                  <c:v>45915</c:v>
                </c:pt>
                <c:pt idx="38">
                  <c:v>45912</c:v>
                </c:pt>
                <c:pt idx="39">
                  <c:v>45911</c:v>
                </c:pt>
                <c:pt idx="40">
                  <c:v>45910</c:v>
                </c:pt>
                <c:pt idx="41">
                  <c:v>45909</c:v>
                </c:pt>
                <c:pt idx="42">
                  <c:v>45908</c:v>
                </c:pt>
                <c:pt idx="43">
                  <c:v>45905</c:v>
                </c:pt>
                <c:pt idx="44">
                  <c:v>45904</c:v>
                </c:pt>
                <c:pt idx="45">
                  <c:v>45903</c:v>
                </c:pt>
                <c:pt idx="46">
                  <c:v>45902</c:v>
                </c:pt>
                <c:pt idx="47">
                  <c:v>45898</c:v>
                </c:pt>
                <c:pt idx="48">
                  <c:v>45897</c:v>
                </c:pt>
                <c:pt idx="49">
                  <c:v>45896</c:v>
                </c:pt>
                <c:pt idx="50">
                  <c:v>45895</c:v>
                </c:pt>
                <c:pt idx="51">
                  <c:v>45894</c:v>
                </c:pt>
                <c:pt idx="52">
                  <c:v>45891</c:v>
                </c:pt>
                <c:pt idx="53">
                  <c:v>45890</c:v>
                </c:pt>
                <c:pt idx="54">
                  <c:v>45889</c:v>
                </c:pt>
                <c:pt idx="55">
                  <c:v>45888</c:v>
                </c:pt>
                <c:pt idx="56">
                  <c:v>45887</c:v>
                </c:pt>
                <c:pt idx="57">
                  <c:v>45884</c:v>
                </c:pt>
                <c:pt idx="58">
                  <c:v>45883</c:v>
                </c:pt>
                <c:pt idx="59">
                  <c:v>45882</c:v>
                </c:pt>
                <c:pt idx="60">
                  <c:v>45881</c:v>
                </c:pt>
                <c:pt idx="61">
                  <c:v>45880</c:v>
                </c:pt>
                <c:pt idx="62">
                  <c:v>45877</c:v>
                </c:pt>
                <c:pt idx="63">
                  <c:v>45876</c:v>
                </c:pt>
                <c:pt idx="64">
                  <c:v>45875</c:v>
                </c:pt>
                <c:pt idx="65">
                  <c:v>45874</c:v>
                </c:pt>
                <c:pt idx="66">
                  <c:v>45873</c:v>
                </c:pt>
                <c:pt idx="67">
                  <c:v>45870</c:v>
                </c:pt>
                <c:pt idx="68">
                  <c:v>45869</c:v>
                </c:pt>
                <c:pt idx="69">
                  <c:v>45868</c:v>
                </c:pt>
                <c:pt idx="70">
                  <c:v>45867</c:v>
                </c:pt>
                <c:pt idx="71">
                  <c:v>45866</c:v>
                </c:pt>
                <c:pt idx="72">
                  <c:v>45863</c:v>
                </c:pt>
                <c:pt idx="73">
                  <c:v>45862</c:v>
                </c:pt>
                <c:pt idx="74">
                  <c:v>45861</c:v>
                </c:pt>
                <c:pt idx="75">
                  <c:v>45860</c:v>
                </c:pt>
                <c:pt idx="76">
                  <c:v>45859</c:v>
                </c:pt>
                <c:pt idx="77">
                  <c:v>45856</c:v>
                </c:pt>
                <c:pt idx="78">
                  <c:v>45855</c:v>
                </c:pt>
                <c:pt idx="79">
                  <c:v>45854</c:v>
                </c:pt>
                <c:pt idx="80">
                  <c:v>45853</c:v>
                </c:pt>
                <c:pt idx="81">
                  <c:v>45852</c:v>
                </c:pt>
                <c:pt idx="82">
                  <c:v>45849</c:v>
                </c:pt>
                <c:pt idx="83">
                  <c:v>45848</c:v>
                </c:pt>
                <c:pt idx="84">
                  <c:v>45847</c:v>
                </c:pt>
                <c:pt idx="85">
                  <c:v>45846</c:v>
                </c:pt>
                <c:pt idx="86">
                  <c:v>45845</c:v>
                </c:pt>
                <c:pt idx="87">
                  <c:v>45841</c:v>
                </c:pt>
                <c:pt idx="88">
                  <c:v>45840</c:v>
                </c:pt>
                <c:pt idx="89">
                  <c:v>45839</c:v>
                </c:pt>
                <c:pt idx="90">
                  <c:v>45838</c:v>
                </c:pt>
                <c:pt idx="91">
                  <c:v>45835</c:v>
                </c:pt>
                <c:pt idx="92">
                  <c:v>45834</c:v>
                </c:pt>
                <c:pt idx="93">
                  <c:v>45833</c:v>
                </c:pt>
                <c:pt idx="94">
                  <c:v>45832</c:v>
                </c:pt>
                <c:pt idx="95">
                  <c:v>45831</c:v>
                </c:pt>
                <c:pt idx="96">
                  <c:v>45828</c:v>
                </c:pt>
                <c:pt idx="97">
                  <c:v>45826</c:v>
                </c:pt>
                <c:pt idx="98">
                  <c:v>45825</c:v>
                </c:pt>
                <c:pt idx="99">
                  <c:v>45824</c:v>
                </c:pt>
                <c:pt idx="100">
                  <c:v>45821</c:v>
                </c:pt>
                <c:pt idx="101">
                  <c:v>45820</c:v>
                </c:pt>
                <c:pt idx="102">
                  <c:v>45819</c:v>
                </c:pt>
                <c:pt idx="103">
                  <c:v>45818</c:v>
                </c:pt>
                <c:pt idx="104">
                  <c:v>45817</c:v>
                </c:pt>
                <c:pt idx="105">
                  <c:v>45814</c:v>
                </c:pt>
                <c:pt idx="106">
                  <c:v>45813</c:v>
                </c:pt>
                <c:pt idx="107">
                  <c:v>45812</c:v>
                </c:pt>
                <c:pt idx="108">
                  <c:v>45811</c:v>
                </c:pt>
                <c:pt idx="109">
                  <c:v>45810</c:v>
                </c:pt>
                <c:pt idx="110">
                  <c:v>45807</c:v>
                </c:pt>
                <c:pt idx="111">
                  <c:v>45806</c:v>
                </c:pt>
                <c:pt idx="112">
                  <c:v>45805</c:v>
                </c:pt>
                <c:pt idx="113">
                  <c:v>45804</c:v>
                </c:pt>
                <c:pt idx="114">
                  <c:v>45800</c:v>
                </c:pt>
                <c:pt idx="115">
                  <c:v>45799</c:v>
                </c:pt>
                <c:pt idx="116">
                  <c:v>45798</c:v>
                </c:pt>
                <c:pt idx="117">
                  <c:v>45797</c:v>
                </c:pt>
                <c:pt idx="118">
                  <c:v>45796</c:v>
                </c:pt>
                <c:pt idx="119">
                  <c:v>45793</c:v>
                </c:pt>
                <c:pt idx="120">
                  <c:v>45792</c:v>
                </c:pt>
                <c:pt idx="121">
                  <c:v>45791</c:v>
                </c:pt>
                <c:pt idx="122">
                  <c:v>45790</c:v>
                </c:pt>
                <c:pt idx="123">
                  <c:v>45789</c:v>
                </c:pt>
                <c:pt idx="124">
                  <c:v>45786</c:v>
                </c:pt>
                <c:pt idx="125">
                  <c:v>45785</c:v>
                </c:pt>
                <c:pt idx="126">
                  <c:v>45784</c:v>
                </c:pt>
                <c:pt idx="127">
                  <c:v>45783</c:v>
                </c:pt>
                <c:pt idx="128">
                  <c:v>45782</c:v>
                </c:pt>
                <c:pt idx="129">
                  <c:v>45779</c:v>
                </c:pt>
                <c:pt idx="130">
                  <c:v>45778</c:v>
                </c:pt>
                <c:pt idx="131">
                  <c:v>45777</c:v>
                </c:pt>
                <c:pt idx="132">
                  <c:v>45776</c:v>
                </c:pt>
                <c:pt idx="133">
                  <c:v>45775</c:v>
                </c:pt>
                <c:pt idx="134">
                  <c:v>45772</c:v>
                </c:pt>
                <c:pt idx="135">
                  <c:v>45771</c:v>
                </c:pt>
                <c:pt idx="136">
                  <c:v>45770</c:v>
                </c:pt>
                <c:pt idx="137">
                  <c:v>45769</c:v>
                </c:pt>
                <c:pt idx="138">
                  <c:v>45768</c:v>
                </c:pt>
                <c:pt idx="139">
                  <c:v>45764</c:v>
                </c:pt>
                <c:pt idx="140">
                  <c:v>45763</c:v>
                </c:pt>
                <c:pt idx="141">
                  <c:v>45762</c:v>
                </c:pt>
                <c:pt idx="142">
                  <c:v>45761</c:v>
                </c:pt>
                <c:pt idx="143">
                  <c:v>45758</c:v>
                </c:pt>
                <c:pt idx="144">
                  <c:v>45757</c:v>
                </c:pt>
                <c:pt idx="145">
                  <c:v>45756</c:v>
                </c:pt>
                <c:pt idx="146">
                  <c:v>45755</c:v>
                </c:pt>
                <c:pt idx="147">
                  <c:v>45754</c:v>
                </c:pt>
                <c:pt idx="148">
                  <c:v>45751</c:v>
                </c:pt>
                <c:pt idx="149">
                  <c:v>45750</c:v>
                </c:pt>
                <c:pt idx="150">
                  <c:v>45749</c:v>
                </c:pt>
                <c:pt idx="151">
                  <c:v>45748</c:v>
                </c:pt>
                <c:pt idx="152">
                  <c:v>45747</c:v>
                </c:pt>
                <c:pt idx="153">
                  <c:v>45744</c:v>
                </c:pt>
                <c:pt idx="154">
                  <c:v>45743</c:v>
                </c:pt>
                <c:pt idx="155">
                  <c:v>45742</c:v>
                </c:pt>
                <c:pt idx="156">
                  <c:v>45741</c:v>
                </c:pt>
                <c:pt idx="157">
                  <c:v>45740</c:v>
                </c:pt>
                <c:pt idx="158">
                  <c:v>45737</c:v>
                </c:pt>
                <c:pt idx="159">
                  <c:v>45736</c:v>
                </c:pt>
                <c:pt idx="160">
                  <c:v>45735</c:v>
                </c:pt>
                <c:pt idx="161">
                  <c:v>45734</c:v>
                </c:pt>
                <c:pt idx="162">
                  <c:v>45733</c:v>
                </c:pt>
                <c:pt idx="163">
                  <c:v>45730</c:v>
                </c:pt>
                <c:pt idx="164">
                  <c:v>45729</c:v>
                </c:pt>
                <c:pt idx="165">
                  <c:v>45728</c:v>
                </c:pt>
                <c:pt idx="166">
                  <c:v>45727</c:v>
                </c:pt>
                <c:pt idx="167">
                  <c:v>45726</c:v>
                </c:pt>
                <c:pt idx="168">
                  <c:v>45723</c:v>
                </c:pt>
                <c:pt idx="169">
                  <c:v>45722</c:v>
                </c:pt>
                <c:pt idx="170">
                  <c:v>45721</c:v>
                </c:pt>
                <c:pt idx="171">
                  <c:v>45720</c:v>
                </c:pt>
                <c:pt idx="172">
                  <c:v>45719</c:v>
                </c:pt>
                <c:pt idx="173">
                  <c:v>45716</c:v>
                </c:pt>
                <c:pt idx="174">
                  <c:v>45715</c:v>
                </c:pt>
                <c:pt idx="175">
                  <c:v>45714</c:v>
                </c:pt>
                <c:pt idx="176">
                  <c:v>45713</c:v>
                </c:pt>
                <c:pt idx="177">
                  <c:v>45712</c:v>
                </c:pt>
                <c:pt idx="178">
                  <c:v>45709</c:v>
                </c:pt>
                <c:pt idx="179">
                  <c:v>45708</c:v>
                </c:pt>
                <c:pt idx="180">
                  <c:v>45707</c:v>
                </c:pt>
                <c:pt idx="181">
                  <c:v>45706</c:v>
                </c:pt>
                <c:pt idx="182">
                  <c:v>45702</c:v>
                </c:pt>
                <c:pt idx="183">
                  <c:v>45701</c:v>
                </c:pt>
                <c:pt idx="184">
                  <c:v>45700</c:v>
                </c:pt>
                <c:pt idx="185">
                  <c:v>45699</c:v>
                </c:pt>
                <c:pt idx="186">
                  <c:v>45698</c:v>
                </c:pt>
                <c:pt idx="187">
                  <c:v>45695</c:v>
                </c:pt>
                <c:pt idx="188">
                  <c:v>45694</c:v>
                </c:pt>
                <c:pt idx="189">
                  <c:v>45693</c:v>
                </c:pt>
                <c:pt idx="190">
                  <c:v>45692</c:v>
                </c:pt>
                <c:pt idx="191">
                  <c:v>45691</c:v>
                </c:pt>
                <c:pt idx="192">
                  <c:v>45688</c:v>
                </c:pt>
                <c:pt idx="193">
                  <c:v>45687</c:v>
                </c:pt>
                <c:pt idx="194">
                  <c:v>45686</c:v>
                </c:pt>
                <c:pt idx="195">
                  <c:v>45685</c:v>
                </c:pt>
                <c:pt idx="196">
                  <c:v>45684</c:v>
                </c:pt>
                <c:pt idx="197">
                  <c:v>45681</c:v>
                </c:pt>
                <c:pt idx="198">
                  <c:v>45680</c:v>
                </c:pt>
                <c:pt idx="199">
                  <c:v>45679</c:v>
                </c:pt>
                <c:pt idx="200">
                  <c:v>45678</c:v>
                </c:pt>
                <c:pt idx="201">
                  <c:v>45674</c:v>
                </c:pt>
                <c:pt idx="202">
                  <c:v>45673</c:v>
                </c:pt>
                <c:pt idx="203">
                  <c:v>45672</c:v>
                </c:pt>
                <c:pt idx="204">
                  <c:v>45671</c:v>
                </c:pt>
                <c:pt idx="205">
                  <c:v>45670</c:v>
                </c:pt>
                <c:pt idx="206">
                  <c:v>45667</c:v>
                </c:pt>
                <c:pt idx="207">
                  <c:v>45665</c:v>
                </c:pt>
                <c:pt idx="208">
                  <c:v>45664</c:v>
                </c:pt>
                <c:pt idx="209">
                  <c:v>45663</c:v>
                </c:pt>
                <c:pt idx="210">
                  <c:v>45660</c:v>
                </c:pt>
                <c:pt idx="211">
                  <c:v>45659</c:v>
                </c:pt>
                <c:pt idx="212">
                  <c:v>45657</c:v>
                </c:pt>
                <c:pt idx="213">
                  <c:v>45656</c:v>
                </c:pt>
                <c:pt idx="214">
                  <c:v>45653</c:v>
                </c:pt>
                <c:pt idx="215">
                  <c:v>45652</c:v>
                </c:pt>
                <c:pt idx="216">
                  <c:v>45650</c:v>
                </c:pt>
                <c:pt idx="217">
                  <c:v>45649</c:v>
                </c:pt>
                <c:pt idx="218">
                  <c:v>45646</c:v>
                </c:pt>
                <c:pt idx="219">
                  <c:v>45645</c:v>
                </c:pt>
                <c:pt idx="220">
                  <c:v>45644</c:v>
                </c:pt>
                <c:pt idx="221">
                  <c:v>45643</c:v>
                </c:pt>
                <c:pt idx="222">
                  <c:v>45642</c:v>
                </c:pt>
                <c:pt idx="223">
                  <c:v>45639</c:v>
                </c:pt>
                <c:pt idx="224">
                  <c:v>45638</c:v>
                </c:pt>
                <c:pt idx="225">
                  <c:v>45637</c:v>
                </c:pt>
                <c:pt idx="226">
                  <c:v>45636</c:v>
                </c:pt>
                <c:pt idx="227">
                  <c:v>45635</c:v>
                </c:pt>
                <c:pt idx="228">
                  <c:v>45632</c:v>
                </c:pt>
                <c:pt idx="229">
                  <c:v>45631</c:v>
                </c:pt>
                <c:pt idx="230">
                  <c:v>45630</c:v>
                </c:pt>
                <c:pt idx="231">
                  <c:v>45629</c:v>
                </c:pt>
                <c:pt idx="232">
                  <c:v>45628</c:v>
                </c:pt>
                <c:pt idx="233">
                  <c:v>45625</c:v>
                </c:pt>
                <c:pt idx="234">
                  <c:v>45623</c:v>
                </c:pt>
                <c:pt idx="235">
                  <c:v>45622</c:v>
                </c:pt>
                <c:pt idx="236">
                  <c:v>45621</c:v>
                </c:pt>
                <c:pt idx="237">
                  <c:v>45618</c:v>
                </c:pt>
                <c:pt idx="238">
                  <c:v>45617</c:v>
                </c:pt>
                <c:pt idx="239">
                  <c:v>45616</c:v>
                </c:pt>
                <c:pt idx="240">
                  <c:v>45615</c:v>
                </c:pt>
                <c:pt idx="241">
                  <c:v>45614</c:v>
                </c:pt>
                <c:pt idx="242">
                  <c:v>45611</c:v>
                </c:pt>
                <c:pt idx="243">
                  <c:v>45610</c:v>
                </c:pt>
                <c:pt idx="244">
                  <c:v>45609</c:v>
                </c:pt>
                <c:pt idx="245">
                  <c:v>45608</c:v>
                </c:pt>
                <c:pt idx="246">
                  <c:v>45607</c:v>
                </c:pt>
                <c:pt idx="247">
                  <c:v>45604</c:v>
                </c:pt>
                <c:pt idx="248">
                  <c:v>45603</c:v>
                </c:pt>
                <c:pt idx="249">
                  <c:v>45602</c:v>
                </c:pt>
              </c:numCache>
            </c:numRef>
          </c:xVal>
          <c:yVal>
            <c:numRef>
              <c:f>Graphs!$Q$114:$Q$363</c:f>
              <c:numCache>
                <c:formatCode>General</c:formatCode>
                <c:ptCount val="250"/>
                <c:pt idx="0">
                  <c:v>2.5099999999999998</c:v>
                </c:pt>
                <c:pt idx="1">
                  <c:v>2.62</c:v>
                </c:pt>
                <c:pt idx="2">
                  <c:v>2.91</c:v>
                </c:pt>
                <c:pt idx="3">
                  <c:v>2.69</c:v>
                </c:pt>
                <c:pt idx="4">
                  <c:v>2.04</c:v>
                </c:pt>
                <c:pt idx="5">
                  <c:v>2.15</c:v>
                </c:pt>
                <c:pt idx="6">
                  <c:v>2.21</c:v>
                </c:pt>
                <c:pt idx="7">
                  <c:v>2.2000000000000002</c:v>
                </c:pt>
                <c:pt idx="8">
                  <c:v>2.23</c:v>
                </c:pt>
                <c:pt idx="9">
                  <c:v>2.2200000000000002</c:v>
                </c:pt>
                <c:pt idx="10">
                  <c:v>2.13</c:v>
                </c:pt>
                <c:pt idx="11">
                  <c:v>2.25</c:v>
                </c:pt>
                <c:pt idx="12">
                  <c:v>2.36</c:v>
                </c:pt>
                <c:pt idx="13">
                  <c:v>2.12</c:v>
                </c:pt>
                <c:pt idx="14">
                  <c:v>2.2400000000000002</c:v>
                </c:pt>
                <c:pt idx="15">
                  <c:v>2.36</c:v>
                </c:pt>
                <c:pt idx="16">
                  <c:v>2.29</c:v>
                </c:pt>
                <c:pt idx="17">
                  <c:v>2.2999999999999998</c:v>
                </c:pt>
                <c:pt idx="18">
                  <c:v>2.2799999999999998</c:v>
                </c:pt>
                <c:pt idx="19">
                  <c:v>2.57</c:v>
                </c:pt>
                <c:pt idx="20">
                  <c:v>2.68</c:v>
                </c:pt>
                <c:pt idx="21">
                  <c:v>2.5</c:v>
                </c:pt>
                <c:pt idx="22">
                  <c:v>2.56</c:v>
                </c:pt>
                <c:pt idx="23">
                  <c:v>2.33</c:v>
                </c:pt>
                <c:pt idx="24">
                  <c:v>1.96</c:v>
                </c:pt>
                <c:pt idx="25">
                  <c:v>1.9</c:v>
                </c:pt>
                <c:pt idx="26">
                  <c:v>1.93</c:v>
                </c:pt>
                <c:pt idx="27">
                  <c:v>1.96</c:v>
                </c:pt>
                <c:pt idx="28">
                  <c:v>2.0099999999999998</c:v>
                </c:pt>
                <c:pt idx="29">
                  <c:v>1.96</c:v>
                </c:pt>
                <c:pt idx="30">
                  <c:v>2.0699999999999998</c:v>
                </c:pt>
                <c:pt idx="31">
                  <c:v>2.04</c:v>
                </c:pt>
                <c:pt idx="32">
                  <c:v>2.17</c:v>
                </c:pt>
                <c:pt idx="33">
                  <c:v>1.85</c:v>
                </c:pt>
                <c:pt idx="34">
                  <c:v>1.89</c:v>
                </c:pt>
                <c:pt idx="35">
                  <c:v>1.63</c:v>
                </c:pt>
                <c:pt idx="36">
                  <c:v>1.63</c:v>
                </c:pt>
                <c:pt idx="37">
                  <c:v>1.66</c:v>
                </c:pt>
                <c:pt idx="38">
                  <c:v>1.57</c:v>
                </c:pt>
                <c:pt idx="39">
                  <c:v>1.55</c:v>
                </c:pt>
                <c:pt idx="40">
                  <c:v>1.5</c:v>
                </c:pt>
                <c:pt idx="41">
                  <c:v>1.58</c:v>
                </c:pt>
                <c:pt idx="42">
                  <c:v>1.59</c:v>
                </c:pt>
                <c:pt idx="43">
                  <c:v>1.56</c:v>
                </c:pt>
                <c:pt idx="44">
                  <c:v>1.53</c:v>
                </c:pt>
                <c:pt idx="45">
                  <c:v>1.5</c:v>
                </c:pt>
                <c:pt idx="46">
                  <c:v>1.54</c:v>
                </c:pt>
                <c:pt idx="47">
                  <c:v>1.61</c:v>
                </c:pt>
                <c:pt idx="48">
                  <c:v>1.63</c:v>
                </c:pt>
                <c:pt idx="49">
                  <c:v>1.57</c:v>
                </c:pt>
                <c:pt idx="50">
                  <c:v>1.59</c:v>
                </c:pt>
                <c:pt idx="51">
                  <c:v>1.55</c:v>
                </c:pt>
                <c:pt idx="52">
                  <c:v>1.52</c:v>
                </c:pt>
                <c:pt idx="53">
                  <c:v>1.39</c:v>
                </c:pt>
                <c:pt idx="54">
                  <c:v>1.41</c:v>
                </c:pt>
                <c:pt idx="55">
                  <c:v>1.38</c:v>
                </c:pt>
                <c:pt idx="56">
                  <c:v>1.44</c:v>
                </c:pt>
                <c:pt idx="57">
                  <c:v>1.43</c:v>
                </c:pt>
                <c:pt idx="58">
                  <c:v>1.41</c:v>
                </c:pt>
                <c:pt idx="59">
                  <c:v>1.42</c:v>
                </c:pt>
                <c:pt idx="60">
                  <c:v>1.39</c:v>
                </c:pt>
                <c:pt idx="61">
                  <c:v>1.36</c:v>
                </c:pt>
                <c:pt idx="62">
                  <c:v>1.33</c:v>
                </c:pt>
                <c:pt idx="63">
                  <c:v>1.39</c:v>
                </c:pt>
                <c:pt idx="64">
                  <c:v>1.38</c:v>
                </c:pt>
                <c:pt idx="65">
                  <c:v>1.36</c:v>
                </c:pt>
                <c:pt idx="66">
                  <c:v>1.43</c:v>
                </c:pt>
                <c:pt idx="67">
                  <c:v>1.4</c:v>
                </c:pt>
                <c:pt idx="68">
                  <c:v>1.71</c:v>
                </c:pt>
                <c:pt idx="69">
                  <c:v>1.81</c:v>
                </c:pt>
                <c:pt idx="70">
                  <c:v>1.83</c:v>
                </c:pt>
                <c:pt idx="71">
                  <c:v>1.94</c:v>
                </c:pt>
                <c:pt idx="72">
                  <c:v>1.97</c:v>
                </c:pt>
                <c:pt idx="73">
                  <c:v>2.08</c:v>
                </c:pt>
                <c:pt idx="74">
                  <c:v>2.15</c:v>
                </c:pt>
                <c:pt idx="75">
                  <c:v>1.89</c:v>
                </c:pt>
                <c:pt idx="76">
                  <c:v>1.88</c:v>
                </c:pt>
                <c:pt idx="77">
                  <c:v>1.87</c:v>
                </c:pt>
                <c:pt idx="78">
                  <c:v>1.85</c:v>
                </c:pt>
                <c:pt idx="79">
                  <c:v>1.79</c:v>
                </c:pt>
                <c:pt idx="80">
                  <c:v>1.76</c:v>
                </c:pt>
                <c:pt idx="81">
                  <c:v>1.82</c:v>
                </c:pt>
                <c:pt idx="82">
                  <c:v>1.81</c:v>
                </c:pt>
                <c:pt idx="83">
                  <c:v>1.87</c:v>
                </c:pt>
                <c:pt idx="84">
                  <c:v>1.95</c:v>
                </c:pt>
                <c:pt idx="85">
                  <c:v>1.93</c:v>
                </c:pt>
                <c:pt idx="86">
                  <c:v>1.88</c:v>
                </c:pt>
                <c:pt idx="87">
                  <c:v>1.94</c:v>
                </c:pt>
                <c:pt idx="88">
                  <c:v>1.96</c:v>
                </c:pt>
                <c:pt idx="89">
                  <c:v>1.94</c:v>
                </c:pt>
                <c:pt idx="90">
                  <c:v>2</c:v>
                </c:pt>
                <c:pt idx="91">
                  <c:v>1.96</c:v>
                </c:pt>
                <c:pt idx="92">
                  <c:v>2.02</c:v>
                </c:pt>
                <c:pt idx="93">
                  <c:v>1.97</c:v>
                </c:pt>
                <c:pt idx="94">
                  <c:v>2.0099999999999998</c:v>
                </c:pt>
                <c:pt idx="95">
                  <c:v>2.0499999999999998</c:v>
                </c:pt>
                <c:pt idx="96">
                  <c:v>2.08</c:v>
                </c:pt>
                <c:pt idx="97">
                  <c:v>2.16</c:v>
                </c:pt>
                <c:pt idx="98">
                  <c:v>2.2000000000000002</c:v>
                </c:pt>
                <c:pt idx="99">
                  <c:v>2.31</c:v>
                </c:pt>
                <c:pt idx="100">
                  <c:v>2.2999999999999998</c:v>
                </c:pt>
                <c:pt idx="101">
                  <c:v>2.44</c:v>
                </c:pt>
                <c:pt idx="102">
                  <c:v>2.52</c:v>
                </c:pt>
                <c:pt idx="103">
                  <c:v>2.61</c:v>
                </c:pt>
                <c:pt idx="104">
                  <c:v>2.48</c:v>
                </c:pt>
                <c:pt idx="105">
                  <c:v>2.48</c:v>
                </c:pt>
                <c:pt idx="106">
                  <c:v>2.35</c:v>
                </c:pt>
                <c:pt idx="107">
                  <c:v>2.39</c:v>
                </c:pt>
                <c:pt idx="108">
                  <c:v>2.36</c:v>
                </c:pt>
                <c:pt idx="109">
                  <c:v>2.31</c:v>
                </c:pt>
                <c:pt idx="110">
                  <c:v>2.4</c:v>
                </c:pt>
                <c:pt idx="111">
                  <c:v>2.4300000000000002</c:v>
                </c:pt>
                <c:pt idx="112">
                  <c:v>2.63</c:v>
                </c:pt>
                <c:pt idx="113">
                  <c:v>2.5299999999999998</c:v>
                </c:pt>
                <c:pt idx="114">
                  <c:v>2.17</c:v>
                </c:pt>
                <c:pt idx="115">
                  <c:v>2.14</c:v>
                </c:pt>
                <c:pt idx="116">
                  <c:v>2.16</c:v>
                </c:pt>
                <c:pt idx="117">
                  <c:v>2.29</c:v>
                </c:pt>
                <c:pt idx="118">
                  <c:v>2.3199999999999998</c:v>
                </c:pt>
                <c:pt idx="119">
                  <c:v>2.35</c:v>
                </c:pt>
                <c:pt idx="120">
                  <c:v>2.2999999999999998</c:v>
                </c:pt>
                <c:pt idx="121">
                  <c:v>2.31</c:v>
                </c:pt>
                <c:pt idx="122">
                  <c:v>2.38</c:v>
                </c:pt>
                <c:pt idx="123">
                  <c:v>2.35</c:v>
                </c:pt>
                <c:pt idx="124">
                  <c:v>2.23</c:v>
                </c:pt>
                <c:pt idx="125">
                  <c:v>2.27</c:v>
                </c:pt>
                <c:pt idx="126">
                  <c:v>2.1800000000000002</c:v>
                </c:pt>
                <c:pt idx="127">
                  <c:v>2.17</c:v>
                </c:pt>
                <c:pt idx="128">
                  <c:v>2.2200000000000002</c:v>
                </c:pt>
                <c:pt idx="129">
                  <c:v>2.33</c:v>
                </c:pt>
                <c:pt idx="130">
                  <c:v>2.34</c:v>
                </c:pt>
                <c:pt idx="131">
                  <c:v>2.34</c:v>
                </c:pt>
                <c:pt idx="132">
                  <c:v>2.4</c:v>
                </c:pt>
                <c:pt idx="133">
                  <c:v>2.4300000000000002</c:v>
                </c:pt>
                <c:pt idx="134">
                  <c:v>2.44</c:v>
                </c:pt>
                <c:pt idx="135">
                  <c:v>2.48</c:v>
                </c:pt>
                <c:pt idx="136">
                  <c:v>2.41</c:v>
                </c:pt>
                <c:pt idx="137">
                  <c:v>2.38</c:v>
                </c:pt>
                <c:pt idx="138">
                  <c:v>2.29</c:v>
                </c:pt>
                <c:pt idx="139">
                  <c:v>2.34</c:v>
                </c:pt>
                <c:pt idx="140">
                  <c:v>2.35</c:v>
                </c:pt>
                <c:pt idx="141">
                  <c:v>2.52</c:v>
                </c:pt>
                <c:pt idx="142">
                  <c:v>2.52</c:v>
                </c:pt>
                <c:pt idx="143">
                  <c:v>2.46</c:v>
                </c:pt>
                <c:pt idx="144">
                  <c:v>2.29</c:v>
                </c:pt>
                <c:pt idx="145">
                  <c:v>2.37</c:v>
                </c:pt>
                <c:pt idx="146">
                  <c:v>2.08</c:v>
                </c:pt>
                <c:pt idx="147">
                  <c:v>2.0699999999999998</c:v>
                </c:pt>
                <c:pt idx="148">
                  <c:v>2.04</c:v>
                </c:pt>
                <c:pt idx="149">
                  <c:v>2.12</c:v>
                </c:pt>
                <c:pt idx="150">
                  <c:v>2.34</c:v>
                </c:pt>
                <c:pt idx="151">
                  <c:v>2.2200000000000002</c:v>
                </c:pt>
                <c:pt idx="152">
                  <c:v>2.2799999999999998</c:v>
                </c:pt>
                <c:pt idx="153">
                  <c:v>2.37</c:v>
                </c:pt>
                <c:pt idx="154">
                  <c:v>2.44</c:v>
                </c:pt>
                <c:pt idx="155">
                  <c:v>2.6</c:v>
                </c:pt>
                <c:pt idx="156">
                  <c:v>2.72</c:v>
                </c:pt>
                <c:pt idx="157">
                  <c:v>2.81</c:v>
                </c:pt>
                <c:pt idx="158">
                  <c:v>2.64</c:v>
                </c:pt>
                <c:pt idx="159">
                  <c:v>2.75</c:v>
                </c:pt>
                <c:pt idx="160">
                  <c:v>2.71</c:v>
                </c:pt>
                <c:pt idx="161">
                  <c:v>2.6</c:v>
                </c:pt>
                <c:pt idx="162">
                  <c:v>2.74</c:v>
                </c:pt>
                <c:pt idx="163">
                  <c:v>2.68</c:v>
                </c:pt>
                <c:pt idx="164">
                  <c:v>2.5499999999999998</c:v>
                </c:pt>
                <c:pt idx="165">
                  <c:v>2.69</c:v>
                </c:pt>
                <c:pt idx="166">
                  <c:v>2.54</c:v>
                </c:pt>
                <c:pt idx="167">
                  <c:v>2.54</c:v>
                </c:pt>
                <c:pt idx="168">
                  <c:v>2.85</c:v>
                </c:pt>
                <c:pt idx="169">
                  <c:v>2.89</c:v>
                </c:pt>
                <c:pt idx="170">
                  <c:v>3.19</c:v>
                </c:pt>
                <c:pt idx="171">
                  <c:v>3.03</c:v>
                </c:pt>
                <c:pt idx="172">
                  <c:v>3.04</c:v>
                </c:pt>
                <c:pt idx="173">
                  <c:v>3.62</c:v>
                </c:pt>
                <c:pt idx="174">
                  <c:v>3.73</c:v>
                </c:pt>
                <c:pt idx="175">
                  <c:v>3.97</c:v>
                </c:pt>
                <c:pt idx="176">
                  <c:v>3.73</c:v>
                </c:pt>
                <c:pt idx="177">
                  <c:v>4.03</c:v>
                </c:pt>
                <c:pt idx="178">
                  <c:v>4.3</c:v>
                </c:pt>
                <c:pt idx="179">
                  <c:v>4.43</c:v>
                </c:pt>
                <c:pt idx="180">
                  <c:v>4.71</c:v>
                </c:pt>
                <c:pt idx="181">
                  <c:v>4.82</c:v>
                </c:pt>
                <c:pt idx="182">
                  <c:v>4.7699999999999996</c:v>
                </c:pt>
                <c:pt idx="183">
                  <c:v>4.6500000000000004</c:v>
                </c:pt>
                <c:pt idx="184">
                  <c:v>4.34</c:v>
                </c:pt>
                <c:pt idx="185">
                  <c:v>4.0599999999999996</c:v>
                </c:pt>
                <c:pt idx="186">
                  <c:v>4.1399999999999997</c:v>
                </c:pt>
                <c:pt idx="187">
                  <c:v>4.34</c:v>
                </c:pt>
                <c:pt idx="188">
                  <c:v>4.4000000000000004</c:v>
                </c:pt>
                <c:pt idx="189">
                  <c:v>4.5</c:v>
                </c:pt>
                <c:pt idx="190">
                  <c:v>4.58</c:v>
                </c:pt>
                <c:pt idx="191">
                  <c:v>3.96</c:v>
                </c:pt>
                <c:pt idx="192">
                  <c:v>3.99</c:v>
                </c:pt>
                <c:pt idx="193">
                  <c:v>4.09</c:v>
                </c:pt>
                <c:pt idx="194">
                  <c:v>3.51</c:v>
                </c:pt>
                <c:pt idx="195">
                  <c:v>3.61</c:v>
                </c:pt>
                <c:pt idx="196">
                  <c:v>3.61</c:v>
                </c:pt>
                <c:pt idx="197">
                  <c:v>3.9</c:v>
                </c:pt>
                <c:pt idx="198">
                  <c:v>4.1399999999999997</c:v>
                </c:pt>
                <c:pt idx="199">
                  <c:v>3.93</c:v>
                </c:pt>
                <c:pt idx="200">
                  <c:v>3.91</c:v>
                </c:pt>
                <c:pt idx="201">
                  <c:v>3.67</c:v>
                </c:pt>
                <c:pt idx="202">
                  <c:v>3.88</c:v>
                </c:pt>
                <c:pt idx="203">
                  <c:v>3.94</c:v>
                </c:pt>
                <c:pt idx="204">
                  <c:v>3.37</c:v>
                </c:pt>
                <c:pt idx="205">
                  <c:v>3.35</c:v>
                </c:pt>
                <c:pt idx="206">
                  <c:v>3.59</c:v>
                </c:pt>
                <c:pt idx="207">
                  <c:v>4</c:v>
                </c:pt>
                <c:pt idx="208">
                  <c:v>4.04</c:v>
                </c:pt>
                <c:pt idx="209">
                  <c:v>4.2300000000000004</c:v>
                </c:pt>
                <c:pt idx="210">
                  <c:v>4.0599999999999996</c:v>
                </c:pt>
                <c:pt idx="211">
                  <c:v>3.97</c:v>
                </c:pt>
                <c:pt idx="212">
                  <c:v>3.12</c:v>
                </c:pt>
                <c:pt idx="213">
                  <c:v>3.23</c:v>
                </c:pt>
                <c:pt idx="214">
                  <c:v>3.46</c:v>
                </c:pt>
                <c:pt idx="215">
                  <c:v>3.4</c:v>
                </c:pt>
                <c:pt idx="216">
                  <c:v>3.11</c:v>
                </c:pt>
                <c:pt idx="217">
                  <c:v>3.02</c:v>
                </c:pt>
                <c:pt idx="218">
                  <c:v>3.09</c:v>
                </c:pt>
                <c:pt idx="219">
                  <c:v>2.97</c:v>
                </c:pt>
                <c:pt idx="220">
                  <c:v>3.12</c:v>
                </c:pt>
                <c:pt idx="221">
                  <c:v>3.52</c:v>
                </c:pt>
                <c:pt idx="222">
                  <c:v>3.6</c:v>
                </c:pt>
                <c:pt idx="223">
                  <c:v>3.39</c:v>
                </c:pt>
                <c:pt idx="224">
                  <c:v>3.54</c:v>
                </c:pt>
                <c:pt idx="225">
                  <c:v>3.61</c:v>
                </c:pt>
                <c:pt idx="226">
                  <c:v>3.67</c:v>
                </c:pt>
                <c:pt idx="227">
                  <c:v>3.3</c:v>
                </c:pt>
                <c:pt idx="228">
                  <c:v>3.26</c:v>
                </c:pt>
                <c:pt idx="229">
                  <c:v>3.31</c:v>
                </c:pt>
                <c:pt idx="230">
                  <c:v>3.31</c:v>
                </c:pt>
                <c:pt idx="231">
                  <c:v>3.31</c:v>
                </c:pt>
                <c:pt idx="232">
                  <c:v>3.37</c:v>
                </c:pt>
                <c:pt idx="233">
                  <c:v>3.29</c:v>
                </c:pt>
                <c:pt idx="234">
                  <c:v>3.29</c:v>
                </c:pt>
                <c:pt idx="235">
                  <c:v>3.16</c:v>
                </c:pt>
                <c:pt idx="236">
                  <c:v>3.28</c:v>
                </c:pt>
                <c:pt idx="237">
                  <c:v>3.24</c:v>
                </c:pt>
                <c:pt idx="238">
                  <c:v>3.29</c:v>
                </c:pt>
                <c:pt idx="239">
                  <c:v>3.32</c:v>
                </c:pt>
                <c:pt idx="240">
                  <c:v>3.05</c:v>
                </c:pt>
                <c:pt idx="241">
                  <c:v>2.64</c:v>
                </c:pt>
                <c:pt idx="242">
                  <c:v>2.35</c:v>
                </c:pt>
                <c:pt idx="243">
                  <c:v>2.56</c:v>
                </c:pt>
                <c:pt idx="244">
                  <c:v>2.66</c:v>
                </c:pt>
                <c:pt idx="245">
                  <c:v>2.68</c:v>
                </c:pt>
                <c:pt idx="246">
                  <c:v>2.73</c:v>
                </c:pt>
                <c:pt idx="247">
                  <c:v>2.62</c:v>
                </c:pt>
                <c:pt idx="248">
                  <c:v>2.4500000000000002</c:v>
                </c:pt>
                <c:pt idx="249">
                  <c:v>2.57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A6-4EE7-9111-95859D296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2307423"/>
        <c:axId val="272299743"/>
      </c:scatterChart>
      <c:dateAx>
        <c:axId val="275816319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12959"/>
        <c:crosses val="autoZero"/>
        <c:auto val="1"/>
        <c:lblOffset val="100"/>
        <c:baseTimeUnit val="days"/>
      </c:dateAx>
      <c:valAx>
        <c:axId val="275812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816319"/>
        <c:crosses val="autoZero"/>
        <c:crossBetween val="between"/>
      </c:valAx>
      <c:valAx>
        <c:axId val="2722997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307423"/>
        <c:crosses val="max"/>
        <c:crossBetween val="midCat"/>
      </c:valAx>
      <c:valAx>
        <c:axId val="272307423"/>
        <c:scaling>
          <c:orientation val="minMax"/>
        </c:scaling>
        <c:delete val="1"/>
        <c:axPos val="t"/>
        <c:numFmt formatCode="d\-mmm\-yy" sourceLinked="1"/>
        <c:majorTickMark val="out"/>
        <c:minorTickMark val="none"/>
        <c:tickLblPos val="nextTo"/>
        <c:crossAx val="272299743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Graphs!$P$65</c:f>
          <c:strCache>
            <c:ptCount val="1"/>
            <c:pt idx="0">
              <c:v>Annual Revenue, FY25 - FY26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Graphs!$Q$91</c:f>
              <c:strCache>
                <c:ptCount val="1"/>
                <c:pt idx="0">
                  <c:v>2025-12-31 Revenue: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3F6-41BC-A11E-FE1F2D001D2A}"/>
              </c:ext>
            </c:extLst>
          </c:dPt>
          <c:cat>
            <c:strRef>
              <c:f>Graphs!$P$92:$P$98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Graphs!$Q$92:$Q$98</c:f>
              <c:numCache>
                <c:formatCode>_("$"* #,##0_);_("$"* \(#,##0\);_("$"* "-"_);_(@_)</c:formatCode>
                <c:ptCount val="7"/>
                <c:pt idx="0">
                  <c:v>20530</c:v>
                </c:pt>
                <c:pt idx="1">
                  <c:v>1521</c:v>
                </c:pt>
                <c:pt idx="2">
                  <c:v>368</c:v>
                </c:pt>
                <c:pt idx="3">
                  <c:v>1637</c:v>
                </c:pt>
                <c:pt idx="4">
                  <c:v>77</c:v>
                </c:pt>
                <c:pt idx="5">
                  <c:v>369</c:v>
                </c:pt>
                <c:pt idx="6">
                  <c:v>63.442999999999998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6-41BC-A11E-FE1F2D001D2A}"/>
            </c:ext>
          </c:extLst>
        </c:ser>
        <c:ser>
          <c:idx val="1"/>
          <c:order val="1"/>
          <c:tx>
            <c:strRef>
              <c:f>Graphs!$R$91</c:f>
              <c:strCache>
                <c:ptCount val="1"/>
                <c:pt idx="0">
                  <c:v>2026-12-31 Revenue: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3F6-41BC-A11E-FE1F2D001D2A}"/>
              </c:ext>
            </c:extLst>
          </c:dPt>
          <c:cat>
            <c:strRef>
              <c:f>Graphs!$P$92:$P$98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Graphs!$R$92:$R$98</c:f>
              <c:numCache>
                <c:formatCode>_("$"* #,##0_);_("$"* \(#,##0\);_("$"* "-"_);_(@_)</c:formatCode>
                <c:ptCount val="7"/>
                <c:pt idx="0">
                  <c:v>21435</c:v>
                </c:pt>
                <c:pt idx="1">
                  <c:v>1639</c:v>
                </c:pt>
                <c:pt idx="2">
                  <c:v>383</c:v>
                </c:pt>
                <c:pt idx="3">
                  <c:v>1681</c:v>
                </c:pt>
                <c:pt idx="4">
                  <c:v>99</c:v>
                </c:pt>
                <c:pt idx="5">
                  <c:v>414</c:v>
                </c:pt>
                <c:pt idx="6">
                  <c:v>56.95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F6-41BC-A11E-FE1F2D001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1744928"/>
        <c:axId val="1881745888"/>
      </c:barChart>
      <c:catAx>
        <c:axId val="188174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45888"/>
        <c:crosses val="autoZero"/>
        <c:auto val="1"/>
        <c:lblAlgn val="ctr"/>
        <c:lblOffset val="100"/>
        <c:noMultiLvlLbl val="0"/>
      </c:catAx>
      <c:valAx>
        <c:axId val="188174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174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Graphs!$P$66</c:f>
          <c:strCache>
            <c:ptCount val="1"/>
            <c:pt idx="0">
              <c:v>Annual EBITDA, FY25 - FY26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Graphs!$T$91</c:f>
              <c:strCache>
                <c:ptCount val="1"/>
                <c:pt idx="0">
                  <c:v>2025-12-31 EBITDA: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C2-4EAB-A5AE-4702068B5E7E}"/>
              </c:ext>
            </c:extLst>
          </c:dPt>
          <c:cat>
            <c:strRef>
              <c:f>Graphs!$P$92:$P$98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Graphs!$T$92:$T$98</c:f>
              <c:numCache>
                <c:formatCode>_("$"* #,##0_);_("$"* \(#,##0\);_("$"* "-"_);_(@_)</c:formatCode>
                <c:ptCount val="7"/>
                <c:pt idx="0">
                  <c:v>3653</c:v>
                </c:pt>
                <c:pt idx="1">
                  <c:v>497</c:v>
                </c:pt>
                <c:pt idx="2">
                  <c:v>94</c:v>
                </c:pt>
                <c:pt idx="3">
                  <c:v>314</c:v>
                </c:pt>
                <c:pt idx="4">
                  <c:v>-129</c:v>
                </c:pt>
                <c:pt idx="5">
                  <c:v>30</c:v>
                </c:pt>
                <c:pt idx="6">
                  <c:v>-46.163567797883672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2-4EAB-A5AE-4702068B5E7E}"/>
            </c:ext>
          </c:extLst>
        </c:ser>
        <c:ser>
          <c:idx val="1"/>
          <c:order val="1"/>
          <c:tx>
            <c:strRef>
              <c:f>Graphs!$U$91</c:f>
              <c:strCache>
                <c:ptCount val="1"/>
                <c:pt idx="0">
                  <c:v>2026-12-31 EBITDA: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C2-4EAB-A5AE-4702068B5E7E}"/>
              </c:ext>
            </c:extLst>
          </c:dPt>
          <c:cat>
            <c:strRef>
              <c:f>Graphs!$P$92:$P$98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Graphs!$U$92:$U$98</c:f>
              <c:numCache>
                <c:formatCode>_("$"* #,##0_);_("$"* \(#,##0\);_("$"* "-"_);_(@_)</c:formatCode>
                <c:ptCount val="7"/>
                <c:pt idx="0">
                  <c:v>3921</c:v>
                </c:pt>
                <c:pt idx="1">
                  <c:v>544</c:v>
                </c:pt>
                <c:pt idx="2">
                  <c:v>101</c:v>
                </c:pt>
                <c:pt idx="3">
                  <c:v>333</c:v>
                </c:pt>
                <c:pt idx="4">
                  <c:v>-130</c:v>
                </c:pt>
                <c:pt idx="5">
                  <c:v>46</c:v>
                </c:pt>
                <c:pt idx="6">
                  <c:v>-3.7799891246833668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2-4EAB-A5AE-4702068B5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7455088"/>
        <c:axId val="1997448368"/>
      </c:barChart>
      <c:catAx>
        <c:axId val="199745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48368"/>
        <c:crosses val="autoZero"/>
        <c:auto val="1"/>
        <c:lblAlgn val="ctr"/>
        <c:lblOffset val="100"/>
        <c:noMultiLvlLbl val="0"/>
      </c:catAx>
      <c:valAx>
        <c:axId val="199744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5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Graphs!$Q$102</c:f>
              <c:strCache>
                <c:ptCount val="1"/>
                <c:pt idx="0">
                  <c:v>Year 1 Projected Revenue Growth: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3B-444D-8C00-16BD41E2AC79}"/>
              </c:ext>
            </c:extLst>
          </c:dPt>
          <c:cat>
            <c:strRef>
              <c:f>Graphs!$P$103:$P$109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Graphs!$Q$103:$Q$109</c:f>
              <c:numCache>
                <c:formatCode>0.0%</c:formatCode>
                <c:ptCount val="7"/>
                <c:pt idx="0">
                  <c:v>4.4081831466147081E-2</c:v>
                </c:pt>
                <c:pt idx="1">
                  <c:v>7.7580539119000758E-2</c:v>
                </c:pt>
                <c:pt idx="2">
                  <c:v>4.0760869565217295E-2</c:v>
                </c:pt>
                <c:pt idx="3">
                  <c:v>2.6878436163714214E-2</c:v>
                </c:pt>
                <c:pt idx="4">
                  <c:v>0.28571428571428581</c:v>
                </c:pt>
                <c:pt idx="5">
                  <c:v>0.12195121951219523</c:v>
                </c:pt>
                <c:pt idx="6">
                  <c:v>-0.102343836199423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B-444D-8C00-16BD41E2A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1430352"/>
        <c:axId val="1671431312"/>
      </c:barChart>
      <c:catAx>
        <c:axId val="1671430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31312"/>
        <c:crosses val="autoZero"/>
        <c:auto val="1"/>
        <c:lblAlgn val="ctr"/>
        <c:lblOffset val="100"/>
        <c:noMultiLvlLbl val="0"/>
      </c:catAx>
      <c:valAx>
        <c:axId val="167143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43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Graphs!$T$102</c:f>
              <c:strCache>
                <c:ptCount val="1"/>
                <c:pt idx="0">
                  <c:v>Year 1 Projected EBITDA Growth: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DD-4FB8-8245-82E22E728418}"/>
              </c:ext>
            </c:extLst>
          </c:dPt>
          <c:cat>
            <c:strRef>
              <c:f>Graphs!$P$103:$P$109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Graphs!$T$103:$T$109</c:f>
              <c:numCache>
                <c:formatCode>0.0%</c:formatCode>
                <c:ptCount val="7"/>
                <c:pt idx="0">
                  <c:v>7.336435806186703E-2</c:v>
                </c:pt>
                <c:pt idx="1">
                  <c:v>9.456740442655942E-2</c:v>
                </c:pt>
                <c:pt idx="2">
                  <c:v>7.4468085106383031E-2</c:v>
                </c:pt>
                <c:pt idx="3">
                  <c:v>6.0509554140127486E-2</c:v>
                </c:pt>
                <c:pt idx="4">
                  <c:v>7.7519379844961378E-3</c:v>
                </c:pt>
                <c:pt idx="5">
                  <c:v>0.53333333333333344</c:v>
                </c:pt>
                <c:pt idx="6">
                  <c:v>-0.91811748300666096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DD-4FB8-8245-82E22E728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5880383"/>
        <c:axId val="1546213392"/>
      </c:barChart>
      <c:catAx>
        <c:axId val="120588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213392"/>
        <c:crosses val="autoZero"/>
        <c:auto val="1"/>
        <c:lblAlgn val="ctr"/>
        <c:lblOffset val="100"/>
        <c:noMultiLvlLbl val="0"/>
      </c:catAx>
      <c:valAx>
        <c:axId val="15462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88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0"/>
          <c:tx>
            <c:strRef>
              <c:f>Graphs!$W$102</c:f>
              <c:strCache>
                <c:ptCount val="1"/>
                <c:pt idx="0">
                  <c:v>2026-12-31 P / E: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FE0-40A8-94C4-914A00F90AFC}"/>
              </c:ext>
            </c:extLst>
          </c:dPt>
          <c:cat>
            <c:strRef>
              <c:f>Graphs!$P$103:$P$109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Graphs!$W$103:$W$109</c:f>
              <c:numCache>
                <c:formatCode>0.0\ \x</c:formatCode>
                <c:ptCount val="7"/>
                <c:pt idx="0">
                  <c:v>18.13089427107592</c:v>
                </c:pt>
                <c:pt idx="1">
                  <c:v>29.137962264150946</c:v>
                </c:pt>
                <c:pt idx="2">
                  <c:v>9.0818269230769229</c:v>
                </c:pt>
                <c:pt idx="3">
                  <c:v>5.7257298839779009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0-40A8-94C4-914A00F90A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394655"/>
        <c:axId val="672397535"/>
      </c:barChart>
      <c:catAx>
        <c:axId val="67239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397535"/>
        <c:crosses val="autoZero"/>
        <c:auto val="1"/>
        <c:lblAlgn val="ctr"/>
        <c:lblOffset val="100"/>
        <c:noMultiLvlLbl val="0"/>
      </c:catAx>
      <c:valAx>
        <c:axId val="67239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39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9"/>
          <c:order val="0"/>
          <c:tx>
            <c:strRef>
              <c:f>Graphs!$Z$102</c:f>
              <c:strCache>
                <c:ptCount val="1"/>
                <c:pt idx="0">
                  <c:v>2026-12-31 EV / EBITDA: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4226-4DC2-984C-7E1C6E1A29AD}"/>
              </c:ext>
            </c:extLst>
          </c:dPt>
          <c:cat>
            <c:strRef>
              <c:f>Graphs!$P$103:$P$109</c:f>
              <c:strCache>
                <c:ptCount val="7"/>
                <c:pt idx="0">
                  <c:v>GEHC</c:v>
                </c:pt>
                <c:pt idx="1">
                  <c:v>MASI</c:v>
                </c:pt>
                <c:pt idx="2">
                  <c:v>INMD</c:v>
                </c:pt>
                <c:pt idx="3">
                  <c:v>IART</c:v>
                </c:pt>
                <c:pt idx="4">
                  <c:v> CVAC </c:v>
                </c:pt>
                <c:pt idx="5">
                  <c:v> CDNA </c:v>
                </c:pt>
                <c:pt idx="6">
                  <c:v> BFLY </c:v>
                </c:pt>
              </c:strCache>
            </c:strRef>
          </c:cat>
          <c:val>
            <c:numRef>
              <c:f>Graphs!$Z$103:$Z$109</c:f>
              <c:numCache>
                <c:formatCode>0.0\ \x</c:formatCode>
                <c:ptCount val="7"/>
                <c:pt idx="0">
                  <c:v>11.704419790869675</c:v>
                </c:pt>
                <c:pt idx="1">
                  <c:v>15.099558823529412</c:v>
                </c:pt>
                <c:pt idx="2">
                  <c:v>4.3555445544554461</c:v>
                </c:pt>
                <c:pt idx="3">
                  <c:v>8.3368081351351364</c:v>
                </c:pt>
                <c:pt idx="4">
                  <c:v>0</c:v>
                </c:pt>
                <c:pt idx="5">
                  <c:v>16.386828369565215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4226-4DC2-984C-7E1C6E1A2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6264272"/>
        <c:axId val="1546267152"/>
      </c:barChart>
      <c:catAx>
        <c:axId val="15462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267152"/>
        <c:crosses val="autoZero"/>
        <c:auto val="1"/>
        <c:lblAlgn val="ctr"/>
        <c:lblOffset val="100"/>
        <c:noMultiLvlLbl val="0"/>
      </c:catAx>
      <c:valAx>
        <c:axId val="154626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\ \x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26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Graphs!$P$27</c:f>
          <c:strCache>
            <c:ptCount val="1"/>
            <c:pt idx="0">
              <c:v>Butterfly Network, inc.: Revenue, EBITDA, and Margins, FY24 to FY27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Graphs!$Q$19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Graphs!$P$20:$P$23</c:f>
              <c:numCache>
                <c:formatCode>yyyy\-mm\-dd</c:formatCode>
                <c:ptCount val="4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</c:numCache>
            </c:numRef>
          </c:cat>
          <c:val>
            <c:numRef>
              <c:f>Graphs!$Q$20:$Q$23</c:f>
              <c:numCache>
                <c:formatCode>_("$"* #,##0_);_("$"* \(#,##0\);_("$"* "-"_);_(@_)</c:formatCode>
                <c:ptCount val="4"/>
                <c:pt idx="0">
                  <c:v>112950</c:v>
                </c:pt>
                <c:pt idx="1">
                  <c:v>143000</c:v>
                </c:pt>
                <c:pt idx="2">
                  <c:v>190000</c:v>
                </c:pt>
                <c:pt idx="3">
                  <c:v>228000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C-4B96-800F-5ECCD18F7046}"/>
            </c:ext>
          </c:extLst>
        </c:ser>
        <c:ser>
          <c:idx val="1"/>
          <c:order val="1"/>
          <c:tx>
            <c:strRef>
              <c:f>Graphs!$R$19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Graphs!$P$20:$P$23</c:f>
              <c:numCache>
                <c:formatCode>yyyy\-mm\-dd</c:formatCode>
                <c:ptCount val="4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</c:numCache>
            </c:numRef>
          </c:cat>
          <c:val>
            <c:numRef>
              <c:f>Graphs!$R$20:$R$23</c:f>
              <c:numCache>
                <c:formatCode>_("$"* #,##0_);_("$"* \(#,##0\);_("$"* "-"_);_(@_)</c:formatCode>
                <c:ptCount val="4"/>
                <c:pt idx="0">
                  <c:v>-3779.9891246833668</c:v>
                </c:pt>
                <c:pt idx="1">
                  <c:v>14395.193989504987</c:v>
                </c:pt>
                <c:pt idx="2">
                  <c:v>44029.710722754884</c:v>
                </c:pt>
                <c:pt idx="3">
                  <c:v>71482.661750051484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CC-4B96-800F-5ECCD18F7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0633888"/>
        <c:axId val="2010639168"/>
      </c:barChart>
      <c:scatterChart>
        <c:scatterStyle val="smoothMarker"/>
        <c:varyColors val="0"/>
        <c:ser>
          <c:idx val="2"/>
          <c:order val="2"/>
          <c:tx>
            <c:strRef>
              <c:f>Graphs!$S$19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Graphs!$P$20:$P$23</c:f>
              <c:numCache>
                <c:formatCode>yyyy\-mm\-dd</c:formatCode>
                <c:ptCount val="4"/>
                <c:pt idx="0">
                  <c:v>45657</c:v>
                </c:pt>
                <c:pt idx="1">
                  <c:v>46022</c:v>
                </c:pt>
                <c:pt idx="2">
                  <c:v>46387</c:v>
                </c:pt>
                <c:pt idx="3">
                  <c:v>46752</c:v>
                </c:pt>
              </c:numCache>
            </c:numRef>
          </c:xVal>
          <c:yVal>
            <c:numRef>
              <c:f>Graphs!$S$20:$S$23</c:f>
              <c:numCache>
                <c:formatCode>0.0\ %_);[Red]\(0.0%\)</c:formatCode>
                <c:ptCount val="4"/>
                <c:pt idx="0">
                  <c:v>-3.3466039173823521E-2</c:v>
                </c:pt>
                <c:pt idx="1">
                  <c:v>0.10066569223430061</c:v>
                </c:pt>
                <c:pt idx="2">
                  <c:v>0.23173531959344676</c:v>
                </c:pt>
                <c:pt idx="3">
                  <c:v>0.31352044627215564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CC-4B96-800F-5ECCD18F7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3323232"/>
        <c:axId val="1673326592"/>
      </c:scatterChart>
      <c:dateAx>
        <c:axId val="2010633888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39168"/>
        <c:crosses val="autoZero"/>
        <c:auto val="1"/>
        <c:lblOffset val="100"/>
        <c:baseTimeUnit val="years"/>
      </c:dateAx>
      <c:valAx>
        <c:axId val="20106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633888"/>
        <c:crosses val="autoZero"/>
        <c:crossBetween val="between"/>
      </c:valAx>
      <c:valAx>
        <c:axId val="1673326592"/>
        <c:scaling>
          <c:orientation val="minMax"/>
        </c:scaling>
        <c:delete val="0"/>
        <c:axPos val="r"/>
        <c:numFmt formatCode="0.0\ %_);[Red]\(0.0%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23232"/>
        <c:crosses val="max"/>
        <c:crossBetween val="midCat"/>
      </c:valAx>
      <c:valAx>
        <c:axId val="1673323232"/>
        <c:scaling>
          <c:orientation val="minMax"/>
        </c:scaling>
        <c:delete val="0"/>
        <c:axPos val="t"/>
        <c:numFmt formatCode="yyyy\-mm\-dd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326592"/>
        <c:crosses val="max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Graphs!$P$48</c:f>
          <c:strCache>
            <c:ptCount val="1"/>
            <c:pt idx="0">
              <c:v>Butterfly Network, inc.: Revenue by Segment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Summary!$C$10</c:f>
              <c:strCache>
                <c:ptCount val="1"/>
                <c:pt idx="0">
                  <c:v> Product Revenue </c:v>
                </c:pt>
              </c:strCache>
            </c:strRef>
          </c:tx>
          <c:spPr>
            <a:solidFill>
              <a:schemeClr val="accent4">
                <a:shade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Summary!$G$7:$N$7</c:f>
              <c:numCache>
                <c:formatCode>"FY"yy</c:formatCode>
                <c:ptCount val="8"/>
                <c:pt idx="0">
                  <c:v>44592</c:v>
                </c:pt>
                <c:pt idx="1">
                  <c:v>44957</c:v>
                </c:pt>
                <c:pt idx="2">
                  <c:v>45322</c:v>
                </c:pt>
                <c:pt idx="3">
                  <c:v>45688</c:v>
                </c:pt>
                <c:pt idx="4">
                  <c:v>46053</c:v>
                </c:pt>
                <c:pt idx="5">
                  <c:v>46418</c:v>
                </c:pt>
                <c:pt idx="6">
                  <c:v>46783</c:v>
                </c:pt>
                <c:pt idx="7">
                  <c:v>47149</c:v>
                </c:pt>
              </c:numCache>
            </c:numRef>
          </c:cat>
          <c:val>
            <c:numRef>
              <c:f>Summary!$G$10:$N$10</c:f>
              <c:numCache>
                <c:formatCode>_("$"* #,##0_);_("$"* \(#,##0\);_("$"* "-"??_);_(@_)</c:formatCode>
                <c:ptCount val="8"/>
                <c:pt idx="0">
                  <c:v>50263</c:v>
                </c:pt>
                <c:pt idx="1">
                  <c:v>40035.999999999993</c:v>
                </c:pt>
                <c:pt idx="2">
                  <c:v>54200</c:v>
                </c:pt>
                <c:pt idx="3">
                  <c:v>63443</c:v>
                </c:pt>
                <c:pt idx="4">
                  <c:v>56950</c:v>
                </c:pt>
                <c:pt idx="5">
                  <c:v>77000</c:v>
                </c:pt>
                <c:pt idx="6">
                  <c:v>84000</c:v>
                </c:pt>
                <c:pt idx="7">
                  <c:v>105000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0-4F60-A771-1765F10C434F}"/>
            </c:ext>
          </c:extLst>
        </c:ser>
        <c:ser>
          <c:idx val="1"/>
          <c:order val="1"/>
          <c:tx>
            <c:strRef>
              <c:f>Summary!$C$12</c:f>
              <c:strCache>
                <c:ptCount val="1"/>
                <c:pt idx="0">
                  <c:v> Software Revenue </c:v>
                </c:pt>
              </c:strCache>
            </c:strRef>
          </c:tx>
          <c:spPr>
            <a:solidFill>
              <a:schemeClr val="accent4">
                <a:shade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numRef>
              <c:f>Summary!$G$7:$N$7</c:f>
              <c:numCache>
                <c:formatCode>"FY"yy</c:formatCode>
                <c:ptCount val="8"/>
                <c:pt idx="0">
                  <c:v>44592</c:v>
                </c:pt>
                <c:pt idx="1">
                  <c:v>44957</c:v>
                </c:pt>
                <c:pt idx="2">
                  <c:v>45322</c:v>
                </c:pt>
                <c:pt idx="3">
                  <c:v>45688</c:v>
                </c:pt>
                <c:pt idx="4">
                  <c:v>46053</c:v>
                </c:pt>
                <c:pt idx="5">
                  <c:v>46418</c:v>
                </c:pt>
                <c:pt idx="6">
                  <c:v>46783</c:v>
                </c:pt>
                <c:pt idx="7">
                  <c:v>47149</c:v>
                </c:pt>
              </c:numCache>
            </c:numRef>
          </c:cat>
          <c:val>
            <c:numRef>
              <c:f>Summary!$G$12:$N$12</c:f>
              <c:numCache>
                <c:formatCode>_("$"* #,##0_);_("$"* \(#,##0\);_("$"* "-"??_);_(@_)</c:formatCode>
                <c:ptCount val="8"/>
                <c:pt idx="0">
                  <c:v>23127.06</c:v>
                </c:pt>
                <c:pt idx="1">
                  <c:v>25863.901999999998</c:v>
                </c:pt>
                <c:pt idx="2">
                  <c:v>27856.041000000001</c:v>
                </c:pt>
                <c:pt idx="3">
                  <c:v>27400</c:v>
                </c:pt>
                <c:pt idx="4">
                  <c:v>30000</c:v>
                </c:pt>
                <c:pt idx="5">
                  <c:v>36000</c:v>
                </c:pt>
                <c:pt idx="6">
                  <c:v>51000</c:v>
                </c:pt>
                <c:pt idx="7">
                  <c:v>63000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00-4F60-A771-1765F10C434F}"/>
            </c:ext>
          </c:extLst>
        </c:ser>
        <c:ser>
          <c:idx val="2"/>
          <c:order val="2"/>
          <c:tx>
            <c:strRef>
              <c:f>Summary!$C$14</c:f>
              <c:strCache>
                <c:ptCount val="1"/>
                <c:pt idx="0">
                  <c:v>Embedded Revenue</c:v>
                </c:pt>
              </c:strCache>
            </c:strRef>
          </c:tx>
          <c:spPr>
            <a:solidFill>
              <a:schemeClr val="accent4">
                <a:tint val="86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Summary!$G$14:$N$14</c:f>
              <c:numCache>
                <c:formatCode>_("$"* #,##0_);_("$"* \(#,##0\);_("$"*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6800</c:v>
                </c:pt>
                <c:pt idx="4">
                  <c:v>25000</c:v>
                </c:pt>
                <c:pt idx="5">
                  <c:v>25000</c:v>
                </c:pt>
                <c:pt idx="6">
                  <c:v>40000</c:v>
                </c:pt>
                <c:pt idx="7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15-4F56-BBBB-D16953BDB60D}"/>
            </c:ext>
          </c:extLst>
        </c:ser>
        <c:ser>
          <c:idx val="3"/>
          <c:order val="3"/>
          <c:tx>
            <c:strRef>
              <c:f>Summary!$C$16</c:f>
              <c:strCache>
                <c:ptCount val="1"/>
                <c:pt idx="0">
                  <c:v>Home Care Revenue</c:v>
                </c:pt>
              </c:strCache>
            </c:strRef>
          </c:tx>
          <c:spPr>
            <a:solidFill>
              <a:schemeClr val="accent4">
                <a:tint val="58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Summary!$G$16:$N$16</c:f>
              <c:numCache>
                <c:formatCode>_("$"* #,##0_);_("$"* \(#,##0\);_("$"* "-"_);_(@_)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1000</c:v>
                </c:pt>
                <c:pt idx="5">
                  <c:v>5000</c:v>
                </c:pt>
                <c:pt idx="6">
                  <c:v>15000</c:v>
                </c:pt>
                <c:pt idx="7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15-4F56-BBBB-D16953BDB6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075255167"/>
        <c:axId val="1075243167"/>
      </c:barChart>
      <c:dateAx>
        <c:axId val="1075255167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43167"/>
        <c:crosses val="autoZero"/>
        <c:auto val="1"/>
        <c:lblOffset val="100"/>
        <c:baseTimeUnit val="years"/>
      </c:dateAx>
      <c:valAx>
        <c:axId val="107524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525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Graphs!$P$33</c:f>
          <c:strCache>
            <c:ptCount val="1"/>
            <c:pt idx="0">
              <c:v>Butterfly Network, inc.: Revenue, Operating Expenses, EBIT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Summary!$C$21</c:f>
              <c:strCache>
                <c:ptCount val="1"/>
                <c:pt idx="0">
                  <c:v>Revenue: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Summary!$G$7:$N$7</c:f>
              <c:numCache>
                <c:formatCode>"FY"yy</c:formatCode>
                <c:ptCount val="8"/>
                <c:pt idx="0">
                  <c:v>44592</c:v>
                </c:pt>
                <c:pt idx="1">
                  <c:v>44957</c:v>
                </c:pt>
                <c:pt idx="2">
                  <c:v>45322</c:v>
                </c:pt>
                <c:pt idx="3">
                  <c:v>45688</c:v>
                </c:pt>
                <c:pt idx="4">
                  <c:v>46053</c:v>
                </c:pt>
                <c:pt idx="5">
                  <c:v>46418</c:v>
                </c:pt>
                <c:pt idx="6">
                  <c:v>46783</c:v>
                </c:pt>
                <c:pt idx="7">
                  <c:v>47149</c:v>
                </c:pt>
              </c:numCache>
            </c:numRef>
          </c:cat>
          <c:val>
            <c:numRef>
              <c:f>Summary!$G$21:$N$21</c:f>
              <c:numCache>
                <c:formatCode>_("$"* #,##0_);_("$"* \(#,##0\);_("$"* "-"_);_(@_)</c:formatCode>
                <c:ptCount val="8"/>
                <c:pt idx="0">
                  <c:v>73390</c:v>
                </c:pt>
                <c:pt idx="1">
                  <c:v>65900</c:v>
                </c:pt>
                <c:pt idx="2">
                  <c:v>82056</c:v>
                </c:pt>
                <c:pt idx="3">
                  <c:v>97643</c:v>
                </c:pt>
                <c:pt idx="4">
                  <c:v>112950</c:v>
                </c:pt>
                <c:pt idx="5">
                  <c:v>143000</c:v>
                </c:pt>
                <c:pt idx="6">
                  <c:v>190000</c:v>
                </c:pt>
                <c:pt idx="7">
                  <c:v>228000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A5-4FD4-82D9-BB9318B0BB3B}"/>
            </c:ext>
          </c:extLst>
        </c:ser>
        <c:ser>
          <c:idx val="2"/>
          <c:order val="2"/>
          <c:tx>
            <c:strRef>
              <c:f>Summary!$C$27</c:f>
              <c:strCache>
                <c:ptCount val="1"/>
                <c:pt idx="0">
                  <c:v>Total operating expenses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Summary!$G$7:$N$7</c:f>
              <c:numCache>
                <c:formatCode>"FY"yy</c:formatCode>
                <c:ptCount val="8"/>
                <c:pt idx="0">
                  <c:v>44592</c:v>
                </c:pt>
                <c:pt idx="1">
                  <c:v>44957</c:v>
                </c:pt>
                <c:pt idx="2">
                  <c:v>45322</c:v>
                </c:pt>
                <c:pt idx="3">
                  <c:v>45688</c:v>
                </c:pt>
                <c:pt idx="4">
                  <c:v>46053</c:v>
                </c:pt>
                <c:pt idx="5">
                  <c:v>46418</c:v>
                </c:pt>
                <c:pt idx="6">
                  <c:v>46783</c:v>
                </c:pt>
                <c:pt idx="7">
                  <c:v>47149</c:v>
                </c:pt>
              </c:numCache>
            </c:numRef>
          </c:cat>
          <c:val>
            <c:numRef>
              <c:f>Summary!$G$27:$N$27</c:f>
              <c:numCache>
                <c:formatCode>_("$"* #,##0_);_("$"* \(#,##0\);_("$"* "-"_);_(@_)</c:formatCode>
                <c:ptCount val="8"/>
                <c:pt idx="0">
                  <c:v>232480</c:v>
                </c:pt>
                <c:pt idx="1">
                  <c:v>162466</c:v>
                </c:pt>
                <c:pt idx="2">
                  <c:v>123242</c:v>
                </c:pt>
                <c:pt idx="3">
                  <c:v>98619.430000000008</c:v>
                </c:pt>
                <c:pt idx="4">
                  <c:v>90360</c:v>
                </c:pt>
                <c:pt idx="5">
                  <c:v>92950</c:v>
                </c:pt>
                <c:pt idx="6">
                  <c:v>104500</c:v>
                </c:pt>
                <c:pt idx="7">
                  <c:v>104880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3-47FC-B1D4-BC613DE6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30"/>
        <c:axId val="249014976"/>
        <c:axId val="249022656"/>
      </c:barChart>
      <c:scatterChart>
        <c:scatterStyle val="smoothMarker"/>
        <c:varyColors val="0"/>
        <c:ser>
          <c:idx val="1"/>
          <c:order val="1"/>
          <c:tx>
            <c:strRef>
              <c:f>Summary!$C$29</c:f>
              <c:strCache>
                <c:ptCount val="1"/>
                <c:pt idx="0">
                  <c:v>EBIT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Summary!$G$7:$N$7</c:f>
              <c:numCache>
                <c:formatCode>"FY"yy</c:formatCode>
                <c:ptCount val="8"/>
                <c:pt idx="0">
                  <c:v>44592</c:v>
                </c:pt>
                <c:pt idx="1">
                  <c:v>44957</c:v>
                </c:pt>
                <c:pt idx="2">
                  <c:v>45322</c:v>
                </c:pt>
                <c:pt idx="3">
                  <c:v>45688</c:v>
                </c:pt>
                <c:pt idx="4">
                  <c:v>46053</c:v>
                </c:pt>
                <c:pt idx="5">
                  <c:v>46418</c:v>
                </c:pt>
                <c:pt idx="6">
                  <c:v>46783</c:v>
                </c:pt>
                <c:pt idx="7">
                  <c:v>47149</c:v>
                </c:pt>
              </c:numCache>
            </c:numRef>
          </c:xVal>
          <c:yVal>
            <c:numRef>
              <c:f>Summary!$G$29:$N$29</c:f>
              <c:numCache>
                <c:formatCode>_("$"* #,##0_);_("$"* \(#,##0\);_("$"* "-"_);_(@_)</c:formatCode>
                <c:ptCount val="8"/>
                <c:pt idx="0">
                  <c:v>-193020</c:v>
                </c:pt>
                <c:pt idx="1">
                  <c:v>-145610</c:v>
                </c:pt>
                <c:pt idx="2">
                  <c:v>-74411</c:v>
                </c:pt>
                <c:pt idx="3">
                  <c:v>-52852.430000000008</c:v>
                </c:pt>
                <c:pt idx="4">
                  <c:v>-9190</c:v>
                </c:pt>
                <c:pt idx="5">
                  <c:v>8450</c:v>
                </c:pt>
                <c:pt idx="6">
                  <c:v>36600</c:v>
                </c:pt>
                <c:pt idx="7">
                  <c:v>62220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A5-4FD4-82D9-BB9318B0B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9014976"/>
        <c:axId val="249022656"/>
      </c:scatterChart>
      <c:dateAx>
        <c:axId val="249014976"/>
        <c:scaling>
          <c:orientation val="minMax"/>
        </c:scaling>
        <c:delete val="0"/>
        <c:axPos val="b"/>
        <c:numFmt formatCode="&quot;FY&quot;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022656"/>
        <c:crosses val="autoZero"/>
        <c:auto val="1"/>
        <c:lblOffset val="100"/>
        <c:baseTimeUnit val="years"/>
      </c:dateAx>
      <c:valAx>
        <c:axId val="249022656"/>
        <c:scaling>
          <c:orientation val="minMax"/>
          <c:min val="-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90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Graphs!$X$5</c:f>
          <c:strCache>
            <c:ptCount val="1"/>
            <c:pt idx="0">
              <c:v> Revenue &amp; Normalized Gross Margin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'Q3'!$C$11</c:f>
              <c:strCache>
                <c:ptCount val="1"/>
                <c:pt idx="0">
                  <c:v>Revenue: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'Q3'!$E$6:$H$6</c:f>
              <c:strCache>
                <c:ptCount val="4"/>
                <c:pt idx="0">
                  <c:v>Q1-25</c:v>
                </c:pt>
                <c:pt idx="1">
                  <c:v>Q2-25</c:v>
                </c:pt>
                <c:pt idx="2">
                  <c:v>Q3-25</c:v>
                </c:pt>
                <c:pt idx="3">
                  <c:v>Q4-25</c:v>
                </c:pt>
              </c:strCache>
            </c:strRef>
          </c:cat>
          <c:val>
            <c:numRef>
              <c:f>'Q3'!$E$11:$H$11</c:f>
              <c:numCache>
                <c:formatCode>_([$$-409]* #,##0_);_([$$-409]* \(#,##0\);_([$$-409]* "-"??_);_(@_)</c:formatCode>
                <c:ptCount val="4"/>
                <c:pt idx="0">
                  <c:v>21225</c:v>
                </c:pt>
                <c:pt idx="1">
                  <c:v>23383</c:v>
                </c:pt>
                <c:pt idx="2">
                  <c:v>21489</c:v>
                </c:pt>
                <c:pt idx="3">
                  <c:v>31514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DD-49DA-8865-277D092EC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32048"/>
        <c:axId val="1175437328"/>
      </c:barChart>
      <c:scatterChart>
        <c:scatterStyle val="smoothMarker"/>
        <c:varyColors val="0"/>
        <c:ser>
          <c:idx val="1"/>
          <c:order val="1"/>
          <c:tx>
            <c:strRef>
              <c:f>'Q3'!$C$15</c:f>
              <c:strCache>
                <c:ptCount val="1"/>
                <c:pt idx="0">
                  <c:v>% Margin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yVal>
            <c:numRef>
              <c:f>'Q3'!$E$15:$H$15</c:f>
              <c:numCache>
                <c:formatCode>0.0%</c:formatCode>
                <c:ptCount val="4"/>
                <c:pt idx="0">
                  <c:v>0.63038869257950525</c:v>
                </c:pt>
                <c:pt idx="1">
                  <c:v>0.63683017576872092</c:v>
                </c:pt>
                <c:pt idx="2">
                  <c:v>0.6440039089766858</c:v>
                </c:pt>
                <c:pt idx="3">
                  <c:v>0.67338325823443546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DD-49DA-8865-277D092EC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273088"/>
        <c:axId val="295272608"/>
      </c:scatterChart>
      <c:catAx>
        <c:axId val="117543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37328"/>
        <c:crosses val="autoZero"/>
        <c:auto val="1"/>
        <c:lblAlgn val="ctr"/>
        <c:lblOffset val="100"/>
        <c:noMultiLvlLbl val="0"/>
      </c:catAx>
      <c:valAx>
        <c:axId val="1175437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_);_([$$-409]* \(#,##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32048"/>
        <c:crosses val="autoZero"/>
        <c:crossBetween val="between"/>
      </c:valAx>
      <c:valAx>
        <c:axId val="29527260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5273088"/>
        <c:crosses val="max"/>
        <c:crossBetween val="midCat"/>
      </c:valAx>
      <c:valAx>
        <c:axId val="295273088"/>
        <c:scaling>
          <c:orientation val="minMax"/>
        </c:scaling>
        <c:delete val="1"/>
        <c:axPos val="b"/>
        <c:majorTickMark val="out"/>
        <c:minorTickMark val="none"/>
        <c:tickLblPos val="nextTo"/>
        <c:crossAx val="295272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Graphs!$X$20</c:f>
          <c:strCache>
            <c:ptCount val="1"/>
            <c:pt idx="0">
              <c:v>Unlevered Free Cash Flow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'Q3'!$C$39</c:f>
              <c:strCache>
                <c:ptCount val="1"/>
                <c:pt idx="0">
                  <c:v>Q3 Unlevered Free Cash Flow: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'Q3'!$E$6:$H$6</c:f>
              <c:strCache>
                <c:ptCount val="4"/>
                <c:pt idx="0">
                  <c:v>Q1-25</c:v>
                </c:pt>
                <c:pt idx="1">
                  <c:v>Q2-25</c:v>
                </c:pt>
                <c:pt idx="2">
                  <c:v>Q3-25</c:v>
                </c:pt>
                <c:pt idx="3">
                  <c:v>Q4-25</c:v>
                </c:pt>
              </c:strCache>
            </c:strRef>
          </c:cat>
          <c:val>
            <c:numRef>
              <c:f>'Q3'!$E$39:$H$39</c:f>
              <c:numCache>
                <c:formatCode>_(* #,##0_);_(* \(#,##0\);_(* "-"_);_(@_)</c:formatCode>
                <c:ptCount val="4"/>
                <c:pt idx="0">
                  <c:v>-16524</c:v>
                </c:pt>
                <c:pt idx="1">
                  <c:v>-10309</c:v>
                </c:pt>
                <c:pt idx="2">
                  <c:v>-5050</c:v>
                </c:pt>
                <c:pt idx="3">
                  <c:v>6595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9-48FA-8D6E-2291CDC6D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9180672"/>
        <c:axId val="2119178272"/>
      </c:barChart>
      <c:catAx>
        <c:axId val="211918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78272"/>
        <c:crosses val="autoZero"/>
        <c:auto val="1"/>
        <c:lblAlgn val="ctr"/>
        <c:lblOffset val="100"/>
        <c:noMultiLvlLbl val="0"/>
      </c:catAx>
      <c:valAx>
        <c:axId val="211917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180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Graphs!$X$33</c:f>
          <c:strCache>
            <c:ptCount val="1"/>
            <c:pt idx="0">
              <c:v>Revenue by Segment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'Q3'!$C$8</c:f>
              <c:strCache>
                <c:ptCount val="1"/>
                <c:pt idx="0">
                  <c:v>Product revenue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'Q3'!$E$6:$H$6</c:f>
              <c:strCache>
                <c:ptCount val="4"/>
                <c:pt idx="0">
                  <c:v>Q1-25</c:v>
                </c:pt>
                <c:pt idx="1">
                  <c:v>Q2-25</c:v>
                </c:pt>
                <c:pt idx="2">
                  <c:v>Q3-25</c:v>
                </c:pt>
                <c:pt idx="3">
                  <c:v>Q4-25</c:v>
                </c:pt>
              </c:strCache>
            </c:strRef>
          </c:cat>
          <c:val>
            <c:numRef>
              <c:f>'Q3'!$E$8:$H$8</c:f>
              <c:numCache>
                <c:formatCode>_(* #,##0_);_(* \(#,##0\);_(* "-"_);_(@_)</c:formatCode>
                <c:ptCount val="4"/>
                <c:pt idx="0">
                  <c:v>14164</c:v>
                </c:pt>
                <c:pt idx="1">
                  <c:v>16621</c:v>
                </c:pt>
                <c:pt idx="2">
                  <c:v>14556</c:v>
                </c:pt>
                <c:pt idx="3">
                  <c:v>18102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9-49A2-AF89-04DBD91888CB}"/>
            </c:ext>
          </c:extLst>
        </c:ser>
        <c:ser>
          <c:idx val="1"/>
          <c:order val="1"/>
          <c:tx>
            <c:strRef>
              <c:f>'Q3'!$C$9</c:f>
              <c:strCache>
                <c:ptCount val="1"/>
                <c:pt idx="0">
                  <c:v>Software and other services revenue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'Q3'!$E$9:$H$9</c:f>
              <c:numCache>
                <c:formatCode>_(* #,##0_);_(* \(#,##0\);_(* "-"_);_(@_)</c:formatCode>
                <c:ptCount val="4"/>
                <c:pt idx="0">
                  <c:v>7061</c:v>
                </c:pt>
                <c:pt idx="1">
                  <c:v>6762</c:v>
                </c:pt>
                <c:pt idx="2">
                  <c:v>6933</c:v>
                </c:pt>
                <c:pt idx="3">
                  <c:v>13412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29-49A2-AF89-04DBD91888CB}"/>
            </c:ext>
          </c:extLst>
        </c:ser>
        <c:ser>
          <c:idx val="2"/>
          <c:order val="2"/>
          <c:tx>
            <c:strRef>
              <c:f>'Q3'!$C$10</c:f>
              <c:strCache>
                <c:ptCount val="1"/>
                <c:pt idx="0">
                  <c:v>Embedded Revenue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val>
            <c:numRef>
              <c:f>'Q3'!$E$10:$H$10</c:f>
              <c:numCache>
                <c:formatCode>_(* #,##0_);_(* \(#,##0\);_(* "-"_);_(@_)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29-49A2-AF89-04DBD9188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68181168"/>
        <c:axId val="1368172528"/>
      </c:barChart>
      <c:catAx>
        <c:axId val="136818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72528"/>
        <c:crosses val="autoZero"/>
        <c:auto val="1"/>
        <c:lblAlgn val="ctr"/>
        <c:lblOffset val="100"/>
        <c:noMultiLvlLbl val="0"/>
      </c:catAx>
      <c:valAx>
        <c:axId val="13681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8181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strRef>
          <c:f>ValGraph!$W$3</c:f>
          <c:strCache>
            <c:ptCount val="1"/>
            <c:pt idx="0">
              <c:v>Butterfly Network, inc. Valuation - Downside Case - Range of Implied Share Prices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1"/>
          <c:tx>
            <c:strRef>
              <c:f>ValGraph!$K$34</c:f>
              <c:strCache>
                <c:ptCount val="1"/>
                <c:pt idx="0">
                  <c:v> Min Point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ValGraph!$B$36:$B$53</c:f>
              <c:strCache>
                <c:ptCount val="18"/>
                <c:pt idx="0">
                  <c:v>(10% - 12% WACC, 4.5% - 7.5% Free Cash Flow Growth Rate</c:v>
                </c:pt>
                <c:pt idx="1">
                  <c:v>DCF Output:</c:v>
                </c:pt>
                <c:pt idx="2">
                  <c:v>1-Month Premiums:</c:v>
                </c:pt>
                <c:pt idx="3">
                  <c:v>1-Week Premiums:</c:v>
                </c:pt>
                <c:pt idx="4">
                  <c:v>1-Day Premiums:</c:v>
                </c:pt>
                <c:pt idx="5">
                  <c:v>2025-09-30 EV / EBITDA:</c:v>
                </c:pt>
                <c:pt idx="6">
                  <c:v>2025-09-30 EV / Revenue:</c:v>
                </c:pt>
                <c:pt idx="7">
                  <c:v>Precedent Transactions:</c:v>
                </c:pt>
                <c:pt idx="8">
                  <c:v>CY 22 P / E:</c:v>
                </c:pt>
                <c:pt idx="9">
                  <c:v>CY 21 P / E:</c:v>
                </c:pt>
                <c:pt idx="10">
                  <c:v>LTM P / E:</c:v>
                </c:pt>
                <c:pt idx="11">
                  <c:v>CY 22 TEV / EBITDA:</c:v>
                </c:pt>
                <c:pt idx="12">
                  <c:v>CY 21 TEV / EBITDA:</c:v>
                </c:pt>
                <c:pt idx="13">
                  <c:v>LTM TEV / EBITDA:</c:v>
                </c:pt>
                <c:pt idx="14">
                  <c:v>CY 22 TEV / Revenue:</c:v>
                </c:pt>
                <c:pt idx="15">
                  <c:v>CY 21 TEV / Revenue:</c:v>
                </c:pt>
                <c:pt idx="16">
                  <c:v>LTM TEV / Revenue:</c:v>
                </c:pt>
                <c:pt idx="17">
                  <c:v>Comparable Public Companies:</c:v>
                </c:pt>
              </c:strCache>
            </c:strRef>
          </c:cat>
          <c:val>
            <c:numRef>
              <c:f>ValGraph!$K$36:$K$53</c:f>
              <c:numCache>
                <c:formatCode>_("$"* #,##0.00_);_("$"* \(#,##0.00\);_("$"* "-"??_);_(@_)</c:formatCode>
                <c:ptCount val="18"/>
                <c:pt idx="0" formatCode="_(* #,##0.00_);_(* \(#,##0.00\);_(* &quot;-&quot;??_);_(@_)">
                  <c:v>3.8333489864820489</c:v>
                </c:pt>
                <c:pt idx="3" formatCode="_(* #,##0.00_);_(* \(#,##0.00\);_(* &quot;-&quot;??_);_(@_)">
                  <c:v>3.4912421661578024</c:v>
                </c:pt>
                <c:pt idx="4" formatCode="_(* #,##0.00_);_(* \(#,##0.00\);_(* &quot;-&quot;??_);_(@_)">
                  <c:v>3.2907762305252999</c:v>
                </c:pt>
                <c:pt idx="5" formatCode="_(* #,##0.00_);_(* \(#,##0.00\);_(* &quot;-&quot;??_);_(@_)">
                  <c:v>-3.8480565838913985</c:v>
                </c:pt>
                <c:pt idx="6" formatCode="_(* #,##0.00_);_(* \(#,##0.00\);_(* &quot;-&quot;??_);_(@_)">
                  <c:v>1.2274242490874712</c:v>
                </c:pt>
                <c:pt idx="8" formatCode="_(* #,##0.00_);_(* \(#,##0.00\);_(* &quot;-&quot;??_);_(@_)">
                  <c:v>0.17632706700726827</c:v>
                </c:pt>
                <c:pt idx="9" formatCode="_(* #,##0.00_);_(* \(#,##0.00\);_(* &quot;-&quot;??_);_(@_)">
                  <c:v>-0.9435309297568869</c:v>
                </c:pt>
                <c:pt idx="10" formatCode="_(* #,##0.00_);_(* \(#,##0.00\);_(* &quot;-&quot;??_);_(@_)">
                  <c:v>-1.1296632159897151</c:v>
                </c:pt>
                <c:pt idx="11" formatCode="_(* #,##0.00_);_(* \(#,##0.00\);_(* &quot;-&quot;??_);_(@_)">
                  <c:v>0.31800470096347494</c:v>
                </c:pt>
                <c:pt idx="12" formatCode="_(* #,##0.00_);_(* \(#,##0.00\);_(* &quot;-&quot;??_);_(@_)">
                  <c:v>-0.55967978484649605</c:v>
                </c:pt>
                <c:pt idx="13" formatCode="_(* #,##0.00_);_(* \(#,##0.00\);_(* &quot;-&quot;??_);_(@_)">
                  <c:v>4.3064937656788542</c:v>
                </c:pt>
                <c:pt idx="14" formatCode="_(* #,##0.00_);_(* \(#,##0.00\);_(* &quot;-&quot;??_);_(@_)">
                  <c:v>0.67807381573875514</c:v>
                </c:pt>
                <c:pt idx="15" formatCode="_(* #,##0.00_);_(* \(#,##0.00\);_(* &quot;-&quot;??_);_(@_)">
                  <c:v>0.72393352794088683</c:v>
                </c:pt>
                <c:pt idx="16" formatCode="_(* #,##0.00_);_(* \(#,##0.00\);_(* &quot;-&quot;??_);_(@_)">
                  <c:v>1.3727182612853375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FE-4753-9980-E9740BA67418}"/>
            </c:ext>
          </c:extLst>
        </c:ser>
        <c:ser>
          <c:idx val="1"/>
          <c:order val="2"/>
          <c:tx>
            <c:strRef>
              <c:f>ValGraph!$L$34</c:f>
              <c:strCache>
                <c:ptCount val="1"/>
                <c:pt idx="0">
                  <c:v> 25th Point 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ValGraph!$B$36:$B$53</c:f>
              <c:strCache>
                <c:ptCount val="18"/>
                <c:pt idx="0">
                  <c:v>(10% - 12% WACC, 4.5% - 7.5% Free Cash Flow Growth Rate</c:v>
                </c:pt>
                <c:pt idx="1">
                  <c:v>DCF Output:</c:v>
                </c:pt>
                <c:pt idx="2">
                  <c:v>1-Month Premiums:</c:v>
                </c:pt>
                <c:pt idx="3">
                  <c:v>1-Week Premiums:</c:v>
                </c:pt>
                <c:pt idx="4">
                  <c:v>1-Day Premiums:</c:v>
                </c:pt>
                <c:pt idx="5">
                  <c:v>2025-09-30 EV / EBITDA:</c:v>
                </c:pt>
                <c:pt idx="6">
                  <c:v>2025-09-30 EV / Revenue:</c:v>
                </c:pt>
                <c:pt idx="7">
                  <c:v>Precedent Transactions:</c:v>
                </c:pt>
                <c:pt idx="8">
                  <c:v>CY 22 P / E:</c:v>
                </c:pt>
                <c:pt idx="9">
                  <c:v>CY 21 P / E:</c:v>
                </c:pt>
                <c:pt idx="10">
                  <c:v>LTM P / E:</c:v>
                </c:pt>
                <c:pt idx="11">
                  <c:v>CY 22 TEV / EBITDA:</c:v>
                </c:pt>
                <c:pt idx="12">
                  <c:v>CY 21 TEV / EBITDA:</c:v>
                </c:pt>
                <c:pt idx="13">
                  <c:v>LTM TEV / EBITDA:</c:v>
                </c:pt>
                <c:pt idx="14">
                  <c:v>CY 22 TEV / Revenue:</c:v>
                </c:pt>
                <c:pt idx="15">
                  <c:v>CY 21 TEV / Revenue:</c:v>
                </c:pt>
                <c:pt idx="16">
                  <c:v>LTM TEV / Revenue:</c:v>
                </c:pt>
                <c:pt idx="17">
                  <c:v>Comparable Public Companies:</c:v>
                </c:pt>
              </c:strCache>
            </c:strRef>
          </c:cat>
          <c:val>
            <c:numRef>
              <c:f>ValGraph!$L$36:$L$53</c:f>
              <c:numCache>
                <c:formatCode>_("$"* #,##0.00_);_("$"* \(#,##0.00\);_("$"* "-"??_);_(@_)</c:formatCode>
                <c:ptCount val="18"/>
                <c:pt idx="0" formatCode="_(* #,##0.00_);_(* \(#,##0.00\);_(* &quot;-&quot;??_);_(@_)">
                  <c:v>8.5624009039207305E-2</c:v>
                </c:pt>
                <c:pt idx="3" formatCode="_(* #,##0.00_);_(* \(#,##0.00\);_(* &quot;-&quot;??_);_(@_)">
                  <c:v>0.15369567188407007</c:v>
                </c:pt>
                <c:pt idx="4" formatCode="_(* #,##0.00_);_(* \(#,##0.00\);_(* &quot;-&quot;??_);_(@_)">
                  <c:v>0.32733589589751144</c:v>
                </c:pt>
                <c:pt idx="5" formatCode="_(* #,##0.00_);_(* \(#,##0.00\);_(* &quot;-&quot;??_);_(@_)">
                  <c:v>-0.87705994170454415</c:v>
                </c:pt>
                <c:pt idx="6" formatCode="_(* #,##0.00_);_(* \(#,##0.00\);_(* &quot;-&quot;??_);_(@_)">
                  <c:v>0.37852652864084213</c:v>
                </c:pt>
                <c:pt idx="8" formatCode="_(* #,##0.00_);_(* \(#,##0.00\);_(* &quot;-&quot;??_);_(@_)">
                  <c:v>-9.4111787016697868E-2</c:v>
                </c:pt>
                <c:pt idx="9" formatCode="_(* #,##0.00_);_(* \(#,##0.00\);_(* &quot;-&quot;??_);_(@_)">
                  <c:v>-0.6388262576083662</c:v>
                </c:pt>
                <c:pt idx="10" formatCode="_(* #,##0.00_);_(* \(#,##0.00\);_(* &quot;-&quot;??_);_(@_)">
                  <c:v>-0.15775628787549945</c:v>
                </c:pt>
                <c:pt idx="11" formatCode="_(* #,##0.00_);_(* \(#,##0.00\);_(* &quot;-&quot;??_);_(@_)">
                  <c:v>-6.6182035434571407E-2</c:v>
                </c:pt>
                <c:pt idx="12" formatCode="_(* #,##0.00_);_(* \(#,##0.00\);_(* &quot;-&quot;??_);_(@_)">
                  <c:v>-0.84482050715299883</c:v>
                </c:pt>
                <c:pt idx="13" formatCode="_(* #,##0.00_);_(* \(#,##0.00\);_(* &quot;-&quot;??_);_(@_)">
                  <c:v>0.31871759423451085</c:v>
                </c:pt>
                <c:pt idx="14" formatCode="_(* #,##0.00_);_(* \(#,##0.00\);_(* &quot;-&quot;??_);_(@_)">
                  <c:v>0.13655031105058313</c:v>
                </c:pt>
                <c:pt idx="15" formatCode="_(* #,##0.00_);_(* \(#,##0.00\);_(* &quot;-&quot;??_);_(@_)">
                  <c:v>0.16383290925533323</c:v>
                </c:pt>
                <c:pt idx="16" formatCode="_(* #,##0.00_);_(* \(#,##0.00\);_(* &quot;-&quot;??_);_(@_)">
                  <c:v>0.44345386439096912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FE-4753-9980-E9740BA67418}"/>
            </c:ext>
          </c:extLst>
        </c:ser>
        <c:ser>
          <c:idx val="2"/>
          <c:order val="3"/>
          <c:tx>
            <c:strRef>
              <c:f>ValGraph!$M$34</c:f>
              <c:strCache>
                <c:ptCount val="1"/>
                <c:pt idx="0">
                  <c:v> Median Point </c:v>
                </c:pt>
              </c:strCache>
            </c:strRef>
          </c:tx>
          <c:spPr>
            <a:solidFill>
              <a:schemeClr val="accent4">
                <a:shade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ValGraph!$B$36:$B$53</c:f>
              <c:strCache>
                <c:ptCount val="18"/>
                <c:pt idx="0">
                  <c:v>(10% - 12% WACC, 4.5% - 7.5% Free Cash Flow Growth Rate</c:v>
                </c:pt>
                <c:pt idx="1">
                  <c:v>DCF Output:</c:v>
                </c:pt>
                <c:pt idx="2">
                  <c:v>1-Month Premiums:</c:v>
                </c:pt>
                <c:pt idx="3">
                  <c:v>1-Week Premiums:</c:v>
                </c:pt>
                <c:pt idx="4">
                  <c:v>1-Day Premiums:</c:v>
                </c:pt>
                <c:pt idx="5">
                  <c:v>2025-09-30 EV / EBITDA:</c:v>
                </c:pt>
                <c:pt idx="6">
                  <c:v>2025-09-30 EV / Revenue:</c:v>
                </c:pt>
                <c:pt idx="7">
                  <c:v>Precedent Transactions:</c:v>
                </c:pt>
                <c:pt idx="8">
                  <c:v>CY 22 P / E:</c:v>
                </c:pt>
                <c:pt idx="9">
                  <c:v>CY 21 P / E:</c:v>
                </c:pt>
                <c:pt idx="10">
                  <c:v>LTM P / E:</c:v>
                </c:pt>
                <c:pt idx="11">
                  <c:v>CY 22 TEV / EBITDA:</c:v>
                </c:pt>
                <c:pt idx="12">
                  <c:v>CY 21 TEV / EBITDA:</c:v>
                </c:pt>
                <c:pt idx="13">
                  <c:v>LTM TEV / EBITDA:</c:v>
                </c:pt>
                <c:pt idx="14">
                  <c:v>CY 22 TEV / Revenue:</c:v>
                </c:pt>
                <c:pt idx="15">
                  <c:v>CY 21 TEV / Revenue:</c:v>
                </c:pt>
                <c:pt idx="16">
                  <c:v>LTM TEV / Revenue:</c:v>
                </c:pt>
                <c:pt idx="17">
                  <c:v>Comparable Public Companies:</c:v>
                </c:pt>
              </c:strCache>
            </c:strRef>
          </c:cat>
          <c:val>
            <c:numRef>
              <c:f>ValGraph!$M$36:$M$53</c:f>
              <c:numCache>
                <c:formatCode>_("$"* #,##0.00_);_("$"* \(#,##0.00\);_("$"* "-"??_);_(@_)</c:formatCode>
                <c:ptCount val="18"/>
                <c:pt idx="0" formatCode="_(* #,##0.00_);_(* \(#,##0.00\);_(* &quot;-&quot;??_);_(@_)">
                  <c:v>0.14307236798429157</c:v>
                </c:pt>
                <c:pt idx="3" formatCode="_(* #,##0.00_);_(* \(#,##0.00\);_(* &quot;-&quot;??_);_(@_)">
                  <c:v>0.10012802292108747</c:v>
                </c:pt>
                <c:pt idx="4" formatCode="_(* #,##0.00_);_(* \(#,##0.00\);_(* &quot;-&quot;??_);_(@_)">
                  <c:v>0.17165988221981587</c:v>
                </c:pt>
                <c:pt idx="5" formatCode="_(* #,##0.00_);_(* \(#,##0.00\);_(* &quot;-&quot;??_);_(@_)">
                  <c:v>-0.42846089129720344</c:v>
                </c:pt>
                <c:pt idx="6" formatCode="_(* #,##0.00_);_(* \(#,##0.00\);_(* &quot;-&quot;??_);_(@_)">
                  <c:v>0.44123029936968727</c:v>
                </c:pt>
                <c:pt idx="8" formatCode="_(* #,##0.00_);_(* \(#,##0.00\);_(* &quot;-&quot;??_);_(@_)">
                  <c:v>-0.20054009803029774</c:v>
                </c:pt>
                <c:pt idx="9" formatCode="_(* #,##0.00_);_(* \(#,##0.00\);_(* &quot;-&quot;??_);_(@_)">
                  <c:v>-1.140051086892047</c:v>
                </c:pt>
                <c:pt idx="10" formatCode="_(* #,##0.00_);_(* \(#,##0.00\);_(* &quot;-&quot;??_);_(@_)">
                  <c:v>-1.625685854954247</c:v>
                </c:pt>
                <c:pt idx="11" formatCode="_(* #,##0.00_);_(* \(#,##0.00\);_(* &quot;-&quot;??_);_(@_)">
                  <c:v>-5.5981069681311862E-2</c:v>
                </c:pt>
                <c:pt idx="12" formatCode="_(* #,##0.00_);_(* \(#,##0.00\);_(* &quot;-&quot;??_);_(@_)">
                  <c:v>-0.75558961246755052</c:v>
                </c:pt>
                <c:pt idx="13" formatCode="_(* #,##0.00_);_(* \(#,##0.00\);_(* &quot;-&quot;??_);_(@_)">
                  <c:v>5.5549281299934901</c:v>
                </c:pt>
                <c:pt idx="14" formatCode="_(* #,##0.00_);_(* \(#,##0.00\);_(* &quot;-&quot;??_);_(@_)">
                  <c:v>7.1901236968015425E-2</c:v>
                </c:pt>
                <c:pt idx="15" formatCode="_(* #,##0.00_);_(* \(#,##0.00\);_(* &quot;-&quot;??_);_(@_)">
                  <c:v>9.9464369760708937E-2</c:v>
                </c:pt>
                <c:pt idx="16" formatCode="_(* #,##0.00_);_(* \(#,##0.00\);_(* &quot;-&quot;??_);_(@_)">
                  <c:v>0.34812289418924847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FE-4753-9980-E9740BA67418}"/>
            </c:ext>
          </c:extLst>
        </c:ser>
        <c:ser>
          <c:idx val="3"/>
          <c:order val="4"/>
          <c:tx>
            <c:strRef>
              <c:f>ValGraph!$N$34</c:f>
              <c:strCache>
                <c:ptCount val="1"/>
                <c:pt idx="0">
                  <c:v> 75th Point </c:v>
                </c:pt>
              </c:strCache>
            </c:strRef>
          </c:tx>
          <c:spPr>
            <a:solidFill>
              <a:schemeClr val="accent4">
                <a:tint val="9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ValGraph!$B$36:$B$53</c:f>
              <c:strCache>
                <c:ptCount val="18"/>
                <c:pt idx="0">
                  <c:v>(10% - 12% WACC, 4.5% - 7.5% Free Cash Flow Growth Rate</c:v>
                </c:pt>
                <c:pt idx="1">
                  <c:v>DCF Output:</c:v>
                </c:pt>
                <c:pt idx="2">
                  <c:v>1-Month Premiums:</c:v>
                </c:pt>
                <c:pt idx="3">
                  <c:v>1-Week Premiums:</c:v>
                </c:pt>
                <c:pt idx="4">
                  <c:v>1-Day Premiums:</c:v>
                </c:pt>
                <c:pt idx="5">
                  <c:v>2025-09-30 EV / EBITDA:</c:v>
                </c:pt>
                <c:pt idx="6">
                  <c:v>2025-09-30 EV / Revenue:</c:v>
                </c:pt>
                <c:pt idx="7">
                  <c:v>Precedent Transactions:</c:v>
                </c:pt>
                <c:pt idx="8">
                  <c:v>CY 22 P / E:</c:v>
                </c:pt>
                <c:pt idx="9">
                  <c:v>CY 21 P / E:</c:v>
                </c:pt>
                <c:pt idx="10">
                  <c:v>LTM P / E:</c:v>
                </c:pt>
                <c:pt idx="11">
                  <c:v>CY 22 TEV / EBITDA:</c:v>
                </c:pt>
                <c:pt idx="12">
                  <c:v>CY 21 TEV / EBITDA:</c:v>
                </c:pt>
                <c:pt idx="13">
                  <c:v>LTM TEV / EBITDA:</c:v>
                </c:pt>
                <c:pt idx="14">
                  <c:v>CY 22 TEV / Revenue:</c:v>
                </c:pt>
                <c:pt idx="15">
                  <c:v>CY 21 TEV / Revenue:</c:v>
                </c:pt>
                <c:pt idx="16">
                  <c:v>LTM TEV / Revenue:</c:v>
                </c:pt>
                <c:pt idx="17">
                  <c:v>Comparable Public Companies:</c:v>
                </c:pt>
              </c:strCache>
            </c:strRef>
          </c:cat>
          <c:val>
            <c:numRef>
              <c:f>ValGraph!$N$36:$N$53</c:f>
              <c:numCache>
                <c:formatCode>_("$"* #,##0.00_);_("$"* \(#,##0.00\);_("$"* "-"??_);_(@_)</c:formatCode>
                <c:ptCount val="18"/>
                <c:pt idx="0" formatCode="_(* #,##0.00_);_(* \(#,##0.00\);_(* &quot;-&quot;??_);_(@_)">
                  <c:v>0.14546462961608597</c:v>
                </c:pt>
                <c:pt idx="3" formatCode="_(* #,##0.00_);_(* \(#,##0.00\);_(* &quot;-&quot;??_);_(@_)">
                  <c:v>0.40576207603570325</c:v>
                </c:pt>
                <c:pt idx="4" formatCode="_(* #,##0.00_);_(* \(#,##0.00\);_(* &quot;-&quot;??_);_(@_)">
                  <c:v>7.0782938886271296E-2</c:v>
                </c:pt>
                <c:pt idx="5" formatCode="_(* #,##0.00_);_(* \(#,##0.00\);_(* &quot;-&quot;??_);_(@_)">
                  <c:v>-2.5581419802371261</c:v>
                </c:pt>
                <c:pt idx="6" formatCode="_(* #,##0.00_);_(* \(#,##0.00\);_(* &quot;-&quot;??_);_(@_)">
                  <c:v>0.7304910091956005</c:v>
                </c:pt>
                <c:pt idx="8" formatCode="_(* #,##0.00_);_(* \(#,##0.00\);_(* &quot;-&quot;??_);_(@_)">
                  <c:v>-0.27205636037341874</c:v>
                </c:pt>
                <c:pt idx="9" formatCode="_(* #,##0.00_);_(* \(#,##0.00\);_(* &quot;-&quot;??_);_(@_)">
                  <c:v>-1.9262766710279227</c:v>
                </c:pt>
                <c:pt idx="10" formatCode="_(* #,##0.00_);_(* \(#,##0.00\);_(* &quot;-&quot;??_);_(@_)">
                  <c:v>-1.5762028560456005</c:v>
                </c:pt>
                <c:pt idx="11" formatCode="_(* #,##0.00_);_(* \(#,##0.00\);_(* &quot;-&quot;??_);_(@_)">
                  <c:v>-5.6438667576594465E-2</c:v>
                </c:pt>
                <c:pt idx="12" formatCode="_(* #,##0.00_);_(* \(#,##0.00\);_(* &quot;-&quot;??_);_(@_)">
                  <c:v>-0.80482794656512624</c:v>
                </c:pt>
                <c:pt idx="13" formatCode="_(* #,##0.00_);_(* \(#,##0.00\);_(* &quot;-&quot;??_);_(@_)">
                  <c:v>7.06101854068765</c:v>
                </c:pt>
                <c:pt idx="14" formatCode="_(* #,##0.00_);_(* \(#,##0.00\);_(* &quot;-&quot;??_);_(@_)">
                  <c:v>0.57932520399629783</c:v>
                </c:pt>
                <c:pt idx="15" formatCode="_(* #,##0.00_);_(* \(#,##0.00\);_(* &quot;-&quot;??_);_(@_)">
                  <c:v>0.68917648043711377</c:v>
                </c:pt>
                <c:pt idx="16" formatCode="_(* #,##0.00_);_(* \(#,##0.00\);_(* &quot;-&quot;??_);_(@_)">
                  <c:v>0.36924409100890276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FE-4753-9980-E9740BA67418}"/>
            </c:ext>
          </c:extLst>
        </c:ser>
        <c:ser>
          <c:idx val="4"/>
          <c:order val="5"/>
          <c:tx>
            <c:strRef>
              <c:f>ValGraph!$O$34</c:f>
              <c:strCache>
                <c:ptCount val="1"/>
                <c:pt idx="0">
                  <c:v> Max Point 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ValGraph!$B$36:$B$53</c:f>
              <c:strCache>
                <c:ptCount val="18"/>
                <c:pt idx="0">
                  <c:v>(10% - 12% WACC, 4.5% - 7.5% Free Cash Flow Growth Rate</c:v>
                </c:pt>
                <c:pt idx="1">
                  <c:v>DCF Output:</c:v>
                </c:pt>
                <c:pt idx="2">
                  <c:v>1-Month Premiums:</c:v>
                </c:pt>
                <c:pt idx="3">
                  <c:v>1-Week Premiums:</c:v>
                </c:pt>
                <c:pt idx="4">
                  <c:v>1-Day Premiums:</c:v>
                </c:pt>
                <c:pt idx="5">
                  <c:v>2025-09-30 EV / EBITDA:</c:v>
                </c:pt>
                <c:pt idx="6">
                  <c:v>2025-09-30 EV / Revenue:</c:v>
                </c:pt>
                <c:pt idx="7">
                  <c:v>Precedent Transactions:</c:v>
                </c:pt>
                <c:pt idx="8">
                  <c:v>CY 22 P / E:</c:v>
                </c:pt>
                <c:pt idx="9">
                  <c:v>CY 21 P / E:</c:v>
                </c:pt>
                <c:pt idx="10">
                  <c:v>LTM P / E:</c:v>
                </c:pt>
                <c:pt idx="11">
                  <c:v>CY 22 TEV / EBITDA:</c:v>
                </c:pt>
                <c:pt idx="12">
                  <c:v>CY 21 TEV / EBITDA:</c:v>
                </c:pt>
                <c:pt idx="13">
                  <c:v>LTM TEV / EBITDA:</c:v>
                </c:pt>
                <c:pt idx="14">
                  <c:v>CY 22 TEV / Revenue:</c:v>
                </c:pt>
                <c:pt idx="15">
                  <c:v>CY 21 TEV / Revenue:</c:v>
                </c:pt>
                <c:pt idx="16">
                  <c:v>LTM TEV / Revenue:</c:v>
                </c:pt>
                <c:pt idx="17">
                  <c:v>Comparable Public Companies:</c:v>
                </c:pt>
              </c:strCache>
            </c:strRef>
          </c:cat>
          <c:val>
            <c:numRef>
              <c:f>ValGraph!$O$36:$O$53</c:f>
              <c:numCache>
                <c:formatCode>General</c:formatCode>
                <c:ptCount val="18"/>
                <c:pt idx="0" formatCode="_(* #,##0.00_);_(* \(#,##0.00\);_(* &quot;-&quot;??_);_(@_)">
                  <c:v>9.0751652200519395E-2</c:v>
                </c:pt>
                <c:pt idx="3" formatCode="_(* #,##0.00_);_(* \(#,##0.00\);_(* &quot;-&quot;??_);_(@_)">
                  <c:v>0.58519957804862788</c:v>
                </c:pt>
                <c:pt idx="4" formatCode="_(* #,##0.00_);_(* \(#,##0.00\);_(* &quot;-&quot;??_);_(@_)">
                  <c:v>0.93317873393324291</c:v>
                </c:pt>
                <c:pt idx="5" formatCode="_(* #,##0.00_);_(* \(#,##0.00\);_(* &quot;-&quot;??_);_(@_)">
                  <c:v>-7.2661032085243065</c:v>
                </c:pt>
                <c:pt idx="6" formatCode="_(* #,##0.00_);_(* \(#,##0.00\);_(* &quot;-&quot;??_);_(@_)">
                  <c:v>1.1721708346840214</c:v>
                </c:pt>
                <c:pt idx="8" formatCode="_(* #,##0.00_);_(* \(#,##0.00\);_(* &quot;-&quot;??_);_(@_)">
                  <c:v>-0.30866057404606057</c:v>
                </c:pt>
                <c:pt idx="9" formatCode="_(* #,##0.00_);_(* \(#,##0.00\);_(* &quot;-&quot;??_);_(@_)">
                  <c:v>-2.9975030100159925</c:v>
                </c:pt>
                <c:pt idx="10" formatCode="_(* #,##0.00_);_(* \(#,##0.00\);_(* &quot;-&quot;??_);_(@_)">
                  <c:v>-9.307291149555752E-3</c:v>
                </c:pt>
                <c:pt idx="11" formatCode="_(* #,##0.00_);_(* \(#,##0.00\);_(* &quot;-&quot;??_);_(@_)">
                  <c:v>-2.1398763729941636E-2</c:v>
                </c:pt>
                <c:pt idx="12" formatCode="_(* #,##0.00_);_(* \(#,##0.00\);_(* &quot;-&quot;??_);_(@_)">
                  <c:v>-1.7457224984133539</c:v>
                </c:pt>
                <c:pt idx="13" formatCode="_(* #,##0.00_);_(* \(#,##0.00\);_(* &quot;-&quot;??_);_(@_)">
                  <c:v>4.8369888263169791</c:v>
                </c:pt>
                <c:pt idx="14" formatCode="_(* #,##0.00_);_(* \(#,##0.00\);_(* &quot;-&quot;??_);_(@_)">
                  <c:v>0.83151062852462432</c:v>
                </c:pt>
                <c:pt idx="15" formatCode="_(* #,##0.00_);_(* \(#,##0.00\);_(* &quot;-&quot;??_);_(@_)">
                  <c:v>1.4453324322543326</c:v>
                </c:pt>
                <c:pt idx="16" formatCode="_(* #,##0.00_);_(* \(#,##0.00\);_(* &quot;-&quot;??_);_(@_)">
                  <c:v>1.276692601186225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FE-4753-9980-E9740BA67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1372095"/>
        <c:axId val="261373055"/>
      </c:barChart>
      <c:scatterChart>
        <c:scatterStyle val="smoothMarker"/>
        <c:varyColors val="0"/>
        <c:ser>
          <c:idx val="5"/>
          <c:order val="0"/>
          <c:tx>
            <c:strRef>
              <c:f>ValGraph!$B$54</c:f>
              <c:strCache>
                <c:ptCount val="1"/>
                <c:pt idx="0">
                  <c:v>Current Share Price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ValGraph!$E$54:$I$54</c:f>
              <c:numCache>
                <c:formatCode>_(* #,##0.00_);_(* \(#,##0.00\);_(* "-"??_);_(@_)</c:formatCode>
                <c:ptCount val="5"/>
                <c:pt idx="0">
                  <c:v>3.06</c:v>
                </c:pt>
                <c:pt idx="1">
                  <c:v>3.06</c:v>
                </c:pt>
                <c:pt idx="2">
                  <c:v>3.06</c:v>
                </c:pt>
                <c:pt idx="3">
                  <c:v>3.06</c:v>
                </c:pt>
                <c:pt idx="4">
                  <c:v>3.06</c:v>
                </c:pt>
              </c:numCache>
            </c:numRef>
          </c:xVal>
          <c:yVal>
            <c:numRef>
              <c:f>ValGraph!$K$54:$O$54</c:f>
              <c:numCache>
                <c:formatCode>_(* #,##0.00_);_(* \(#,##0.00\);_(* "-"??_);_(@_)</c:formatCode>
                <c:ptCount val="5"/>
                <c:pt idx="0">
                  <c:v>1000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CCFE-4753-9980-E9740BA67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765967"/>
        <c:axId val="571765487"/>
      </c:scatterChart>
      <c:catAx>
        <c:axId val="261372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73055"/>
        <c:crosses val="autoZero"/>
        <c:auto val="1"/>
        <c:lblAlgn val="ctr"/>
        <c:lblOffset val="100"/>
        <c:noMultiLvlLbl val="0"/>
      </c:catAx>
      <c:valAx>
        <c:axId val="261373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372095"/>
        <c:crosses val="autoZero"/>
        <c:crossBetween val="between"/>
      </c:valAx>
      <c:valAx>
        <c:axId val="571765487"/>
        <c:scaling>
          <c:orientation val="minMax"/>
          <c:max val="100"/>
          <c:min val="0"/>
        </c:scaling>
        <c:delete val="1"/>
        <c:axPos val="r"/>
        <c:numFmt formatCode="_(* #,##0.00_);_(* \(#,##0.00\);_(* &quot;-&quot;??_);_(@_)" sourceLinked="1"/>
        <c:majorTickMark val="out"/>
        <c:minorTickMark val="none"/>
        <c:tickLblPos val="nextTo"/>
        <c:crossAx val="571765967"/>
        <c:crosses val="max"/>
        <c:crossBetween val="midCat"/>
      </c:valAx>
      <c:valAx>
        <c:axId val="571765967"/>
        <c:scaling>
          <c:orientation val="minMax"/>
        </c:scaling>
        <c:delete val="1"/>
        <c:axPos val="b"/>
        <c:numFmt formatCode="_(* #,##0.00_);_(* \(#,##0.00\);_(* &quot;-&quot;??_);_(@_)" sourceLinked="1"/>
        <c:majorTickMark val="out"/>
        <c:minorTickMark val="none"/>
        <c:tickLblPos val="nextTo"/>
        <c:crossAx val="571765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1377950</xdr:colOff>
      <xdr:row>2</xdr:row>
      <xdr:rowOff>101600</xdr:rowOff>
    </xdr:from>
    <xdr:to>
      <xdr:col>2</xdr:col>
      <xdr:colOff>1371600</xdr:colOff>
      <xdr:row>10</xdr:row>
      <xdr:rowOff>158750</xdr:rowOff>
    </xdr:to>
    <xdr:pic>
      <xdr:nvPicPr>
        <xdr:cNvPr id="4" name="Picture 3" descr="Butterfly Network, Inc. | LinkedIn">
          <a:extLst>
            <a:ext uri="{FF2B5EF4-FFF2-40B4-BE49-F238E27FC236}">
              <a16:creationId xmlns:a16="http://schemas.microsoft.com/office/drawing/2014/main" id="{A374CD3B-4BBB-6921-BF80-1170C8283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7550" y="520700"/>
          <a:ext cx="1682750" cy="168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380066</xdr:colOff>
      <xdr:row>108</xdr:row>
      <xdr:rowOff>155201</xdr:rowOff>
    </xdr:from>
    <xdr:to>
      <xdr:col>14</xdr:col>
      <xdr:colOff>224118</xdr:colOff>
      <xdr:row>127</xdr:row>
      <xdr:rowOff>18676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51EAB1C-B10F-ACB5-669A-10FC07971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63</xdr:row>
      <xdr:rowOff>99171</xdr:rowOff>
    </xdr:from>
    <xdr:to>
      <xdr:col>7</xdr:col>
      <xdr:colOff>37354</xdr:colOff>
      <xdr:row>77</xdr:row>
      <xdr:rowOff>28014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A522580-13CC-1048-414F-505FFBF006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136408</xdr:colOff>
      <xdr:row>63</xdr:row>
      <xdr:rowOff>104188</xdr:rowOff>
    </xdr:from>
    <xdr:to>
      <xdr:col>14</xdr:col>
      <xdr:colOff>428037</xdr:colOff>
      <xdr:row>77</xdr:row>
      <xdr:rowOff>48684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B1325C63-36D6-FAC1-8DFC-515239F61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77</xdr:row>
      <xdr:rowOff>185617</xdr:rowOff>
    </xdr:from>
    <xdr:to>
      <xdr:col>7</xdr:col>
      <xdr:colOff>48847</xdr:colOff>
      <xdr:row>91</xdr:row>
      <xdr:rowOff>48847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F76BD17-27E8-12A1-A0D4-E79B41F70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151422</xdr:colOff>
      <xdr:row>77</xdr:row>
      <xdr:rowOff>181709</xdr:rowOff>
    </xdr:from>
    <xdr:to>
      <xdr:col>14</xdr:col>
      <xdr:colOff>410308</xdr:colOff>
      <xdr:row>91</xdr:row>
      <xdr:rowOff>58615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0EB48E78-FD2F-DAA0-9249-85A206A4B7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92</xdr:row>
      <xdr:rowOff>66842</xdr:rowOff>
    </xdr:from>
    <xdr:to>
      <xdr:col>7</xdr:col>
      <xdr:colOff>66841</xdr:colOff>
      <xdr:row>106</xdr:row>
      <xdr:rowOff>183816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4B57C49-7829-C7B3-B7E1-830F32535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153737</xdr:colOff>
      <xdr:row>92</xdr:row>
      <xdr:rowOff>115636</xdr:rowOff>
    </xdr:from>
    <xdr:to>
      <xdr:col>14</xdr:col>
      <xdr:colOff>384342</xdr:colOff>
      <xdr:row>106</xdr:row>
      <xdr:rowOff>167105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5D669AB-F18F-89A2-EB17-C03FE0EA90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3341</xdr:colOff>
      <xdr:row>2</xdr:row>
      <xdr:rowOff>115636</xdr:rowOff>
    </xdr:from>
    <xdr:to>
      <xdr:col>12</xdr:col>
      <xdr:colOff>401052</xdr:colOff>
      <xdr:row>27</xdr:row>
      <xdr:rowOff>133684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B6EAFBC8-9CD4-2921-B6D0-A5AEE7B93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38100</xdr:colOff>
      <xdr:row>45</xdr:row>
      <xdr:rowOff>196850</xdr:rowOff>
    </xdr:from>
    <xdr:to>
      <xdr:col>12</xdr:col>
      <xdr:colOff>381000</xdr:colOff>
      <xdr:row>63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768245-A517-A97D-F318-22172E593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28</xdr:row>
      <xdr:rowOff>12700</xdr:rowOff>
    </xdr:from>
    <xdr:to>
      <xdr:col>12</xdr:col>
      <xdr:colOff>393700</xdr:colOff>
      <xdr:row>45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6DC5973-7F13-D594-238E-A39BA6142E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19</xdr:col>
      <xdr:colOff>577490</xdr:colOff>
      <xdr:row>3</xdr:row>
      <xdr:rowOff>72126</xdr:rowOff>
    </xdr:from>
    <xdr:to>
      <xdr:col>22</xdr:col>
      <xdr:colOff>776377</xdr:colOff>
      <xdr:row>16</xdr:row>
      <xdr:rowOff>167496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30B027-422D-C560-830C-C84F4CC4B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19</xdr:col>
      <xdr:colOff>567531</xdr:colOff>
      <xdr:row>17</xdr:row>
      <xdr:rowOff>21431</xdr:rowOff>
    </xdr:from>
    <xdr:to>
      <xdr:col>22</xdr:col>
      <xdr:colOff>758031</xdr:colOff>
      <xdr:row>30</xdr:row>
      <xdr:rowOff>81756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FB13190-7565-0CC3-D901-F788262D14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19</xdr:col>
      <xdr:colOff>567531</xdr:colOff>
      <xdr:row>30</xdr:row>
      <xdr:rowOff>148431</xdr:rowOff>
    </xdr:from>
    <xdr:to>
      <xdr:col>22</xdr:col>
      <xdr:colOff>758031</xdr:colOff>
      <xdr:row>44</xdr:row>
      <xdr:rowOff>2381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582824-91E6-220A-12CB-2D4AEF1EB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101130</xdr:colOff>
      <xdr:row>0</xdr:row>
      <xdr:rowOff>68907</xdr:rowOff>
    </xdr:from>
    <xdr:to>
      <xdr:col>14</xdr:col>
      <xdr:colOff>399815</xdr:colOff>
      <xdr:row>32</xdr:row>
      <xdr:rowOff>23518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42DDC0-2FD9-61F5-318A-D1317AA14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javascript: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9B05-D7EC-4D84-A976-4C0A08266567}">
  <dimension ref="B2:F35"/>
  <sheetViews>
    <sheetView showGridLines="0" zoomScale="56" workbookViewId="0">
      <selection activeCell="H32" sqref="H32"/>
    </sheetView>
  </sheetViews>
  <sheetFormatPr defaultRowHeight="14.5"/>
  <cols>
    <col min="2" max="2" width="24.1796875" customWidth="1"/>
    <col min="3" max="3" width="53" bestFit="1" customWidth="1"/>
    <col min="4" max="4" width="12.54296875" bestFit="1" customWidth="1"/>
  </cols>
  <sheetData>
    <row r="2" spans="2:6" ht="18.5">
      <c r="B2" s="163" t="str">
        <f>Company_Name&amp;" - Operating Model and Valuation - Cover Page and Navigation"</f>
        <v>Butterfly Network, inc. - Operating Model and Valuation - Cover Page and Navigation</v>
      </c>
      <c r="C2" s="508"/>
      <c r="D2" s="508"/>
      <c r="E2" s="508"/>
      <c r="F2" s="508"/>
    </row>
    <row r="3" spans="2:6" ht="16">
      <c r="B3" s="508"/>
      <c r="C3" s="508"/>
      <c r="D3" s="508"/>
      <c r="E3" s="508"/>
      <c r="F3" s="508"/>
    </row>
    <row r="4" spans="2:6" ht="16">
      <c r="B4" s="508"/>
      <c r="C4" s="508"/>
      <c r="D4" s="508"/>
      <c r="E4" s="508"/>
      <c r="F4" s="508"/>
    </row>
    <row r="5" spans="2:6" ht="16">
      <c r="C5" s="508"/>
      <c r="D5" s="508"/>
      <c r="E5" s="508"/>
      <c r="F5" s="508"/>
    </row>
    <row r="6" spans="2:6" ht="16">
      <c r="B6" s="508"/>
      <c r="C6" s="508"/>
      <c r="D6" s="508"/>
      <c r="E6" s="508"/>
      <c r="F6" s="508"/>
    </row>
    <row r="7" spans="2:6" ht="16">
      <c r="B7" s="508"/>
      <c r="C7" s="508"/>
      <c r="D7" s="508"/>
      <c r="E7" s="508"/>
      <c r="F7" s="508"/>
    </row>
    <row r="8" spans="2:6" ht="16">
      <c r="B8" s="508"/>
      <c r="D8" s="508"/>
      <c r="E8" s="508"/>
      <c r="F8" s="508"/>
    </row>
    <row r="9" spans="2:6" ht="16">
      <c r="B9" s="508"/>
      <c r="C9" s="251"/>
      <c r="D9" s="508"/>
      <c r="E9" s="508"/>
      <c r="F9" s="508"/>
    </row>
    <row r="10" spans="2:6" ht="16">
      <c r="B10" s="508"/>
      <c r="C10" s="508"/>
      <c r="D10" s="508"/>
      <c r="E10" s="508"/>
      <c r="F10" s="508"/>
    </row>
    <row r="11" spans="2:6" ht="16">
      <c r="B11" s="508"/>
      <c r="C11" s="508"/>
      <c r="D11" s="508"/>
      <c r="E11" s="508"/>
      <c r="F11" s="508"/>
    </row>
    <row r="12" spans="2:6" ht="16">
      <c r="B12" s="508"/>
      <c r="C12" s="508" t="s">
        <v>73</v>
      </c>
      <c r="D12" s="590" t="str">
        <f>Company_Name</f>
        <v>Butterfly Network, inc.</v>
      </c>
      <c r="E12" s="508"/>
      <c r="F12" s="508"/>
    </row>
    <row r="13" spans="2:6" ht="16">
      <c r="B13" s="508"/>
      <c r="C13" s="508" t="s">
        <v>444</v>
      </c>
      <c r="D13" s="508" t="s">
        <v>445</v>
      </c>
      <c r="E13" s="508"/>
      <c r="F13" s="508"/>
    </row>
    <row r="14" spans="2:6" ht="16">
      <c r="B14" s="508"/>
      <c r="C14" s="508" t="s">
        <v>446</v>
      </c>
      <c r="D14" s="508" t="s">
        <v>447</v>
      </c>
      <c r="E14" s="508"/>
      <c r="F14" s="508"/>
    </row>
    <row r="15" spans="2:6" ht="16">
      <c r="B15" s="508"/>
      <c r="C15" s="508"/>
      <c r="D15" s="508"/>
      <c r="E15" s="508"/>
      <c r="F15" s="508"/>
    </row>
    <row r="16" spans="2:6" ht="16">
      <c r="B16" s="508"/>
      <c r="C16" s="508" t="s">
        <v>448</v>
      </c>
      <c r="D16" s="508" t="str">
        <f ca="1">MID(CELL("filename"),SEARCH("[",CELL("filename"))+1, SEARCH("]",CELL("filename"))-SEARCH("[",CELL("filename"))-1)</f>
        <v>BFLYMODEL.xlsx</v>
      </c>
      <c r="E16" s="508"/>
      <c r="F16" s="508"/>
    </row>
    <row r="17" spans="2:6" ht="16">
      <c r="B17" s="508"/>
      <c r="C17" s="508" t="s">
        <v>449</v>
      </c>
      <c r="D17" s="591">
        <f>Valuation_Date</f>
        <v>45966</v>
      </c>
      <c r="E17" s="508"/>
      <c r="F17" s="508"/>
    </row>
    <row r="18" spans="2:6" ht="16">
      <c r="B18" s="508"/>
      <c r="C18" s="508"/>
      <c r="D18" s="508"/>
      <c r="E18" s="508"/>
      <c r="F18" s="508"/>
    </row>
    <row r="19" spans="2:6" ht="16">
      <c r="B19" s="508"/>
      <c r="C19" s="508" t="s">
        <v>450</v>
      </c>
      <c r="D19" s="592"/>
      <c r="E19" s="508"/>
      <c r="F19" s="508"/>
    </row>
    <row r="20" spans="2:6" ht="16">
      <c r="B20" s="508"/>
      <c r="C20" s="508" t="s">
        <v>451</v>
      </c>
      <c r="D20" s="593"/>
      <c r="E20" s="508"/>
      <c r="F20" s="508"/>
    </row>
    <row r="21" spans="2:6" ht="16">
      <c r="B21" s="508"/>
      <c r="C21" s="508" t="s">
        <v>452</v>
      </c>
      <c r="D21" s="594"/>
      <c r="E21" s="508"/>
      <c r="F21" s="508"/>
    </row>
    <row r="22" spans="2:6" ht="16">
      <c r="B22" s="508"/>
      <c r="C22" s="508"/>
      <c r="D22" s="508"/>
      <c r="E22" s="508"/>
      <c r="F22" s="508"/>
    </row>
    <row r="23" spans="2:6" ht="16">
      <c r="B23" s="595" t="s">
        <v>90</v>
      </c>
      <c r="C23" s="596" t="s">
        <v>453</v>
      </c>
      <c r="D23" s="596" t="s">
        <v>454</v>
      </c>
      <c r="E23" s="596"/>
      <c r="F23" s="596"/>
    </row>
    <row r="24" spans="2:6" ht="16">
      <c r="B24" s="597">
        <f ca="1">_xlfn.SHEET(INDIRECT(D24&amp;"!A1"))</f>
        <v>2</v>
      </c>
      <c r="C24" s="508" t="s">
        <v>455</v>
      </c>
      <c r="D24" s="598" t="s">
        <v>456</v>
      </c>
      <c r="E24" s="508"/>
      <c r="F24" s="508"/>
    </row>
    <row r="25" spans="2:6" ht="16">
      <c r="B25" s="597">
        <f t="shared" ref="B25:B35" ca="1" si="0">_xlfn.SHEET(INDIRECT(D25&amp;"!A1"))</f>
        <v>3</v>
      </c>
      <c r="C25" s="508" t="s">
        <v>457</v>
      </c>
      <c r="D25" s="598" t="s">
        <v>458</v>
      </c>
      <c r="E25" s="508"/>
      <c r="F25" s="508"/>
    </row>
    <row r="26" spans="2:6" ht="16">
      <c r="B26" s="597">
        <f ca="1">_xlfn.SHEET(INDIRECT(D26&amp;"!A1"))</f>
        <v>5</v>
      </c>
      <c r="C26" s="508" t="s">
        <v>459</v>
      </c>
      <c r="D26" s="598" t="s">
        <v>460</v>
      </c>
      <c r="E26" s="508"/>
      <c r="F26" s="508"/>
    </row>
    <row r="27" spans="2:6" ht="16">
      <c r="B27" s="597">
        <f ca="1">_xlfn.SHEET(INDIRECT(D27&amp;"!A1"))</f>
        <v>6</v>
      </c>
      <c r="C27" s="508" t="s">
        <v>476</v>
      </c>
      <c r="D27" s="598" t="s">
        <v>475</v>
      </c>
      <c r="E27" s="508"/>
      <c r="F27" s="508"/>
    </row>
    <row r="28" spans="2:6" ht="16">
      <c r="B28" s="597">
        <f t="shared" ca="1" si="0"/>
        <v>4</v>
      </c>
      <c r="C28" s="508" t="s">
        <v>461</v>
      </c>
      <c r="D28" s="598" t="s">
        <v>477</v>
      </c>
      <c r="E28" s="508"/>
      <c r="F28" s="508"/>
    </row>
    <row r="29" spans="2:6" ht="16">
      <c r="B29" s="597">
        <f t="shared" ca="1" si="0"/>
        <v>7</v>
      </c>
      <c r="C29" s="508" t="s">
        <v>462</v>
      </c>
      <c r="D29" s="598" t="s">
        <v>463</v>
      </c>
      <c r="E29" s="508"/>
      <c r="F29" s="508"/>
    </row>
    <row r="30" spans="2:6" ht="16">
      <c r="B30" s="597">
        <f t="shared" ca="1" si="0"/>
        <v>8</v>
      </c>
      <c r="C30" s="508" t="s">
        <v>464</v>
      </c>
      <c r="D30" s="598" t="s">
        <v>465</v>
      </c>
      <c r="E30" s="508"/>
      <c r="F30" s="508"/>
    </row>
    <row r="31" spans="2:6" ht="16">
      <c r="B31" s="597">
        <f t="shared" ca="1" si="0"/>
        <v>9</v>
      </c>
      <c r="C31" s="508" t="s">
        <v>466</v>
      </c>
      <c r="D31" s="598" t="s">
        <v>467</v>
      </c>
      <c r="E31" s="508"/>
      <c r="F31" s="508"/>
    </row>
    <row r="32" spans="2:6" ht="16">
      <c r="B32" s="597">
        <f t="shared" ca="1" si="0"/>
        <v>10</v>
      </c>
      <c r="C32" s="508" t="s">
        <v>468</v>
      </c>
      <c r="D32" s="598" t="s">
        <v>469</v>
      </c>
      <c r="E32" s="508"/>
      <c r="F32" s="508"/>
    </row>
    <row r="33" spans="2:6" ht="16">
      <c r="B33" s="597">
        <f t="shared" ca="1" si="0"/>
        <v>11</v>
      </c>
      <c r="C33" s="508" t="s">
        <v>470</v>
      </c>
      <c r="D33" s="598" t="s">
        <v>471</v>
      </c>
      <c r="E33" s="508"/>
      <c r="F33" s="508"/>
    </row>
    <row r="34" spans="2:6" ht="16">
      <c r="B34" s="597">
        <f t="shared" ca="1" si="0"/>
        <v>12</v>
      </c>
      <c r="C34" s="508" t="s">
        <v>472</v>
      </c>
      <c r="D34" s="598" t="s">
        <v>478</v>
      </c>
      <c r="E34" s="508"/>
      <c r="F34" s="508"/>
    </row>
    <row r="35" spans="2:6" ht="16">
      <c r="B35" s="597">
        <f t="shared" ca="1" si="0"/>
        <v>13</v>
      </c>
      <c r="C35" s="508" t="s">
        <v>473</v>
      </c>
      <c r="D35" s="598" t="s">
        <v>474</v>
      </c>
      <c r="E35" s="508"/>
      <c r="F35" s="508"/>
    </row>
  </sheetData>
  <hyperlinks>
    <hyperlink ref="D24" location="Summary!A1" display="Summary" xr:uid="{46FEAEF4-F53A-4269-AA27-C9D15CE3A007}"/>
    <hyperlink ref="D25" location="Graphs!A1" display="Graphs" xr:uid="{50B01A1C-8B6C-4693-9553-F4F0FB8E515D}"/>
    <hyperlink ref="D26" location="WMT_Model!A1" display="WMT_Model" xr:uid="{E29A179A-3713-4470-A387-CC8B66B4374D}"/>
    <hyperlink ref="D28" location="Q1_Results!A1" display="Q1_Results" xr:uid="{1F1AA36C-748F-4B70-B588-6EC7A31B8A1D}"/>
    <hyperlink ref="D29" location="DCF!A1" display="DCF" xr:uid="{F5CA1922-F344-405B-8B87-E70218EA4DA4}"/>
    <hyperlink ref="D30" location="WACC!A1" display="WACC" xr:uid="{0EBC8182-3115-4C40-B0B6-31A6746AFA9D}"/>
    <hyperlink ref="D31" location="ValSum!A1" display="ValSum" xr:uid="{C8CEFBDC-3E31-496E-821D-0281C92025C0}"/>
    <hyperlink ref="D32" location="ValGraph!A1" display="ValGraph" xr:uid="{987081F7-4C2C-4E36-9740-7A39BBBD7330}"/>
    <hyperlink ref="D33" location="Public_Comps!A1" display="Public_Comps" xr:uid="{4217AD0D-F1DF-4A48-B2BE-2E678F4BD983}"/>
    <hyperlink ref="D34" location="Public_Comps_Data!A1" display="Public_Comps_Data" xr:uid="{10EE6802-B074-44E0-BE84-55452435214F}"/>
    <hyperlink ref="D35" location="MA_Comps!A1" display="MA_Comps" xr:uid="{9B75779C-C4D7-4FF8-8C04-E134A000086E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301C-0A8C-4B28-BBE7-2550B81DC9B1}">
  <dimension ref="B2:R62"/>
  <sheetViews>
    <sheetView showGridLines="0" zoomScale="50" workbookViewId="0">
      <selection activeCell="C16" sqref="C16"/>
    </sheetView>
  </sheetViews>
  <sheetFormatPr defaultRowHeight="14.5"/>
  <cols>
    <col min="3" max="3" width="38.26953125" bestFit="1" customWidth="1"/>
    <col min="4" max="4" width="24.81640625" bestFit="1" customWidth="1"/>
    <col min="5" max="5" width="7.7265625" bestFit="1" customWidth="1"/>
    <col min="6" max="6" width="7.7265625" customWidth="1"/>
    <col min="7" max="7" width="13.26953125" bestFit="1" customWidth="1"/>
    <col min="8" max="13" width="12" bestFit="1" customWidth="1"/>
    <col min="14" max="14" width="12.453125" bestFit="1" customWidth="1"/>
    <col min="16" max="16" width="10.26953125" bestFit="1" customWidth="1"/>
  </cols>
  <sheetData>
    <row r="2" spans="2:18" ht="16">
      <c r="B2" s="508"/>
      <c r="C2" s="508"/>
      <c r="D2" s="508"/>
      <c r="E2" s="508"/>
      <c r="F2" s="508"/>
      <c r="G2" s="508"/>
      <c r="H2" s="508"/>
      <c r="I2" s="508"/>
      <c r="J2" s="508"/>
      <c r="K2" s="508"/>
      <c r="L2" s="508"/>
      <c r="M2" s="508"/>
      <c r="N2" s="508"/>
      <c r="O2" s="508"/>
      <c r="P2" s="508"/>
      <c r="Q2" s="508"/>
    </row>
    <row r="3" spans="2:18" ht="18.5">
      <c r="B3" s="508"/>
      <c r="C3" s="542" t="str">
        <f>Company_Name&amp;" - Summary of Operating Model and Valuation - "&amp;Scenario&amp;" Case"</f>
        <v>Butterfly Network, inc. - Summary of Operating Model and Valuation - Downside Case</v>
      </c>
      <c r="D3" s="508"/>
      <c r="E3" s="508"/>
      <c r="F3" s="508"/>
      <c r="G3" s="508"/>
      <c r="H3" s="508"/>
      <c r="I3" s="508"/>
      <c r="J3" s="508"/>
      <c r="K3" s="508"/>
      <c r="L3" s="508"/>
      <c r="M3" s="508"/>
      <c r="N3" s="508"/>
      <c r="O3" s="508"/>
      <c r="P3" s="508"/>
      <c r="Q3" s="508"/>
    </row>
    <row r="4" spans="2:18" ht="16">
      <c r="B4" s="508"/>
      <c r="C4" s="302" t="s">
        <v>405</v>
      </c>
      <c r="D4" s="508"/>
      <c r="E4" s="508"/>
      <c r="F4" s="508"/>
      <c r="G4" s="508"/>
      <c r="H4" s="508"/>
      <c r="I4" s="508"/>
      <c r="J4" s="508"/>
      <c r="K4" s="508"/>
      <c r="L4" s="508"/>
      <c r="M4" s="508"/>
      <c r="N4" s="508"/>
      <c r="O4" s="508"/>
      <c r="P4" s="508"/>
      <c r="Q4" s="508"/>
    </row>
    <row r="5" spans="2:18" ht="16">
      <c r="B5" s="508"/>
      <c r="C5" s="508"/>
      <c r="D5" s="508"/>
      <c r="E5" s="508"/>
      <c r="F5" s="508"/>
      <c r="G5" s="508"/>
      <c r="H5" s="508"/>
      <c r="I5" s="508"/>
      <c r="J5" s="508"/>
      <c r="K5" s="508"/>
      <c r="L5" s="508"/>
      <c r="M5" s="508"/>
      <c r="N5" s="508"/>
      <c r="O5" s="508"/>
      <c r="P5" s="508"/>
      <c r="Q5" s="508"/>
    </row>
    <row r="6" spans="2:18" ht="16">
      <c r="B6" s="508"/>
      <c r="C6" s="494"/>
      <c r="D6" s="494"/>
      <c r="E6" s="495"/>
      <c r="F6" s="495"/>
      <c r="G6" s="543" t="s">
        <v>70</v>
      </c>
      <c r="H6" s="543" t="s">
        <v>71</v>
      </c>
      <c r="I6" s="544"/>
      <c r="J6" s="543"/>
      <c r="K6" s="543"/>
      <c r="L6" s="543"/>
      <c r="M6" s="545"/>
      <c r="N6" s="545"/>
      <c r="O6" s="546"/>
      <c r="P6" s="545" t="s">
        <v>329</v>
      </c>
      <c r="Q6" s="508"/>
    </row>
    <row r="7" spans="2:18" ht="16">
      <c r="B7" s="508"/>
      <c r="C7" s="7" t="s">
        <v>420</v>
      </c>
      <c r="D7" s="7"/>
      <c r="E7" s="547" t="s">
        <v>72</v>
      </c>
      <c r="F7" s="547"/>
      <c r="G7" s="424">
        <v>44592</v>
      </c>
      <c r="H7" s="424">
        <v>44957</v>
      </c>
      <c r="I7" s="548">
        <v>45322</v>
      </c>
      <c r="J7" s="424">
        <v>45688</v>
      </c>
      <c r="K7" s="424">
        <v>46053</v>
      </c>
      <c r="L7" s="424">
        <v>46418</v>
      </c>
      <c r="M7" s="424">
        <v>46783</v>
      </c>
      <c r="N7" s="424">
        <v>47149</v>
      </c>
      <c r="O7" s="546"/>
      <c r="P7" s="424" t="s">
        <v>421</v>
      </c>
      <c r="Q7" s="508"/>
    </row>
    <row r="8" spans="2:18" ht="16">
      <c r="B8" s="508"/>
      <c r="C8" s="549" t="s">
        <v>422</v>
      </c>
      <c r="D8" s="549"/>
      <c r="E8" s="550"/>
      <c r="F8" s="550"/>
      <c r="G8" s="551"/>
      <c r="H8" s="551"/>
      <c r="I8" s="551"/>
      <c r="J8" s="551"/>
      <c r="K8" s="551"/>
      <c r="L8" s="551"/>
      <c r="M8" s="551"/>
      <c r="N8" s="551"/>
      <c r="O8" s="546"/>
      <c r="P8" s="551"/>
      <c r="Q8" s="508"/>
    </row>
    <row r="9" spans="2:18" ht="16">
      <c r="B9" s="508"/>
      <c r="C9" s="552"/>
      <c r="G9" s="553"/>
      <c r="H9" s="553"/>
      <c r="I9" s="553"/>
      <c r="J9" s="553"/>
      <c r="K9" s="553"/>
      <c r="L9" s="553"/>
      <c r="M9" s="553"/>
      <c r="N9" s="553"/>
      <c r="O9" s="508"/>
      <c r="Q9" s="508"/>
      <c r="R9" s="554"/>
    </row>
    <row r="10" spans="2:18" ht="16">
      <c r="B10" s="508"/>
      <c r="C10" s="587" t="s">
        <v>102</v>
      </c>
      <c r="E10" s="555" t="s">
        <v>109</v>
      </c>
      <c r="F10" s="555"/>
      <c r="G10" s="588">
        <f>Drivers!G12</f>
        <v>50263</v>
      </c>
      <c r="H10" s="588">
        <f>Drivers!H12</f>
        <v>40035.999999999993</v>
      </c>
      <c r="I10" s="588">
        <f>Drivers!I12</f>
        <v>54200</v>
      </c>
      <c r="J10" s="588">
        <f>Drivers!J12</f>
        <v>63443</v>
      </c>
      <c r="K10" s="588">
        <f>Drivers!K12</f>
        <v>56950</v>
      </c>
      <c r="L10" s="588">
        <f>Drivers!L12</f>
        <v>77000</v>
      </c>
      <c r="M10" s="588">
        <f>Drivers!M12</f>
        <v>84000</v>
      </c>
      <c r="N10" s="588">
        <f>Drivers!N12</f>
        <v>105000</v>
      </c>
      <c r="O10" s="556"/>
      <c r="P10" s="557">
        <f>(M10/H10)^(1/YEARFRAC(G$7,L$7,))-1</f>
        <v>0.15975357812141477</v>
      </c>
      <c r="Q10" s="508"/>
      <c r="R10" s="558"/>
    </row>
    <row r="11" spans="2:18" ht="16">
      <c r="B11" s="508"/>
      <c r="C11" s="559"/>
      <c r="E11" s="555" t="s">
        <v>85</v>
      </c>
      <c r="F11" s="555"/>
      <c r="G11" s="589"/>
      <c r="H11" s="589">
        <f>H10/G10-1</f>
        <v>-0.20346974911963089</v>
      </c>
      <c r="I11" s="589">
        <f t="shared" ref="I11:N11" si="0">I10/H10-1</f>
        <v>0.35378159656309349</v>
      </c>
      <c r="J11" s="589">
        <f t="shared" si="0"/>
        <v>0.17053505535055358</v>
      </c>
      <c r="K11" s="589">
        <f t="shared" si="0"/>
        <v>-0.10234383619942311</v>
      </c>
      <c r="L11" s="589">
        <f t="shared" si="0"/>
        <v>0.35206321334503943</v>
      </c>
      <c r="M11" s="589">
        <f t="shared" si="0"/>
        <v>9.0909090909090828E-2</v>
      </c>
      <c r="N11" s="589">
        <f t="shared" si="0"/>
        <v>0.25</v>
      </c>
      <c r="O11" s="508"/>
      <c r="P11" s="508"/>
      <c r="Q11" s="508"/>
      <c r="R11" s="560"/>
    </row>
    <row r="12" spans="2:18" ht="16">
      <c r="B12" s="508"/>
      <c r="C12" s="587" t="s">
        <v>104</v>
      </c>
      <c r="E12" s="555" t="s">
        <v>109</v>
      </c>
      <c r="F12" s="555"/>
      <c r="G12" s="588">
        <f>Drivers!G21</f>
        <v>23127.06</v>
      </c>
      <c r="H12" s="588">
        <f>Drivers!H21</f>
        <v>25863.901999999998</v>
      </c>
      <c r="I12" s="588">
        <f>Drivers!I21</f>
        <v>27856.041000000001</v>
      </c>
      <c r="J12" s="588">
        <f>Drivers!J21</f>
        <v>27400</v>
      </c>
      <c r="K12" s="588">
        <f>Drivers!K21</f>
        <v>30000</v>
      </c>
      <c r="L12" s="588">
        <f>Drivers!L21</f>
        <v>36000</v>
      </c>
      <c r="M12" s="588">
        <f>Drivers!M21</f>
        <v>51000</v>
      </c>
      <c r="N12" s="588">
        <f>Drivers!N21</f>
        <v>63000</v>
      </c>
      <c r="O12" s="556"/>
      <c r="P12" s="557">
        <f>(M12/H12)^(1/YEARFRAC(G$7,L$7,))-1</f>
        <v>0.14544759842288224</v>
      </c>
      <c r="Q12" s="508"/>
      <c r="R12" s="554"/>
    </row>
    <row r="13" spans="2:18" ht="16">
      <c r="B13" s="508"/>
      <c r="C13" s="559"/>
      <c r="E13" s="555" t="s">
        <v>85</v>
      </c>
      <c r="F13" s="555"/>
      <c r="G13" s="589"/>
      <c r="H13" s="589">
        <f>H12/G12-1</f>
        <v>0.11833938252419451</v>
      </c>
      <c r="I13" s="589">
        <f t="shared" ref="I13" si="1">I12/H12-1</f>
        <v>7.7023915416939204E-2</v>
      </c>
      <c r="J13" s="589">
        <f t="shared" ref="J13" si="2">J12/I12-1</f>
        <v>-1.6371350113966288E-2</v>
      </c>
      <c r="K13" s="589">
        <f t="shared" ref="K13" si="3">K12/J12-1</f>
        <v>9.4890510948905105E-2</v>
      </c>
      <c r="L13" s="589">
        <f t="shared" ref="L13" si="4">L12/K12-1</f>
        <v>0.19999999999999996</v>
      </c>
      <c r="M13" s="589">
        <f t="shared" ref="M13" si="5">M12/L12-1</f>
        <v>0.41666666666666674</v>
      </c>
      <c r="N13" s="589">
        <f t="shared" ref="N13" si="6">N12/M12-1</f>
        <v>0.23529411764705888</v>
      </c>
      <c r="O13" s="508"/>
      <c r="P13" s="557"/>
      <c r="Q13" s="508"/>
      <c r="R13" s="554"/>
    </row>
    <row r="14" spans="2:18" ht="16">
      <c r="B14" s="508"/>
      <c r="C14" s="606" t="s">
        <v>526</v>
      </c>
      <c r="E14" s="555" t="s">
        <v>109</v>
      </c>
      <c r="F14" s="555"/>
      <c r="G14" s="607">
        <f>Drivers!G23</f>
        <v>0</v>
      </c>
      <c r="H14" s="607">
        <f>Drivers!H23</f>
        <v>0</v>
      </c>
      <c r="I14" s="607">
        <f>Drivers!I23</f>
        <v>0</v>
      </c>
      <c r="J14" s="607">
        <f>Drivers!J23</f>
        <v>6800</v>
      </c>
      <c r="K14" s="607">
        <f>Drivers!K23</f>
        <v>25000</v>
      </c>
      <c r="L14" s="607">
        <f>Drivers!L23</f>
        <v>25000</v>
      </c>
      <c r="M14" s="607">
        <f>Drivers!M23</f>
        <v>40000</v>
      </c>
      <c r="N14" s="607">
        <f>Drivers!N23</f>
        <v>40000</v>
      </c>
      <c r="O14" s="508"/>
      <c r="P14" s="557"/>
      <c r="Q14" s="508"/>
      <c r="R14" s="554"/>
    </row>
    <row r="15" spans="2:18" ht="16">
      <c r="B15" s="508"/>
      <c r="C15" s="559"/>
      <c r="E15" s="555" t="s">
        <v>85</v>
      </c>
      <c r="F15" s="555"/>
      <c r="G15" s="589"/>
      <c r="H15" s="589"/>
      <c r="I15" s="589"/>
      <c r="J15" s="589"/>
      <c r="K15" s="589">
        <f t="shared" ref="K15" si="7">K14/J14-1</f>
        <v>2.6764705882352939</v>
      </c>
      <c r="L15" s="589">
        <f t="shared" ref="L15" si="8">L14/K14-1</f>
        <v>0</v>
      </c>
      <c r="M15" s="589">
        <f t="shared" ref="M15" si="9">M14/L14-1</f>
        <v>0.60000000000000009</v>
      </c>
      <c r="N15" s="589">
        <f t="shared" ref="N15" si="10">N14/M14-1</f>
        <v>0</v>
      </c>
      <c r="O15" s="508"/>
      <c r="P15" s="557"/>
      <c r="Q15" s="508"/>
      <c r="R15" s="554"/>
    </row>
    <row r="16" spans="2:18" ht="16">
      <c r="B16" s="508"/>
      <c r="C16" s="606" t="s">
        <v>494</v>
      </c>
      <c r="E16" s="555" t="s">
        <v>109</v>
      </c>
      <c r="F16" s="555"/>
      <c r="G16" s="607">
        <f>Drivers!G28</f>
        <v>0</v>
      </c>
      <c r="H16" s="607">
        <f>Drivers!H28</f>
        <v>0</v>
      </c>
      <c r="I16" s="607">
        <f>Drivers!I28</f>
        <v>0</v>
      </c>
      <c r="J16" s="607">
        <f>Drivers!J28</f>
        <v>0</v>
      </c>
      <c r="K16" s="607">
        <f>Drivers!K28</f>
        <v>1000</v>
      </c>
      <c r="L16" s="607">
        <f>Drivers!L28</f>
        <v>5000</v>
      </c>
      <c r="M16" s="607">
        <f>Drivers!M28</f>
        <v>15000</v>
      </c>
      <c r="N16" s="607">
        <f>Drivers!N28</f>
        <v>20000</v>
      </c>
      <c r="O16" s="508"/>
      <c r="P16" s="557"/>
      <c r="Q16" s="508"/>
      <c r="R16" s="554"/>
    </row>
    <row r="17" spans="2:18" ht="16">
      <c r="B17" s="508"/>
      <c r="C17" s="559"/>
      <c r="E17" s="555" t="s">
        <v>85</v>
      </c>
      <c r="F17" s="555"/>
      <c r="G17" s="589"/>
      <c r="H17" s="589"/>
      <c r="I17" s="589"/>
      <c r="J17" s="589"/>
      <c r="K17" s="589"/>
      <c r="L17" s="589">
        <f t="shared" ref="L17" si="11">L16/K16-1</f>
        <v>4</v>
      </c>
      <c r="M17" s="589">
        <f t="shared" ref="M17" si="12">M16/L16-1</f>
        <v>2</v>
      </c>
      <c r="N17" s="589">
        <f t="shared" ref="N17" si="13">N16/M16-1</f>
        <v>0.33333333333333326</v>
      </c>
      <c r="O17" s="508"/>
      <c r="P17" s="557"/>
      <c r="Q17" s="508"/>
      <c r="R17" s="554"/>
    </row>
    <row r="18" spans="2:18" ht="16">
      <c r="B18" s="508"/>
      <c r="C18" s="561"/>
      <c r="E18" s="555"/>
      <c r="F18" s="555"/>
      <c r="G18" s="563"/>
      <c r="H18" s="563"/>
      <c r="I18" s="563"/>
      <c r="J18" s="563"/>
      <c r="K18" s="563"/>
      <c r="L18" s="563"/>
      <c r="M18" s="563"/>
      <c r="N18" s="563"/>
      <c r="O18" s="508"/>
      <c r="P18" s="557"/>
      <c r="Q18" s="508"/>
      <c r="R18" s="554"/>
    </row>
    <row r="19" spans="2:18" ht="16">
      <c r="B19" s="508"/>
      <c r="C19" s="549" t="s">
        <v>423</v>
      </c>
      <c r="D19" s="549"/>
      <c r="E19" s="550"/>
      <c r="F19" s="550"/>
      <c r="G19" s="551"/>
      <c r="H19" s="551"/>
      <c r="I19" s="551"/>
      <c r="J19" s="551"/>
      <c r="K19" s="551"/>
      <c r="L19" s="551"/>
      <c r="M19" s="551"/>
      <c r="N19" s="551"/>
      <c r="O19" s="508"/>
      <c r="P19" s="551"/>
      <c r="Q19" s="508"/>
    </row>
    <row r="20" spans="2:18" ht="16">
      <c r="B20" s="508"/>
      <c r="C20" s="92"/>
      <c r="D20" s="92"/>
      <c r="E20" s="564"/>
      <c r="F20" s="564"/>
      <c r="G20" s="565"/>
      <c r="H20" s="565"/>
      <c r="I20" s="565"/>
      <c r="J20" s="565"/>
      <c r="K20" s="565"/>
      <c r="L20" s="565"/>
      <c r="M20" s="565"/>
      <c r="N20" s="565"/>
      <c r="O20" s="508"/>
      <c r="P20" s="565"/>
      <c r="Q20" s="508"/>
    </row>
    <row r="21" spans="2:18" ht="16">
      <c r="B21" s="508"/>
      <c r="C21" s="566" t="s">
        <v>217</v>
      </c>
      <c r="D21" s="567"/>
      <c r="E21" s="555" t="s">
        <v>109</v>
      </c>
      <c r="F21" s="555"/>
      <c r="G21" s="568">
        <f>Model!G72</f>
        <v>73390</v>
      </c>
      <c r="H21" s="568">
        <f>Model!H72</f>
        <v>65900</v>
      </c>
      <c r="I21" s="568">
        <f>Model!I72</f>
        <v>82056</v>
      </c>
      <c r="J21" s="568">
        <f>Model!J72</f>
        <v>97643</v>
      </c>
      <c r="K21" s="568">
        <f>Model!K72</f>
        <v>112950</v>
      </c>
      <c r="L21" s="568">
        <f>Model!L72</f>
        <v>143000</v>
      </c>
      <c r="M21" s="568">
        <f>Model!M72</f>
        <v>190000</v>
      </c>
      <c r="N21" s="568">
        <f>Model!N72</f>
        <v>228000</v>
      </c>
      <c r="O21" s="508"/>
      <c r="P21" s="557">
        <f>(L21/G21)^(1/YEARFRAC(G$7,L$7,))-1</f>
        <v>0.14272000378999161</v>
      </c>
      <c r="Q21" s="508"/>
    </row>
    <row r="22" spans="2:18" ht="16">
      <c r="B22" s="508"/>
      <c r="C22" s="559" t="s">
        <v>413</v>
      </c>
      <c r="D22" s="562"/>
      <c r="E22" s="555" t="s">
        <v>85</v>
      </c>
      <c r="F22" s="555"/>
      <c r="G22" s="569"/>
      <c r="H22" s="589">
        <f t="shared" ref="H22:N22" si="14">H21/G21-1</f>
        <v>-0.10205750102193756</v>
      </c>
      <c r="I22" s="589">
        <f t="shared" si="14"/>
        <v>0.24515933232169962</v>
      </c>
      <c r="J22" s="589">
        <f t="shared" si="14"/>
        <v>0.18995564005069698</v>
      </c>
      <c r="K22" s="589">
        <f t="shared" si="14"/>
        <v>0.15676494986839806</v>
      </c>
      <c r="L22" s="589">
        <f t="shared" si="14"/>
        <v>0.26604692341744141</v>
      </c>
      <c r="M22" s="589">
        <f t="shared" si="14"/>
        <v>0.32867132867132876</v>
      </c>
      <c r="N22" s="589">
        <f t="shared" si="14"/>
        <v>0.19999999999999996</v>
      </c>
      <c r="O22" s="508"/>
      <c r="P22" s="508"/>
      <c r="Q22" s="508"/>
    </row>
    <row r="23" spans="2:18" ht="16">
      <c r="B23" s="508"/>
      <c r="C23" s="570"/>
      <c r="D23" s="571"/>
      <c r="E23" s="571"/>
      <c r="F23" s="571"/>
      <c r="G23" s="568"/>
      <c r="H23" s="568"/>
      <c r="I23" s="568"/>
      <c r="J23" s="568"/>
      <c r="K23" s="568"/>
      <c r="L23" s="568"/>
      <c r="M23" s="568"/>
      <c r="N23" s="568"/>
      <c r="O23" s="508"/>
      <c r="P23" s="508"/>
      <c r="Q23" s="508"/>
    </row>
    <row r="24" spans="2:18" ht="16">
      <c r="B24" s="508"/>
      <c r="C24" s="566" t="s">
        <v>424</v>
      </c>
      <c r="D24" s="567"/>
      <c r="E24" s="555" t="s">
        <v>109</v>
      </c>
      <c r="F24" s="555"/>
      <c r="G24" s="568">
        <f>Model!G78</f>
        <v>39460</v>
      </c>
      <c r="H24" s="568">
        <f>Model!H78</f>
        <v>16856</v>
      </c>
      <c r="I24" s="568">
        <f>Model!I78</f>
        <v>48831</v>
      </c>
      <c r="J24" s="568">
        <f>Model!J78</f>
        <v>45767</v>
      </c>
      <c r="K24" s="568">
        <f>Model!K78</f>
        <v>81170</v>
      </c>
      <c r="L24" s="568">
        <f>Model!L78</f>
        <v>101400</v>
      </c>
      <c r="M24" s="568">
        <f>Model!M78</f>
        <v>141100</v>
      </c>
      <c r="N24" s="568">
        <f>Model!N78</f>
        <v>167100</v>
      </c>
      <c r="O24" s="508"/>
      <c r="P24" s="557">
        <f>(L24/G24)^(1/YEARFRAC(G$7,L$7,))-1</f>
        <v>0.20774757684546952</v>
      </c>
      <c r="Q24" s="508"/>
    </row>
    <row r="25" spans="2:18" ht="16">
      <c r="B25" s="508"/>
      <c r="C25" s="559" t="s">
        <v>425</v>
      </c>
      <c r="D25" s="562"/>
      <c r="E25" s="555" t="s">
        <v>85</v>
      </c>
      <c r="F25" s="555"/>
      <c r="G25" s="589">
        <f>G24/G21</f>
        <v>0.53767543262024797</v>
      </c>
      <c r="H25" s="589">
        <f t="shared" ref="H25:N25" si="15">H24/H21</f>
        <v>0.2557814871016692</v>
      </c>
      <c r="I25" s="589">
        <f t="shared" si="15"/>
        <v>0.59509359461830946</v>
      </c>
      <c r="J25" s="589">
        <f t="shared" si="15"/>
        <v>0.46871767561422734</v>
      </c>
      <c r="K25" s="589">
        <f t="shared" si="15"/>
        <v>0.71863656485170424</v>
      </c>
      <c r="L25" s="589">
        <f t="shared" si="15"/>
        <v>0.70909090909090911</v>
      </c>
      <c r="M25" s="589">
        <f t="shared" si="15"/>
        <v>0.74263157894736842</v>
      </c>
      <c r="N25" s="589">
        <f t="shared" si="15"/>
        <v>0.73289473684210527</v>
      </c>
      <c r="O25" s="508"/>
      <c r="P25" s="508"/>
      <c r="Q25" s="508"/>
    </row>
    <row r="26" spans="2:18" ht="16">
      <c r="B26" s="508"/>
      <c r="C26" s="559"/>
      <c r="D26" s="562"/>
      <c r="E26" s="555"/>
      <c r="F26" s="555"/>
      <c r="G26" s="589"/>
      <c r="H26" s="589"/>
      <c r="I26" s="589"/>
      <c r="J26" s="589"/>
      <c r="K26" s="589"/>
      <c r="L26" s="589"/>
      <c r="M26" s="589"/>
      <c r="N26" s="589"/>
      <c r="O26" s="508"/>
      <c r="P26" s="508"/>
      <c r="Q26" s="508"/>
    </row>
    <row r="27" spans="2:18" ht="16">
      <c r="B27" s="508"/>
      <c r="C27" s="610" t="str">
        <f>Model!C85</f>
        <v>Total operating expenses</v>
      </c>
      <c r="D27" s="562"/>
      <c r="E27" s="555" t="s">
        <v>109</v>
      </c>
      <c r="F27" s="555"/>
      <c r="G27" s="607">
        <f>-Model!G85</f>
        <v>232480</v>
      </c>
      <c r="H27" s="607">
        <f>-Model!H85</f>
        <v>162466</v>
      </c>
      <c r="I27" s="607">
        <f>-Model!I85</f>
        <v>123242</v>
      </c>
      <c r="J27" s="607">
        <f>-Model!J85</f>
        <v>98619.430000000008</v>
      </c>
      <c r="K27" s="607">
        <f>-Model!K85</f>
        <v>90360</v>
      </c>
      <c r="L27" s="607">
        <f>-Model!L85</f>
        <v>92950</v>
      </c>
      <c r="M27" s="607">
        <f>-Model!M85</f>
        <v>104500</v>
      </c>
      <c r="N27" s="607">
        <f>-Model!N85</f>
        <v>104880</v>
      </c>
      <c r="O27" s="508"/>
      <c r="P27" s="557"/>
      <c r="Q27" s="508"/>
    </row>
    <row r="28" spans="2:18" ht="16">
      <c r="B28" s="508"/>
      <c r="C28" s="559"/>
      <c r="D28" s="562"/>
      <c r="E28" s="555"/>
      <c r="F28" s="555"/>
      <c r="G28" s="589"/>
      <c r="H28" s="589"/>
      <c r="I28" s="589"/>
      <c r="J28" s="589"/>
      <c r="K28" s="589"/>
      <c r="L28" s="589"/>
      <c r="M28" s="589"/>
      <c r="N28" s="589"/>
      <c r="O28" s="508"/>
      <c r="P28" s="508"/>
      <c r="Q28" s="508"/>
    </row>
    <row r="29" spans="2:18" ht="16">
      <c r="B29" s="508"/>
      <c r="C29" s="608" t="s">
        <v>497</v>
      </c>
      <c r="D29" s="554"/>
      <c r="E29" s="555"/>
      <c r="F29" s="555"/>
      <c r="G29" s="568" cm="1">
        <f t="array" ref="G29:N29">Model!G87:N87</f>
        <v>-193020</v>
      </c>
      <c r="H29" s="568">
        <v>-145610</v>
      </c>
      <c r="I29" s="568">
        <v>-74411</v>
      </c>
      <c r="J29" s="568">
        <v>-52852.430000000008</v>
      </c>
      <c r="K29" s="568">
        <v>-9190</v>
      </c>
      <c r="L29" s="568">
        <v>8450</v>
      </c>
      <c r="M29" s="568">
        <v>36600</v>
      </c>
      <c r="N29" s="568">
        <v>62220</v>
      </c>
      <c r="O29" s="508"/>
      <c r="P29" s="557">
        <f>(L29/G29)^(1/YEARFRAC(G$7,L$7,))-1</f>
        <v>-1.5348732511879546</v>
      </c>
      <c r="Q29" s="508"/>
    </row>
    <row r="30" spans="2:18" ht="16">
      <c r="B30" s="508"/>
      <c r="C30" s="559" t="s">
        <v>512</v>
      </c>
      <c r="D30" s="571"/>
      <c r="E30" s="571"/>
      <c r="F30" s="571"/>
      <c r="G30" s="589">
        <f t="shared" ref="G30:N30" si="16">G29/G21</f>
        <v>-2.6300585910887042</v>
      </c>
      <c r="H30" s="589">
        <f t="shared" si="16"/>
        <v>-2.2095599393019727</v>
      </c>
      <c r="I30" s="589">
        <f t="shared" si="16"/>
        <v>-0.90683191966461929</v>
      </c>
      <c r="J30" s="589">
        <f t="shared" si="16"/>
        <v>-0.54128232438577273</v>
      </c>
      <c r="K30" s="589">
        <f t="shared" si="16"/>
        <v>-8.1363435148295707E-2</v>
      </c>
      <c r="L30" s="589">
        <f t="shared" si="16"/>
        <v>5.909090909090909E-2</v>
      </c>
      <c r="M30" s="589">
        <f t="shared" si="16"/>
        <v>0.19263157894736843</v>
      </c>
      <c r="N30" s="589">
        <f t="shared" si="16"/>
        <v>0.27289473684210525</v>
      </c>
      <c r="O30" s="508"/>
      <c r="P30" s="508"/>
      <c r="Q30" s="508"/>
    </row>
    <row r="31" spans="2:18" ht="16">
      <c r="B31" s="508"/>
      <c r="C31" s="570"/>
      <c r="D31" s="571"/>
      <c r="E31" s="571"/>
      <c r="F31" s="571"/>
      <c r="G31" s="568"/>
      <c r="H31" s="568"/>
      <c r="I31" s="568"/>
      <c r="J31" s="568"/>
      <c r="K31" s="568"/>
      <c r="L31" s="568"/>
      <c r="M31" s="568"/>
      <c r="N31" s="568"/>
      <c r="O31" s="508"/>
      <c r="P31" s="508"/>
      <c r="Q31" s="508"/>
    </row>
    <row r="32" spans="2:18" ht="16">
      <c r="B32" s="508"/>
      <c r="C32" s="566" t="s">
        <v>426</v>
      </c>
      <c r="D32" s="567"/>
      <c r="E32" s="555" t="s">
        <v>109</v>
      </c>
      <c r="F32" s="555"/>
      <c r="G32" s="568">
        <f>Model!G97</f>
        <v>-168723</v>
      </c>
      <c r="H32" s="568">
        <f>Model!H97</f>
        <v>-133700</v>
      </c>
      <c r="I32" s="568">
        <f>Model!I97</f>
        <v>-72492</v>
      </c>
      <c r="J32" s="568">
        <f>Model!J97</f>
        <v>-49463.490660383679</v>
      </c>
      <c r="K32" s="568">
        <f>Model!K97</f>
        <v>-8501.9707914333667</v>
      </c>
      <c r="L32" s="568">
        <f>Model!L97</f>
        <v>10798.982725946868</v>
      </c>
      <c r="M32" s="568">
        <f>Model!M97</f>
        <v>40699.678314811987</v>
      </c>
      <c r="N32" s="568">
        <f>Model!N97</f>
        <v>69395.855352452912</v>
      </c>
      <c r="O32" s="508"/>
      <c r="P32" s="557">
        <f>(L32/G32)^(1/YEARFRAC(G$7,L$7,))-1</f>
        <v>-1.5770875586691282</v>
      </c>
      <c r="Q32" s="508"/>
    </row>
    <row r="33" spans="2:17" ht="16">
      <c r="B33" s="508"/>
      <c r="C33" s="572" t="s">
        <v>427</v>
      </c>
      <c r="D33" s="554"/>
      <c r="E33" s="555" t="s">
        <v>428</v>
      </c>
      <c r="F33" s="555"/>
      <c r="G33" s="573">
        <f t="shared" ref="G33:N33" si="17">G32/(Diluted*Units)</f>
        <v>-0.7419983288623071</v>
      </c>
      <c r="H33" s="573">
        <f t="shared" si="17"/>
        <v>-0.58797660407229868</v>
      </c>
      <c r="I33" s="573">
        <f t="shared" si="17"/>
        <v>-0.3188002990456924</v>
      </c>
      <c r="J33" s="573">
        <f t="shared" si="17"/>
        <v>-0.21752711491439236</v>
      </c>
      <c r="K33" s="573">
        <f t="shared" si="17"/>
        <v>-3.7389378562968319E-2</v>
      </c>
      <c r="L33" s="573">
        <f t="shared" si="17"/>
        <v>4.7491018628553885E-2</v>
      </c>
      <c r="M33" s="573">
        <f t="shared" si="17"/>
        <v>0.17898622769168382</v>
      </c>
      <c r="N33" s="573">
        <f t="shared" si="17"/>
        <v>0.30518428845794854</v>
      </c>
      <c r="O33" s="508"/>
      <c r="P33" s="557"/>
      <c r="Q33" s="508"/>
    </row>
    <row r="34" spans="2:17" ht="16">
      <c r="B34" s="508"/>
      <c r="C34" s="559"/>
      <c r="D34" s="571"/>
      <c r="E34" s="571"/>
      <c r="F34" s="571"/>
      <c r="G34" s="568"/>
      <c r="H34" s="568"/>
      <c r="I34" s="568"/>
      <c r="J34" s="568"/>
      <c r="K34" s="568"/>
      <c r="L34" s="568"/>
      <c r="M34" s="568"/>
      <c r="N34" s="568"/>
      <c r="O34" s="508"/>
      <c r="P34" s="508"/>
      <c r="Q34" s="508"/>
    </row>
    <row r="35" spans="2:17" ht="16">
      <c r="B35" s="508"/>
      <c r="C35" s="77" t="s">
        <v>429</v>
      </c>
      <c r="D35" s="554"/>
      <c r="E35" s="555" t="s">
        <v>109</v>
      </c>
      <c r="F35" s="555"/>
      <c r="G35" s="568">
        <f>Model!G170</f>
        <v>-18302</v>
      </c>
      <c r="H35" s="568">
        <f>Model!H170</f>
        <v>-5783</v>
      </c>
      <c r="I35" s="568">
        <f>Model!I170</f>
        <v>-2694</v>
      </c>
      <c r="J35" s="568">
        <f>Model!J170</f>
        <v>-2465.4857500000003</v>
      </c>
      <c r="K35" s="568">
        <f>Model!K170</f>
        <v>-2710.7999999999997</v>
      </c>
      <c r="L35" s="568">
        <f>Model!L170</f>
        <v>-2788.5</v>
      </c>
      <c r="M35" s="568">
        <f>Model!M170</f>
        <v>-3135</v>
      </c>
      <c r="N35" s="568">
        <f>Model!N170</f>
        <v>-3146.4</v>
      </c>
      <c r="O35" s="508"/>
      <c r="P35" s="557">
        <f>(L35/G35)^(1/YEARFRAC(G$7,L$7,))-1</f>
        <v>-0.31360451273621415</v>
      </c>
      <c r="Q35" s="508"/>
    </row>
    <row r="36" spans="2:17" ht="16">
      <c r="B36" s="508"/>
      <c r="C36" s="562" t="s">
        <v>430</v>
      </c>
      <c r="D36" s="554"/>
      <c r="E36" s="555" t="s">
        <v>85</v>
      </c>
      <c r="F36" s="555"/>
      <c r="G36" s="574"/>
      <c r="H36" s="574"/>
      <c r="I36" s="574"/>
      <c r="J36" s="574"/>
      <c r="K36" s="574"/>
      <c r="L36" s="574"/>
      <c r="M36" s="574"/>
      <c r="N36" s="574"/>
      <c r="O36" s="508"/>
      <c r="P36" s="557"/>
      <c r="Q36" s="508"/>
    </row>
    <row r="37" spans="2:17" ht="16">
      <c r="B37" s="508"/>
      <c r="C37" s="562"/>
      <c r="D37" s="554"/>
      <c r="E37" s="555"/>
      <c r="F37" s="555"/>
      <c r="G37" s="574"/>
      <c r="H37" s="574"/>
      <c r="I37" s="574"/>
      <c r="J37" s="574"/>
      <c r="K37" s="574"/>
      <c r="L37" s="574"/>
      <c r="M37" s="574"/>
      <c r="N37" s="574"/>
      <c r="O37" s="508"/>
      <c r="P37" s="557"/>
      <c r="Q37" s="508"/>
    </row>
    <row r="38" spans="2:17" ht="16">
      <c r="B38" s="508"/>
      <c r="C38" s="575" t="s">
        <v>431</v>
      </c>
      <c r="D38" s="554"/>
      <c r="E38" s="555" t="s">
        <v>109</v>
      </c>
      <c r="F38" s="555"/>
      <c r="G38" s="574">
        <f>Model!G164</f>
        <v>-169115</v>
      </c>
      <c r="H38" s="574">
        <f>Model!H164</f>
        <v>-98820</v>
      </c>
      <c r="I38" s="574">
        <f>Model!I164</f>
        <v>-41707</v>
      </c>
      <c r="J38" s="574">
        <f>Model!J164</f>
        <v>-26415.296943478257</v>
      </c>
      <c r="K38" s="574">
        <f>Model!K164</f>
        <v>19332.206893057337</v>
      </c>
      <c r="L38" s="574">
        <f>Model!L164</f>
        <v>41923.90816883387</v>
      </c>
      <c r="M38" s="574">
        <f>Model!M164</f>
        <v>62324.022546594802</v>
      </c>
      <c r="N38" s="574">
        <f>Model!N164</f>
        <v>88317.806018658521</v>
      </c>
      <c r="O38" s="508"/>
      <c r="P38" s="557"/>
      <c r="Q38" s="508"/>
    </row>
    <row r="39" spans="2:17" ht="16">
      <c r="B39" s="508"/>
      <c r="C39" s="32" t="s">
        <v>432</v>
      </c>
      <c r="D39" s="554"/>
      <c r="E39" s="555" t="s">
        <v>109</v>
      </c>
      <c r="F39" s="555"/>
      <c r="G39" s="574">
        <f>Model!G172</f>
        <v>-93779</v>
      </c>
      <c r="H39" s="574">
        <f>Model!H172</f>
        <v>70414</v>
      </c>
      <c r="I39" s="574">
        <f>Model!I172</f>
        <v>-2658</v>
      </c>
      <c r="J39" s="574">
        <f>Model!J172</f>
        <v>-2431.1524166666668</v>
      </c>
      <c r="K39" s="574">
        <f>Model!K172</f>
        <v>-2676.4666666666662</v>
      </c>
      <c r="L39" s="574">
        <f>Model!L172</f>
        <v>-2754.1666666666665</v>
      </c>
      <c r="M39" s="574">
        <f>Model!M172</f>
        <v>-3100.6666666666665</v>
      </c>
      <c r="N39" s="574">
        <f>Model!N172</f>
        <v>-3112.0666666666666</v>
      </c>
      <c r="O39" s="508"/>
      <c r="P39" s="557"/>
      <c r="Q39" s="508"/>
    </row>
    <row r="40" spans="2:17" ht="16">
      <c r="B40" s="508"/>
      <c r="C40" s="575" t="s">
        <v>433</v>
      </c>
      <c r="D40" s="554"/>
      <c r="E40" s="555" t="s">
        <v>109</v>
      </c>
      <c r="F40" s="555"/>
      <c r="G40" s="574">
        <f>Model!G180</f>
        <v>2881</v>
      </c>
      <c r="H40" s="574">
        <f>Model!H180</f>
        <v>228</v>
      </c>
      <c r="I40" s="574">
        <f>Model!I180</f>
        <v>-1495</v>
      </c>
      <c r="J40" s="574">
        <f>Model!J180</f>
        <v>-542.5</v>
      </c>
      <c r="K40" s="574">
        <f>Model!K180</f>
        <v>-424.15000000000009</v>
      </c>
      <c r="L40" s="574">
        <f>Model!L180</f>
        <v>-317.6350000000001</v>
      </c>
      <c r="M40" s="574">
        <f>Model!M180</f>
        <v>-221.77150000000006</v>
      </c>
      <c r="N40" s="574">
        <f>Model!N180</f>
        <v>-135.49435000000005</v>
      </c>
      <c r="O40" s="508"/>
      <c r="P40" s="557"/>
      <c r="Q40" s="508"/>
    </row>
    <row r="41" spans="2:17" ht="16">
      <c r="B41" s="508"/>
      <c r="C41" s="562"/>
      <c r="D41" s="554"/>
      <c r="E41" s="555"/>
      <c r="F41" s="555"/>
      <c r="G41" s="574"/>
      <c r="H41" s="574"/>
      <c r="I41" s="574"/>
      <c r="J41" s="574"/>
      <c r="K41" s="574"/>
      <c r="L41" s="574"/>
      <c r="M41" s="574"/>
      <c r="N41" s="574"/>
      <c r="O41" s="508"/>
      <c r="P41" s="557"/>
      <c r="Q41" s="508"/>
    </row>
    <row r="42" spans="2:17" ht="16">
      <c r="B42" s="508"/>
      <c r="C42" s="28" t="s">
        <v>434</v>
      </c>
      <c r="D42" s="554"/>
      <c r="E42" s="555" t="s">
        <v>109</v>
      </c>
      <c r="F42" s="555"/>
      <c r="G42" s="576"/>
      <c r="H42" s="576">
        <f>Model!H118</f>
        <v>304274</v>
      </c>
      <c r="I42" s="576">
        <f>Model!I118</f>
        <v>256082</v>
      </c>
      <c r="J42" s="576">
        <f>Model!J118</f>
        <v>206567.46228762908</v>
      </c>
      <c r="K42" s="576">
        <f>Model!K118</f>
        <v>217521.14797740668</v>
      </c>
      <c r="L42" s="576">
        <f>Model!L118</f>
        <v>257365.91631865039</v>
      </c>
      <c r="M42" s="576">
        <f>Model!M118</f>
        <v>333442.50917207031</v>
      </c>
      <c r="N42" s="576">
        <f>Model!N118</f>
        <v>439663.33153579838</v>
      </c>
      <c r="O42" s="508"/>
      <c r="P42" s="557"/>
      <c r="Q42" s="508"/>
    </row>
    <row r="43" spans="2:17" ht="16">
      <c r="B43" s="508"/>
      <c r="C43" s="77" t="s">
        <v>435</v>
      </c>
      <c r="D43" s="554"/>
      <c r="E43" s="555" t="s">
        <v>109</v>
      </c>
      <c r="F43" s="555"/>
      <c r="G43" s="576"/>
      <c r="H43" s="576">
        <f>Model!H108</f>
        <v>134437</v>
      </c>
      <c r="I43" s="576">
        <f>Model!I108</f>
        <v>88775</v>
      </c>
      <c r="J43" s="576">
        <f>Model!J108</f>
        <v>59386.050639855079</v>
      </c>
      <c r="K43" s="576">
        <f>Model!K108</f>
        <v>75617.640866245754</v>
      </c>
      <c r="L43" s="576">
        <f>Model!L108</f>
        <v>114469.74736841297</v>
      </c>
      <c r="M43" s="576">
        <f>Model!M108</f>
        <v>173471.33174834109</v>
      </c>
      <c r="N43" s="576">
        <f>Model!N108</f>
        <v>258541.57675033296</v>
      </c>
      <c r="O43" s="508"/>
      <c r="P43" s="557"/>
      <c r="Q43" s="508"/>
    </row>
    <row r="44" spans="2:17" ht="16">
      <c r="B44" s="508"/>
      <c r="C44" s="570"/>
      <c r="D44" s="562"/>
      <c r="E44" s="555"/>
      <c r="F44" s="555"/>
      <c r="G44" s="574"/>
      <c r="H44" s="574"/>
      <c r="I44" s="574"/>
      <c r="J44" s="574"/>
      <c r="K44" s="574"/>
      <c r="L44" s="574"/>
      <c r="M44" s="574"/>
      <c r="N44" s="574"/>
      <c r="O44" s="508"/>
      <c r="P44" s="508"/>
      <c r="Q44" s="508"/>
    </row>
    <row r="45" spans="2:17" ht="16">
      <c r="B45" s="508"/>
      <c r="C45" s="32" t="s">
        <v>218</v>
      </c>
      <c r="D45" s="571"/>
      <c r="E45" s="555" t="s">
        <v>109</v>
      </c>
      <c r="F45" s="555"/>
      <c r="G45" s="568">
        <f>DCF!H62</f>
        <v>-183703</v>
      </c>
      <c r="H45" s="568">
        <f>DCF!I62</f>
        <v>-127586</v>
      </c>
      <c r="I45" s="568">
        <f>DCF!J62</f>
        <v>-60310</v>
      </c>
      <c r="J45" s="568">
        <f>DCF!K62</f>
        <v>-46163.567797883676</v>
      </c>
      <c r="K45" s="568">
        <f>DCF!L62</f>
        <v>-3779.9891246833668</v>
      </c>
      <c r="L45" s="568">
        <f>DCF!M62</f>
        <v>14395.193989504987</v>
      </c>
      <c r="M45" s="568">
        <f>DCF!N62</f>
        <v>44029.710722754884</v>
      </c>
      <c r="N45" s="568">
        <f>DCF!O62</f>
        <v>71482.661750051484</v>
      </c>
      <c r="O45" s="508"/>
      <c r="P45" s="557">
        <f>(L45/G45)^(1/YEARFRAC(G$7,L$7,))-1</f>
        <v>-1.6009249757611952</v>
      </c>
      <c r="Q45" s="508"/>
    </row>
    <row r="46" spans="2:17" ht="16">
      <c r="B46" s="508"/>
      <c r="C46" s="146" t="s">
        <v>436</v>
      </c>
      <c r="D46" s="554"/>
      <c r="E46" s="555" t="s">
        <v>85</v>
      </c>
      <c r="F46" s="555"/>
      <c r="G46" s="577">
        <f t="shared" ref="G46:N46" si="18">G45/G21</f>
        <v>-2.5031066902847798</v>
      </c>
      <c r="H46" s="577">
        <f t="shared" si="18"/>
        <v>-1.9360546282245827</v>
      </c>
      <c r="I46" s="577">
        <f t="shared" si="18"/>
        <v>-0.73498586331285953</v>
      </c>
      <c r="J46" s="577">
        <f t="shared" si="18"/>
        <v>-0.47277908091602755</v>
      </c>
      <c r="K46" s="577">
        <f t="shared" si="18"/>
        <v>-3.3466039173823521E-2</v>
      </c>
      <c r="L46" s="577">
        <f t="shared" si="18"/>
        <v>0.10066569223430061</v>
      </c>
      <c r="M46" s="577">
        <f t="shared" si="18"/>
        <v>0.23173531959344676</v>
      </c>
      <c r="N46" s="577">
        <f t="shared" si="18"/>
        <v>0.31352044627215564</v>
      </c>
      <c r="O46" s="508"/>
      <c r="P46" s="557"/>
      <c r="Q46" s="508"/>
    </row>
    <row r="47" spans="2:17" ht="16">
      <c r="B47" s="508"/>
      <c r="C47" s="570"/>
      <c r="D47" s="554"/>
      <c r="E47" s="555"/>
      <c r="F47" s="555"/>
      <c r="G47" s="563"/>
      <c r="H47" s="563"/>
      <c r="I47" s="563"/>
      <c r="J47" s="563"/>
      <c r="K47" s="563"/>
      <c r="L47" s="563"/>
      <c r="M47" s="563"/>
      <c r="N47" s="563"/>
      <c r="O47" s="508"/>
      <c r="P47" s="557"/>
      <c r="Q47" s="508"/>
    </row>
    <row r="48" spans="2:17" ht="16">
      <c r="B48" s="508"/>
      <c r="C48" s="494"/>
      <c r="D48" s="494"/>
      <c r="E48" s="495"/>
      <c r="F48" s="495"/>
      <c r="G48" s="578" t="s">
        <v>202</v>
      </c>
      <c r="H48" s="609"/>
      <c r="I48" s="609" t="s">
        <v>71</v>
      </c>
      <c r="J48" s="579"/>
      <c r="K48" s="579"/>
      <c r="L48" s="579"/>
      <c r="M48" s="579"/>
      <c r="N48" s="579"/>
      <c r="O48" s="508"/>
      <c r="P48" s="508"/>
      <c r="Q48" s="508"/>
    </row>
    <row r="49" spans="2:17" ht="16">
      <c r="B49" s="508"/>
      <c r="C49" s="580" t="s">
        <v>437</v>
      </c>
      <c r="D49" s="580"/>
      <c r="E49" s="581" t="s">
        <v>72</v>
      </c>
      <c r="F49" s="581"/>
      <c r="G49" s="582"/>
      <c r="H49" s="374">
        <f>J7</f>
        <v>45688</v>
      </c>
      <c r="I49" s="374">
        <f>K7</f>
        <v>46053</v>
      </c>
      <c r="J49" s="496"/>
      <c r="K49" s="496"/>
      <c r="L49" s="496"/>
      <c r="M49" s="496"/>
      <c r="N49" s="496"/>
      <c r="O49" s="508"/>
      <c r="P49" s="508"/>
      <c r="Q49" s="508"/>
    </row>
    <row r="50" spans="2:17" ht="16">
      <c r="B50" s="508"/>
      <c r="C50" s="554" t="s">
        <v>438</v>
      </c>
      <c r="E50" s="583" t="s">
        <v>439</v>
      </c>
      <c r="F50" s="583"/>
      <c r="G50" s="584" cm="1">
        <f t="array" ref="G50:I50">PubComps!N36:P36</f>
        <v>1.978244455945211</v>
      </c>
      <c r="H50" s="584">
        <v>2.139107753320872</v>
      </c>
      <c r="I50" s="585">
        <v>1.98089556566786</v>
      </c>
      <c r="J50" s="584"/>
      <c r="K50" s="584"/>
      <c r="L50" s="584"/>
      <c r="M50" s="584"/>
      <c r="N50" s="584"/>
      <c r="O50" s="508"/>
      <c r="P50" s="508"/>
      <c r="Q50" s="508"/>
    </row>
    <row r="51" spans="2:17" ht="16">
      <c r="B51" s="508"/>
      <c r="C51" s="554" t="str">
        <f>"EV / Revenue - "&amp;Company_Name&amp;":"</f>
        <v>EV / Revenue - Butterfly Network, inc.:</v>
      </c>
      <c r="E51" s="583" t="s">
        <v>439</v>
      </c>
      <c r="F51" s="583"/>
      <c r="G51" s="584" cm="1">
        <f t="array" ref="G51:I51">PubComps!N40:P40</f>
        <v>2.9859621383030897</v>
      </c>
      <c r="H51" s="584">
        <v>9.5966092397900482</v>
      </c>
      <c r="I51" s="585">
        <v>10.690740649692712</v>
      </c>
      <c r="J51" s="584"/>
      <c r="K51" s="584"/>
      <c r="L51" s="584"/>
      <c r="M51" s="584"/>
      <c r="N51" s="584"/>
      <c r="O51" s="508"/>
      <c r="P51" s="508"/>
      <c r="Q51" s="508"/>
    </row>
    <row r="52" spans="2:17" ht="16">
      <c r="B52" s="508"/>
      <c r="C52" s="554" t="s">
        <v>440</v>
      </c>
      <c r="E52" s="555" t="s">
        <v>85</v>
      </c>
      <c r="F52" s="555"/>
      <c r="G52" s="508"/>
      <c r="H52" s="508"/>
      <c r="I52" s="586">
        <f>PubComps!W17</f>
        <v>4.4081831466147081E-2</v>
      </c>
      <c r="J52" s="508"/>
      <c r="K52" s="508"/>
      <c r="L52" s="508"/>
      <c r="M52" s="508"/>
      <c r="N52" s="508"/>
      <c r="O52" s="508"/>
      <c r="P52" s="508"/>
      <c r="Q52" s="508"/>
    </row>
    <row r="53" spans="2:17" ht="16">
      <c r="B53" s="508"/>
      <c r="C53" s="554" t="str">
        <f>"Projected Revenue Growth - "&amp;Company_Name&amp;":"</f>
        <v>Projected Revenue Growth - Butterfly Network, inc.:</v>
      </c>
      <c r="E53" s="555" t="s">
        <v>85</v>
      </c>
      <c r="F53" s="555"/>
      <c r="G53" s="508"/>
      <c r="H53" s="508"/>
      <c r="I53" s="586">
        <f>PubComps!W21</f>
        <v>2.6878436163714214E-2</v>
      </c>
      <c r="J53" s="508"/>
      <c r="K53" s="508"/>
      <c r="L53" s="508"/>
      <c r="M53" s="508"/>
      <c r="N53" s="508"/>
      <c r="O53" s="508"/>
      <c r="P53" s="508"/>
      <c r="Q53" s="508"/>
    </row>
    <row r="54" spans="2:17" ht="16">
      <c r="B54" s="508"/>
      <c r="C54" s="508"/>
      <c r="E54" s="508"/>
      <c r="F54" s="508"/>
      <c r="G54" s="508"/>
      <c r="H54" s="508"/>
      <c r="I54" s="531"/>
      <c r="J54" s="508"/>
      <c r="K54" s="508"/>
      <c r="L54" s="508"/>
      <c r="M54" s="508"/>
      <c r="N54" s="508"/>
      <c r="O54" s="508"/>
      <c r="P54" s="508"/>
      <c r="Q54" s="508"/>
    </row>
    <row r="55" spans="2:17" ht="16">
      <c r="B55" s="508"/>
      <c r="C55" s="554" t="s">
        <v>441</v>
      </c>
      <c r="E55" s="583" t="s">
        <v>439</v>
      </c>
      <c r="F55" s="583"/>
      <c r="G55" s="584" cm="1">
        <f t="array" ref="G55:I55">PubComps!Q36:S36</f>
        <v>8.5982499753183461</v>
      </c>
      <c r="H55" s="584">
        <v>12.563107035313442</v>
      </c>
      <c r="I55" s="585">
        <v>11.704419790869675</v>
      </c>
      <c r="J55" s="584"/>
      <c r="K55" s="584"/>
      <c r="L55" s="584"/>
      <c r="M55" s="584"/>
      <c r="N55" s="584"/>
      <c r="O55" s="508"/>
      <c r="P55" s="508"/>
      <c r="Q55" s="508"/>
    </row>
    <row r="56" spans="2:17" ht="16">
      <c r="B56" s="508"/>
      <c r="C56" s="554" t="str">
        <f>"EV / EBITDA - "&amp;Company_Name&amp;":"</f>
        <v>EV / EBITDA - Butterfly Network, inc.:</v>
      </c>
      <c r="E56" s="583" t="s">
        <v>439</v>
      </c>
      <c r="F56" s="583"/>
      <c r="G56" s="584" cm="1">
        <f t="array" ref="G56:I56">PubComps!Q40:S40</f>
        <v>2.3516325994592506</v>
      </c>
      <c r="H56" s="584" t="str">
        <v>NM</v>
      </c>
      <c r="I56" s="585" t="str">
        <v>NM</v>
      </c>
      <c r="J56" s="584"/>
      <c r="K56" s="584"/>
      <c r="L56" s="584"/>
      <c r="M56" s="584"/>
      <c r="N56" s="584"/>
      <c r="O56" s="508"/>
      <c r="P56" s="508"/>
      <c r="Q56" s="508"/>
    </row>
    <row r="57" spans="2:17" ht="16">
      <c r="B57" s="508"/>
      <c r="C57" s="554" t="s">
        <v>442</v>
      </c>
      <c r="E57" s="555" t="s">
        <v>85</v>
      </c>
      <c r="F57" s="555"/>
      <c r="G57" s="508"/>
      <c r="H57" s="508"/>
      <c r="I57" s="586">
        <f>PubComps!X17</f>
        <v>7.336435806186703E-2</v>
      </c>
      <c r="J57" s="508"/>
      <c r="K57" s="508"/>
      <c r="L57" s="508"/>
      <c r="M57" s="508"/>
      <c r="N57" s="508"/>
      <c r="O57" s="508"/>
      <c r="P57" s="508"/>
      <c r="Q57" s="508"/>
    </row>
    <row r="58" spans="2:17" ht="16">
      <c r="B58" s="508"/>
      <c r="C58" s="554" t="str">
        <f>"Projected EBITDA Growth - "&amp;Company_Name&amp;":"</f>
        <v>Projected EBITDA Growth - Butterfly Network, inc.:</v>
      </c>
      <c r="E58" s="555" t="s">
        <v>85</v>
      </c>
      <c r="F58" s="555"/>
      <c r="G58" s="508"/>
      <c r="H58" s="508"/>
      <c r="I58" s="586">
        <f>PubComps!X21</f>
        <v>7.7519379844961378E-3</v>
      </c>
      <c r="J58" s="508"/>
      <c r="K58" s="508"/>
      <c r="L58" s="508"/>
      <c r="M58" s="508"/>
      <c r="N58" s="508"/>
      <c r="O58" s="508"/>
      <c r="P58" s="508"/>
      <c r="Q58" s="508"/>
    </row>
    <row r="59" spans="2:17" ht="16">
      <c r="B59" s="508"/>
      <c r="C59" s="508"/>
      <c r="E59" s="508"/>
      <c r="F59" s="508"/>
      <c r="G59" s="508"/>
      <c r="H59" s="508"/>
      <c r="I59" s="531"/>
      <c r="J59" s="508"/>
      <c r="K59" s="508"/>
      <c r="L59" s="508"/>
      <c r="M59" s="508"/>
      <c r="N59" s="508"/>
      <c r="O59" s="508"/>
      <c r="P59" s="508"/>
      <c r="Q59" s="508"/>
    </row>
    <row r="60" spans="2:17" ht="16">
      <c r="B60" s="508"/>
      <c r="C60" s="554" t="s">
        <v>443</v>
      </c>
      <c r="E60" s="583" t="s">
        <v>439</v>
      </c>
      <c r="F60" s="583"/>
      <c r="G60" s="585" cm="1">
        <f t="array" ref="G60:I60">PubComps!T36:V36</f>
        <v>11.486024885962649</v>
      </c>
      <c r="H60" s="585">
        <v>14.310017510557088</v>
      </c>
      <c r="I60" s="585">
        <v>13.606360597076421</v>
      </c>
      <c r="J60" s="584"/>
      <c r="K60" s="584"/>
      <c r="L60" s="584"/>
      <c r="M60" s="584"/>
      <c r="N60" s="584"/>
      <c r="O60" s="508"/>
      <c r="P60" s="508"/>
      <c r="Q60" s="508"/>
    </row>
    <row r="61" spans="2:17" ht="16">
      <c r="B61" s="508"/>
      <c r="C61" s="554" t="str">
        <f>"P / E - "&amp;Company_Name&amp;":"</f>
        <v>P / E - Butterfly Network, inc.:</v>
      </c>
      <c r="E61" s="583" t="s">
        <v>439</v>
      </c>
      <c r="F61" s="583"/>
      <c r="G61" s="585" t="str" cm="1">
        <f t="array" ref="G61:I61">PubComps!T40:V40</f>
        <v>NM</v>
      </c>
      <c r="H61" s="585" t="str">
        <v>NM</v>
      </c>
      <c r="I61" s="585" t="str">
        <v>NM</v>
      </c>
      <c r="J61" s="584"/>
      <c r="K61" s="584"/>
      <c r="L61" s="584"/>
      <c r="M61" s="584"/>
      <c r="N61" s="584"/>
      <c r="O61" s="508"/>
      <c r="P61" s="508"/>
      <c r="Q61" s="508"/>
    </row>
    <row r="62" spans="2:17" ht="16">
      <c r="B62" s="508"/>
      <c r="C62" s="508"/>
      <c r="D62" s="508"/>
      <c r="E62" s="508"/>
      <c r="F62" s="508"/>
      <c r="G62" s="508"/>
      <c r="H62" s="508"/>
      <c r="I62" s="508"/>
      <c r="J62" s="508"/>
      <c r="K62" s="508"/>
      <c r="L62" s="508"/>
      <c r="M62" s="508"/>
      <c r="N62" s="508"/>
      <c r="O62" s="508"/>
      <c r="P62" s="508"/>
      <c r="Q62" s="50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5952-0B8D-442A-8727-2FE4FB95B17B}">
  <dimension ref="B2:AJ366"/>
  <sheetViews>
    <sheetView showGridLines="0" topLeftCell="R35" zoomScale="109" zoomScaleNormal="38" workbookViewId="0">
      <selection activeCell="X43" sqref="X43"/>
    </sheetView>
  </sheetViews>
  <sheetFormatPr defaultRowHeight="14.5"/>
  <cols>
    <col min="16" max="16" width="25.1796875" bestFit="1" customWidth="1"/>
    <col min="17" max="17" width="11.453125" bestFit="1" customWidth="1"/>
    <col min="18" max="18" width="13.26953125" bestFit="1" customWidth="1"/>
    <col min="19" max="19" width="14.54296875" bestFit="1" customWidth="1"/>
    <col min="20" max="20" width="31.54296875" bestFit="1" customWidth="1"/>
    <col min="21" max="21" width="19.54296875" bestFit="1" customWidth="1"/>
    <col min="22" max="22" width="11.54296875" bestFit="1" customWidth="1"/>
    <col min="23" max="24" width="25" bestFit="1" customWidth="1"/>
    <col min="26" max="27" width="23.7265625" bestFit="1" customWidth="1"/>
  </cols>
  <sheetData>
    <row r="2" spans="2:36" ht="16">
      <c r="B2" s="506" t="str">
        <f>"Graphs and Analysis of Financial Model Output - "&amp;TEXT(Company_Name,"")</f>
        <v>Graphs and Analysis of Financial Model Output - Butterfly Network, inc.</v>
      </c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</row>
    <row r="4" spans="2:36" ht="16">
      <c r="P4" s="507" t="s">
        <v>406</v>
      </c>
      <c r="Q4" s="507" t="s">
        <v>180</v>
      </c>
      <c r="R4" s="507" t="s">
        <v>191</v>
      </c>
      <c r="S4" s="507" t="s">
        <v>192</v>
      </c>
      <c r="T4" s="508"/>
      <c r="U4" s="508"/>
      <c r="V4" s="508"/>
      <c r="W4" s="508"/>
      <c r="X4" s="508"/>
      <c r="Y4" s="508"/>
      <c r="Z4" s="508"/>
      <c r="AA4" s="508"/>
      <c r="AB4" s="508"/>
      <c r="AC4" s="508"/>
      <c r="AD4" s="508"/>
      <c r="AE4" s="508"/>
      <c r="AF4" s="508"/>
      <c r="AG4" s="508"/>
      <c r="AH4" s="508"/>
      <c r="AI4" s="508"/>
      <c r="AJ4" s="508"/>
    </row>
    <row r="5" spans="2:36" ht="16">
      <c r="P5" s="509" cm="1">
        <f t="array" ref="P5:P12">TRANSPOSE(Model!G66:N66)</f>
        <v>44926</v>
      </c>
      <c r="Q5" s="510" cm="1">
        <f t="array" ref="Q5:Q12">TRANSPOSE(Model!G72:N72)</f>
        <v>73390</v>
      </c>
      <c r="R5" s="512" cm="1">
        <f t="array" ref="R5:R12">TRANSPOSE(DCF!H62:O62)</f>
        <v>-183703</v>
      </c>
      <c r="S5" s="270">
        <f>R5/Q5</f>
        <v>-2.5031066902847798</v>
      </c>
      <c r="T5" s="508"/>
      <c r="U5" s="33"/>
      <c r="V5" s="33"/>
      <c r="W5" s="33"/>
      <c r="X5" s="33" t="str">
        <f>"Revenue &amp; Normalized Gross Margin"</f>
        <v>Revenue &amp; Normalized Gross Margin</v>
      </c>
      <c r="Y5" s="33"/>
      <c r="Z5" s="33"/>
      <c r="AA5" s="33"/>
      <c r="AB5" s="33"/>
      <c r="AC5" s="33"/>
      <c r="AD5" s="33"/>
      <c r="AE5" s="508"/>
      <c r="AF5" s="508"/>
      <c r="AG5" s="508"/>
      <c r="AH5" s="508"/>
      <c r="AI5" s="508"/>
      <c r="AJ5" s="508"/>
    </row>
    <row r="6" spans="2:36" ht="16">
      <c r="P6" s="509">
        <v>45291</v>
      </c>
      <c r="Q6" s="511">
        <v>65900</v>
      </c>
      <c r="R6" s="512">
        <v>-127586</v>
      </c>
      <c r="S6" s="270">
        <f t="shared" ref="S6:S12" si="0">R6/Q6</f>
        <v>-1.9360546282245827</v>
      </c>
      <c r="T6" s="508"/>
      <c r="U6" s="512"/>
      <c r="V6" s="508"/>
      <c r="W6" s="508"/>
      <c r="X6" s="508"/>
      <c r="Y6" s="508"/>
      <c r="Z6" s="508"/>
      <c r="AA6" s="508"/>
      <c r="AB6" s="508"/>
      <c r="AC6" s="508"/>
      <c r="AD6" s="508"/>
      <c r="AE6" s="508"/>
      <c r="AF6" s="508"/>
      <c r="AG6" s="508"/>
      <c r="AH6" s="508"/>
      <c r="AI6" s="508"/>
      <c r="AJ6" s="508"/>
    </row>
    <row r="7" spans="2:36" ht="16">
      <c r="P7" s="509">
        <v>45657</v>
      </c>
      <c r="Q7" s="511">
        <v>82056</v>
      </c>
      <c r="R7" s="512">
        <v>-60310</v>
      </c>
      <c r="S7" s="270">
        <f t="shared" si="0"/>
        <v>-0.73498586331285953</v>
      </c>
      <c r="T7" s="508"/>
      <c r="U7" s="512"/>
      <c r="V7" s="508"/>
      <c r="W7" s="508"/>
      <c r="X7" s="508"/>
      <c r="Y7" s="508"/>
      <c r="Z7" s="508"/>
      <c r="AA7" s="508"/>
      <c r="AB7" s="508"/>
      <c r="AC7" s="508"/>
      <c r="AD7" s="508"/>
      <c r="AE7" s="508"/>
      <c r="AF7" s="508"/>
      <c r="AG7" s="508"/>
      <c r="AH7" s="508"/>
      <c r="AI7" s="508"/>
      <c r="AJ7" s="508"/>
    </row>
    <row r="8" spans="2:36" ht="16">
      <c r="P8" s="509">
        <v>46022</v>
      </c>
      <c r="Q8" s="511">
        <v>97643</v>
      </c>
      <c r="R8" s="512">
        <v>-46163.567797883676</v>
      </c>
      <c r="S8" s="270">
        <f t="shared" si="0"/>
        <v>-0.47277908091602755</v>
      </c>
      <c r="T8" s="508"/>
      <c r="U8" s="512"/>
      <c r="V8" s="508"/>
      <c r="W8" s="508"/>
      <c r="X8" s="508"/>
      <c r="Y8" s="508"/>
      <c r="Z8" s="508"/>
      <c r="AA8" s="508"/>
      <c r="AB8" s="508"/>
      <c r="AC8" s="508"/>
      <c r="AD8" s="508"/>
      <c r="AE8" s="508"/>
      <c r="AF8" s="508"/>
      <c r="AG8" s="508"/>
      <c r="AH8" s="508"/>
      <c r="AI8" s="508"/>
      <c r="AJ8" s="508"/>
    </row>
    <row r="9" spans="2:36" ht="16">
      <c r="P9" s="509">
        <v>46387</v>
      </c>
      <c r="Q9" s="511">
        <v>112950</v>
      </c>
      <c r="R9" s="512">
        <v>-3779.9891246833668</v>
      </c>
      <c r="S9" s="270">
        <f t="shared" si="0"/>
        <v>-3.3466039173823521E-2</v>
      </c>
      <c r="T9" s="508"/>
      <c r="U9" s="512"/>
      <c r="V9" s="508"/>
      <c r="W9" s="508"/>
      <c r="X9" s="508"/>
      <c r="Y9" s="508"/>
      <c r="Z9" s="508"/>
      <c r="AA9" s="508"/>
      <c r="AB9" s="508"/>
      <c r="AC9" s="508"/>
      <c r="AD9" s="508"/>
      <c r="AE9" s="508"/>
      <c r="AF9" s="508"/>
      <c r="AG9" s="508"/>
      <c r="AH9" s="508"/>
      <c r="AI9" s="508"/>
      <c r="AJ9" s="508"/>
    </row>
    <row r="10" spans="2:36" ht="16">
      <c r="P10" s="509">
        <v>46752</v>
      </c>
      <c r="Q10" s="511">
        <v>143000</v>
      </c>
      <c r="R10" s="512">
        <v>14395.193989504987</v>
      </c>
      <c r="S10" s="270">
        <f t="shared" si="0"/>
        <v>0.10066569223430061</v>
      </c>
      <c r="T10" s="508"/>
      <c r="U10" s="512"/>
      <c r="V10" s="508"/>
      <c r="W10" s="508"/>
      <c r="X10" s="508"/>
      <c r="Y10" s="508"/>
      <c r="Z10" s="508"/>
      <c r="AA10" s="508"/>
      <c r="AB10" s="508"/>
      <c r="AC10" s="508"/>
      <c r="AD10" s="508"/>
      <c r="AE10" s="508"/>
      <c r="AF10" s="508"/>
      <c r="AG10" s="508"/>
      <c r="AH10" s="508"/>
      <c r="AI10" s="508"/>
      <c r="AJ10" s="508"/>
    </row>
    <row r="11" spans="2:36" ht="16">
      <c r="P11" s="509">
        <v>47118</v>
      </c>
      <c r="Q11" s="511">
        <v>190000</v>
      </c>
      <c r="R11" s="512">
        <v>44029.710722754884</v>
      </c>
      <c r="S11" s="270">
        <f t="shared" si="0"/>
        <v>0.23173531959344676</v>
      </c>
      <c r="T11" s="508"/>
      <c r="U11" s="512"/>
      <c r="V11" s="508"/>
      <c r="W11" s="508"/>
      <c r="X11" s="508"/>
      <c r="Y11" s="508"/>
      <c r="Z11" s="508"/>
      <c r="AA11" s="508"/>
      <c r="AB11" s="508"/>
      <c r="AC11" s="508"/>
      <c r="AD11" s="508"/>
      <c r="AE11" s="508"/>
      <c r="AF11" s="508"/>
      <c r="AG11" s="508"/>
      <c r="AH11" s="508"/>
      <c r="AI11" s="508"/>
      <c r="AJ11" s="508"/>
    </row>
    <row r="12" spans="2:36" ht="16">
      <c r="P12" s="509">
        <v>47483</v>
      </c>
      <c r="Q12" s="511">
        <v>228000</v>
      </c>
      <c r="R12" s="512">
        <v>71482.661750051484</v>
      </c>
      <c r="S12" s="270">
        <f t="shared" si="0"/>
        <v>0.31352044627215564</v>
      </c>
      <c r="T12" s="508"/>
      <c r="U12" s="512"/>
      <c r="V12" s="508"/>
      <c r="W12" s="508"/>
      <c r="X12" s="508"/>
      <c r="Y12" s="508"/>
      <c r="Z12" s="508"/>
      <c r="AA12" s="508"/>
      <c r="AB12" s="508"/>
      <c r="AC12" s="508"/>
      <c r="AD12" s="508"/>
      <c r="AE12" s="508"/>
      <c r="AF12" s="508"/>
      <c r="AG12" s="508"/>
      <c r="AH12" s="508"/>
      <c r="AI12" s="508"/>
      <c r="AJ12" s="508"/>
    </row>
    <row r="13" spans="2:36" ht="16">
      <c r="P13" s="509"/>
      <c r="Q13" s="511"/>
      <c r="R13" s="512"/>
      <c r="S13" s="270"/>
      <c r="T13" s="508"/>
      <c r="U13" s="512"/>
      <c r="V13" s="508"/>
      <c r="W13" s="508"/>
      <c r="X13" s="508"/>
      <c r="Y13" s="508"/>
      <c r="Z13" s="508"/>
      <c r="AA13" s="508"/>
      <c r="AB13" s="508"/>
      <c r="AC13" s="508"/>
      <c r="AD13" s="508"/>
      <c r="AE13" s="508"/>
      <c r="AF13" s="508"/>
      <c r="AG13" s="508"/>
      <c r="AH13" s="508"/>
      <c r="AI13" s="508"/>
      <c r="AJ13" s="508"/>
    </row>
    <row r="14" spans="2:36" ht="16">
      <c r="P14" s="509"/>
      <c r="Q14" s="511"/>
      <c r="R14" s="512"/>
      <c r="S14" s="270"/>
      <c r="T14" s="508"/>
      <c r="U14" s="512"/>
      <c r="V14" s="508"/>
      <c r="W14" s="508"/>
      <c r="X14" s="508"/>
      <c r="Y14" s="508"/>
      <c r="Z14" s="508"/>
      <c r="AA14" s="508"/>
      <c r="AB14" s="508"/>
      <c r="AC14" s="508"/>
      <c r="AD14" s="508"/>
      <c r="AE14" s="508"/>
      <c r="AF14" s="508"/>
      <c r="AG14" s="508"/>
      <c r="AH14" s="508"/>
      <c r="AI14" s="508"/>
      <c r="AJ14" s="508"/>
    </row>
    <row r="15" spans="2:36" ht="16">
      <c r="P15" s="509"/>
      <c r="Q15" s="511"/>
      <c r="R15" s="512"/>
      <c r="S15" s="270"/>
      <c r="T15" s="508"/>
      <c r="U15" s="512"/>
      <c r="V15" s="508"/>
      <c r="W15" s="508"/>
      <c r="X15" s="508"/>
      <c r="Y15" s="508"/>
      <c r="Z15" s="508"/>
      <c r="AA15" s="508"/>
      <c r="AB15" s="508"/>
      <c r="AC15" s="508"/>
      <c r="AD15" s="508"/>
      <c r="AE15" s="508"/>
      <c r="AF15" s="508"/>
      <c r="AG15" s="508"/>
      <c r="AH15" s="508"/>
      <c r="AI15" s="508"/>
      <c r="AJ15" s="508"/>
    </row>
    <row r="16" spans="2:36" ht="16">
      <c r="P16" s="513" t="s">
        <v>407</v>
      </c>
      <c r="Q16" s="508">
        <v>1</v>
      </c>
      <c r="R16" s="508"/>
      <c r="S16" s="508"/>
      <c r="T16" s="508"/>
      <c r="U16" s="512"/>
      <c r="V16" s="508"/>
      <c r="W16" s="508"/>
      <c r="X16" s="508"/>
      <c r="Y16" s="508"/>
      <c r="Z16" s="508"/>
      <c r="AA16" s="508"/>
      <c r="AB16" s="508"/>
      <c r="AC16" s="508"/>
      <c r="AD16" s="508"/>
      <c r="AE16" s="508"/>
      <c r="AF16" s="508"/>
      <c r="AG16" s="508"/>
      <c r="AH16" s="508"/>
      <c r="AI16" s="508"/>
      <c r="AJ16" s="508"/>
    </row>
    <row r="17" spans="16:36" ht="16">
      <c r="P17" s="508"/>
      <c r="Q17" s="508"/>
      <c r="R17" s="508"/>
      <c r="S17" s="508"/>
      <c r="T17" s="508"/>
      <c r="U17" s="508"/>
      <c r="V17" s="508"/>
      <c r="W17" s="508"/>
      <c r="X17" s="508"/>
      <c r="Y17" s="508"/>
      <c r="Z17" s="508"/>
      <c r="AA17" s="508"/>
      <c r="AB17" s="508"/>
      <c r="AC17" s="508"/>
      <c r="AD17" s="508"/>
      <c r="AE17" s="508"/>
      <c r="AF17" s="508"/>
      <c r="AG17" s="508"/>
      <c r="AH17" s="508"/>
      <c r="AI17" s="508"/>
      <c r="AJ17" s="508"/>
    </row>
    <row r="18" spans="16:36" ht="16">
      <c r="P18" s="513" t="s">
        <v>408</v>
      </c>
      <c r="Q18" s="514"/>
      <c r="R18" s="515" t="b">
        <v>1</v>
      </c>
      <c r="S18" s="516" t="b">
        <v>1</v>
      </c>
      <c r="T18" s="508"/>
      <c r="U18" s="508"/>
      <c r="V18" s="508"/>
      <c r="W18" s="508"/>
      <c r="X18" s="508"/>
      <c r="Y18" s="508"/>
      <c r="Z18" s="508"/>
      <c r="AA18" s="508"/>
      <c r="AB18" s="508"/>
      <c r="AC18" s="508"/>
      <c r="AD18" s="508"/>
      <c r="AE18" s="508"/>
      <c r="AF18" s="508"/>
      <c r="AG18" s="508"/>
      <c r="AH18" s="508"/>
      <c r="AI18" s="508"/>
      <c r="AJ18" s="508"/>
    </row>
    <row r="19" spans="16:36" ht="16">
      <c r="P19" s="507" t="s">
        <v>406</v>
      </c>
      <c r="Q19" s="507" t="s">
        <v>180</v>
      </c>
      <c r="R19" s="507" t="s">
        <v>191</v>
      </c>
      <c r="S19" s="507" t="s">
        <v>192</v>
      </c>
      <c r="T19" s="508"/>
      <c r="U19" s="508"/>
      <c r="V19" s="508"/>
      <c r="W19" s="508"/>
      <c r="X19" s="508"/>
      <c r="Y19" s="508"/>
      <c r="Z19" s="508"/>
      <c r="AA19" s="508"/>
      <c r="AB19" s="508"/>
      <c r="AC19" s="508"/>
      <c r="AD19" s="508"/>
      <c r="AE19" s="508"/>
      <c r="AF19" s="508"/>
      <c r="AG19" s="508"/>
      <c r="AH19" s="508"/>
      <c r="AI19" s="508"/>
      <c r="AJ19" s="508"/>
    </row>
    <row r="20" spans="16:36" ht="16">
      <c r="P20" s="509">
        <f>INDEX($P$4:$P$14,$Q$16+ROWS(P$21:$P23))</f>
        <v>45657</v>
      </c>
      <c r="Q20" s="517">
        <f>INDEX($Q$4:$Q$14,$Q$16+ROWS(Q$19:Q23))</f>
        <v>112950</v>
      </c>
      <c r="R20" s="517">
        <f>IF($Q$16,INDEX($R$4:$R$14,$Q$16+ROWS(R$19:R23)),"")</f>
        <v>-3779.9891246833668</v>
      </c>
      <c r="S20" s="518">
        <f>IF($Q$16,INDEX($S$4:$S$14,$Q$16+ROWS(S$19:S23)),NA())</f>
        <v>-3.3466039173823521E-2</v>
      </c>
      <c r="T20" s="508"/>
      <c r="U20" s="508"/>
      <c r="V20" s="508"/>
      <c r="W20" s="508"/>
      <c r="X20" s="513" t="s">
        <v>190</v>
      </c>
      <c r="Y20" s="508"/>
      <c r="Z20" s="508"/>
      <c r="AA20" s="508"/>
      <c r="AB20" s="508"/>
      <c r="AC20" s="508"/>
      <c r="AD20" s="508"/>
      <c r="AE20" s="508"/>
      <c r="AF20" s="508"/>
      <c r="AG20" s="508"/>
      <c r="AH20" s="508"/>
      <c r="AI20" s="508"/>
      <c r="AJ20" s="508"/>
    </row>
    <row r="21" spans="16:36" ht="16">
      <c r="P21" s="509">
        <f>INDEX($P$4:$P$14,$Q$16+ROWS(P$21:$P24))</f>
        <v>46022</v>
      </c>
      <c r="Q21" s="517">
        <f>INDEX($Q$4:$Q$14,$Q$16+ROWS(Q$19:Q24))</f>
        <v>143000</v>
      </c>
      <c r="R21" s="517">
        <f>IF($Q$16,INDEX($R$4:$R$14,$Q$16+ROWS(R$19:R24)),"")</f>
        <v>14395.193989504987</v>
      </c>
      <c r="S21" s="518">
        <f>IF($Q$16,INDEX($S$4:$S$14,$Q$16+ROWS(S$19:S24)),NA())</f>
        <v>0.10066569223430061</v>
      </c>
      <c r="T21" s="508"/>
      <c r="U21" s="508"/>
      <c r="V21" s="508"/>
      <c r="W21" s="508"/>
      <c r="X21" s="508"/>
      <c r="Y21" s="508"/>
      <c r="Z21" s="508"/>
      <c r="AA21" s="508"/>
      <c r="AB21" s="508"/>
      <c r="AC21" s="508"/>
      <c r="AD21" s="508"/>
      <c r="AE21" s="508"/>
      <c r="AF21" s="508"/>
      <c r="AG21" s="508"/>
      <c r="AH21" s="508"/>
      <c r="AI21" s="508"/>
      <c r="AJ21" s="508"/>
    </row>
    <row r="22" spans="16:36" ht="16">
      <c r="P22" s="509">
        <f>INDEX($P$4:$P$14,$Q$16+ROWS(P$21:$P25))</f>
        <v>46387</v>
      </c>
      <c r="Q22" s="517">
        <f>INDEX($Q$4:$Q$14,$Q$16+ROWS(Q$19:Q25))</f>
        <v>190000</v>
      </c>
      <c r="R22" s="517">
        <f>IF($Q$16,INDEX($R$4:$R$14,$Q$16+ROWS(R$19:R25)),"")</f>
        <v>44029.710722754884</v>
      </c>
      <c r="S22" s="518">
        <f>IF($Q$16,INDEX($S$4:$S$14,$Q$16+ROWS(S$19:S25)),NA())</f>
        <v>0.23173531959344676</v>
      </c>
      <c r="T22" s="508"/>
      <c r="U22" s="508"/>
      <c r="V22" s="508"/>
      <c r="W22" s="508"/>
      <c r="X22" s="508"/>
      <c r="Y22" s="508"/>
      <c r="Z22" s="508"/>
      <c r="AA22" s="508"/>
      <c r="AB22" s="508"/>
      <c r="AC22" s="508"/>
      <c r="AD22" s="508"/>
      <c r="AE22" s="508"/>
      <c r="AF22" s="508"/>
      <c r="AG22" s="508"/>
      <c r="AH22" s="508"/>
      <c r="AI22" s="508"/>
      <c r="AJ22" s="508"/>
    </row>
    <row r="23" spans="16:36" ht="16">
      <c r="P23" s="509">
        <f>INDEX($P$4:$P$14,$Q$16+ROWS(P$21:$P26))</f>
        <v>46752</v>
      </c>
      <c r="Q23" s="517">
        <f>INDEX($Q$4:$Q$14,$Q$16+ROWS(Q$19:Q26))</f>
        <v>228000</v>
      </c>
      <c r="R23" s="517">
        <f>IF($Q$16,INDEX($R$4:$R$14,$Q$16+ROWS(R$19:R26)),"")</f>
        <v>71482.661750051484</v>
      </c>
      <c r="S23" s="518">
        <f>IF($Q$16,INDEX($S$4:$S$14,$Q$16+ROWS(S$19:S26)),NA())</f>
        <v>0.31352044627215564</v>
      </c>
      <c r="T23" s="508"/>
      <c r="U23" s="508"/>
      <c r="V23" s="508"/>
      <c r="W23" s="508"/>
      <c r="X23" s="508"/>
      <c r="Y23" s="508"/>
      <c r="Z23" s="508"/>
      <c r="AA23" s="508"/>
      <c r="AB23" s="508"/>
      <c r="AC23" s="508"/>
      <c r="AD23" s="508"/>
      <c r="AE23" s="508"/>
      <c r="AF23" s="508"/>
      <c r="AG23" s="508"/>
      <c r="AH23" s="508"/>
      <c r="AI23" s="508"/>
      <c r="AJ23" s="508"/>
    </row>
    <row r="24" spans="16:36" ht="16">
      <c r="P24" s="508"/>
      <c r="Q24" s="508"/>
      <c r="R24" s="508"/>
      <c r="S24" s="508"/>
      <c r="T24" s="508"/>
      <c r="U24" s="508"/>
      <c r="V24" s="508"/>
      <c r="W24" s="508"/>
      <c r="X24" s="508"/>
      <c r="Y24" s="508"/>
      <c r="Z24" s="508"/>
      <c r="AA24" s="508"/>
      <c r="AB24" s="508"/>
      <c r="AC24" s="508"/>
      <c r="AD24" s="508"/>
      <c r="AE24" s="508"/>
      <c r="AF24" s="508"/>
      <c r="AG24" s="508"/>
      <c r="AH24" s="508"/>
      <c r="AI24" s="508"/>
      <c r="AJ24" s="508"/>
    </row>
    <row r="25" spans="16:36" ht="16">
      <c r="P25" s="508"/>
      <c r="Q25" s="508"/>
      <c r="R25" s="508"/>
      <c r="S25" s="508"/>
      <c r="T25" s="508"/>
      <c r="U25" s="508"/>
      <c r="V25" s="508"/>
      <c r="W25" s="508"/>
      <c r="X25" s="508"/>
      <c r="Y25" s="508"/>
      <c r="Z25" s="508"/>
      <c r="AA25" s="508"/>
      <c r="AB25" s="508"/>
      <c r="AC25" s="508"/>
      <c r="AD25" s="508"/>
      <c r="AE25" s="508"/>
      <c r="AF25" s="508"/>
      <c r="AG25" s="508"/>
      <c r="AH25" s="508"/>
      <c r="AI25" s="508"/>
      <c r="AJ25" s="508"/>
    </row>
    <row r="26" spans="16:36" ht="16">
      <c r="P26" s="508"/>
      <c r="Q26" s="508"/>
      <c r="R26" s="508"/>
      <c r="S26" s="508"/>
      <c r="T26" s="508"/>
      <c r="U26" s="508"/>
      <c r="V26" s="508"/>
      <c r="W26" s="508"/>
      <c r="X26" s="508"/>
      <c r="Y26" s="508"/>
      <c r="Z26" s="508"/>
      <c r="AA26" s="508"/>
      <c r="AB26" s="508"/>
      <c r="AC26" s="508"/>
      <c r="AD26" s="508"/>
      <c r="AE26" s="508"/>
      <c r="AF26" s="508"/>
      <c r="AG26" s="508"/>
      <c r="AH26" s="508"/>
      <c r="AI26" s="508"/>
      <c r="AJ26" s="508"/>
    </row>
    <row r="27" spans="16:36" ht="16">
      <c r="P27" s="508" t="str">
        <f>Company_Name&amp;": Revenue, EBITDA, and Margins, FY"&amp;TEXT(P20,"yy")&amp;" to FY"&amp;TEXT(P23,"yy")</f>
        <v>Butterfly Network, inc.: Revenue, EBITDA, and Margins, FY24 to FY27</v>
      </c>
      <c r="Q27" s="508"/>
      <c r="R27" s="508"/>
      <c r="S27" s="508"/>
      <c r="T27" s="508"/>
      <c r="U27" s="508"/>
      <c r="V27" s="508"/>
      <c r="W27" s="508"/>
      <c r="X27" s="508"/>
      <c r="Y27" s="508"/>
      <c r="Z27" s="508"/>
      <c r="AA27" s="508"/>
      <c r="AB27" s="508"/>
      <c r="AC27" s="508"/>
      <c r="AD27" s="508"/>
      <c r="AE27" s="508"/>
      <c r="AF27" s="508"/>
      <c r="AG27" s="508"/>
      <c r="AH27" s="508"/>
      <c r="AI27" s="508"/>
      <c r="AJ27" s="508"/>
    </row>
    <row r="28" spans="16:36" ht="16">
      <c r="P28" s="508"/>
      <c r="Q28" s="508"/>
      <c r="R28" s="508"/>
      <c r="S28" s="508"/>
      <c r="T28" s="508"/>
      <c r="U28" s="508"/>
      <c r="V28" s="508"/>
      <c r="W28" s="508"/>
      <c r="X28" s="508"/>
      <c r="Y28" s="508"/>
      <c r="Z28" s="508"/>
      <c r="AA28" s="508"/>
      <c r="AB28" s="508"/>
      <c r="AC28" s="508"/>
      <c r="AD28" s="508"/>
      <c r="AE28" s="508"/>
      <c r="AF28" s="508"/>
      <c r="AG28" s="508"/>
      <c r="AH28" s="508"/>
      <c r="AI28" s="508"/>
      <c r="AJ28" s="508"/>
    </row>
    <row r="29" spans="16:36" ht="16">
      <c r="P29" s="508"/>
      <c r="Q29" s="508"/>
      <c r="R29" s="508"/>
      <c r="S29" s="508"/>
      <c r="T29" s="508"/>
      <c r="U29" s="508"/>
      <c r="V29" s="508"/>
      <c r="W29" s="508"/>
      <c r="X29" s="508"/>
      <c r="Y29" s="508"/>
      <c r="Z29" s="508"/>
      <c r="AA29" s="508"/>
      <c r="AB29" s="508"/>
      <c r="AC29" s="508"/>
      <c r="AD29" s="508"/>
      <c r="AE29" s="508"/>
      <c r="AF29" s="508"/>
      <c r="AG29" s="508"/>
      <c r="AH29" s="508"/>
      <c r="AI29" s="508"/>
      <c r="AJ29" s="508"/>
    </row>
    <row r="30" spans="16:36" ht="16">
      <c r="P30" s="508"/>
      <c r="Q30" s="508"/>
      <c r="R30" s="508"/>
      <c r="S30" s="508"/>
      <c r="T30" s="508"/>
      <c r="U30" s="508"/>
      <c r="V30" s="508"/>
      <c r="W30" s="508"/>
      <c r="X30" s="508"/>
      <c r="Y30" s="508"/>
      <c r="Z30" s="508"/>
      <c r="AA30" s="508"/>
      <c r="AB30" s="508"/>
      <c r="AC30" s="508"/>
      <c r="AD30" s="508"/>
      <c r="AE30" s="508"/>
      <c r="AF30" s="508"/>
      <c r="AG30" s="508"/>
      <c r="AH30" s="508"/>
      <c r="AI30" s="508"/>
      <c r="AJ30" s="508"/>
    </row>
    <row r="31" spans="16:36" ht="16">
      <c r="P31" s="508"/>
      <c r="Q31" s="508"/>
      <c r="R31" s="508"/>
      <c r="S31" s="508"/>
      <c r="T31" s="508"/>
      <c r="U31" s="508"/>
      <c r="V31" s="508"/>
      <c r="W31" s="508"/>
      <c r="X31" s="508"/>
      <c r="Y31" s="508"/>
      <c r="Z31" s="508"/>
      <c r="AA31" s="508"/>
      <c r="AB31" s="508"/>
      <c r="AC31" s="508"/>
      <c r="AD31" s="508"/>
      <c r="AE31" s="508"/>
      <c r="AF31" s="508"/>
      <c r="AG31" s="508"/>
      <c r="AH31" s="508"/>
      <c r="AI31" s="508"/>
      <c r="AJ31" s="508"/>
    </row>
    <row r="32" spans="16:36" ht="16">
      <c r="P32" s="508"/>
      <c r="Q32" s="508"/>
      <c r="R32" s="508"/>
      <c r="S32" s="508"/>
      <c r="T32" s="508"/>
      <c r="U32" s="508"/>
      <c r="V32" s="508"/>
      <c r="W32" s="508"/>
      <c r="X32" s="508"/>
      <c r="Y32" s="508"/>
      <c r="Z32" s="508"/>
      <c r="AA32" s="508"/>
      <c r="AB32" s="508"/>
      <c r="AC32" s="508"/>
      <c r="AD32" s="508"/>
      <c r="AE32" s="508"/>
      <c r="AF32" s="508"/>
      <c r="AG32" s="508"/>
      <c r="AH32" s="508"/>
      <c r="AI32" s="508"/>
      <c r="AJ32" s="508"/>
    </row>
    <row r="33" spans="16:36" ht="16">
      <c r="P33" s="508" t="str">
        <f>Company_Name&amp;": Revenue, Operating Expenses, EBIT"</f>
        <v>Butterfly Network, inc.: Revenue, Operating Expenses, EBIT</v>
      </c>
      <c r="Q33" s="508"/>
      <c r="R33" s="508"/>
      <c r="S33" s="508"/>
      <c r="T33" s="508"/>
      <c r="U33" s="508"/>
      <c r="V33" s="508"/>
      <c r="W33" s="508"/>
      <c r="X33" s="513" t="s">
        <v>527</v>
      </c>
      <c r="Y33" s="508"/>
      <c r="Z33" s="508"/>
      <c r="AA33" s="508"/>
      <c r="AB33" s="508"/>
      <c r="AC33" s="508"/>
      <c r="AD33" s="508"/>
      <c r="AE33" s="508"/>
      <c r="AF33" s="508"/>
      <c r="AG33" s="508"/>
      <c r="AH33" s="508"/>
      <c r="AI33" s="508"/>
      <c r="AJ33" s="508"/>
    </row>
    <row r="34" spans="16:36" ht="16">
      <c r="P34" s="508"/>
      <c r="Q34" s="508"/>
      <c r="R34" s="508"/>
      <c r="S34" s="508"/>
      <c r="T34" s="508"/>
      <c r="U34" s="508"/>
      <c r="V34" s="508"/>
      <c r="W34" s="508"/>
      <c r="X34" s="508"/>
      <c r="Y34" s="508"/>
      <c r="Z34" s="508"/>
      <c r="AA34" s="508"/>
      <c r="AB34" s="508"/>
      <c r="AC34" s="508"/>
      <c r="AD34" s="508"/>
      <c r="AE34" s="508"/>
      <c r="AF34" s="508"/>
      <c r="AG34" s="508"/>
      <c r="AH34" s="508"/>
      <c r="AI34" s="508"/>
      <c r="AJ34" s="508"/>
    </row>
    <row r="35" spans="16:36" ht="16">
      <c r="P35" s="508"/>
      <c r="Q35" s="508"/>
      <c r="R35" s="508"/>
      <c r="S35" s="508"/>
      <c r="T35" s="508"/>
      <c r="U35" s="519"/>
      <c r="V35" s="508"/>
      <c r="W35" s="508"/>
      <c r="X35" s="508"/>
      <c r="Y35" s="508"/>
      <c r="Z35" s="508"/>
      <c r="AA35" s="508"/>
      <c r="AB35" s="508"/>
      <c r="AC35" s="508"/>
      <c r="AD35" s="508"/>
      <c r="AE35" s="508"/>
      <c r="AF35" s="508"/>
      <c r="AG35" s="508"/>
      <c r="AH35" s="508"/>
      <c r="AI35" s="508"/>
      <c r="AJ35" s="508"/>
    </row>
    <row r="36" spans="16:36" ht="16">
      <c r="P36" s="513"/>
      <c r="Q36" s="508"/>
      <c r="R36" s="508"/>
      <c r="S36" s="508"/>
      <c r="T36" s="508"/>
      <c r="U36" s="508"/>
      <c r="V36" s="508"/>
      <c r="W36" s="508"/>
      <c r="X36" s="508"/>
      <c r="Y36" s="508"/>
      <c r="Z36" s="508"/>
      <c r="AA36" s="508"/>
      <c r="AB36" s="508"/>
      <c r="AC36" s="508"/>
      <c r="AD36" s="508"/>
      <c r="AE36" s="508"/>
      <c r="AF36" s="508"/>
      <c r="AG36" s="508"/>
      <c r="AH36" s="508"/>
      <c r="AI36" s="508"/>
      <c r="AJ36" s="508"/>
    </row>
    <row r="37" spans="16:36" ht="16">
      <c r="P37" s="508"/>
      <c r="Q37" s="508"/>
      <c r="R37" s="508"/>
      <c r="S37" s="508"/>
      <c r="T37" s="508"/>
      <c r="U37" s="508"/>
      <c r="V37" s="508"/>
      <c r="W37" s="508"/>
      <c r="X37" s="508"/>
      <c r="Y37" s="508"/>
      <c r="Z37" s="508"/>
      <c r="AA37" s="508"/>
      <c r="AB37" s="508"/>
      <c r="AC37" s="508"/>
      <c r="AD37" s="508"/>
      <c r="AE37" s="508"/>
      <c r="AF37" s="508"/>
      <c r="AG37" s="508"/>
      <c r="AH37" s="508"/>
      <c r="AI37" s="508"/>
      <c r="AJ37" s="508"/>
    </row>
    <row r="38" spans="16:36" ht="16">
      <c r="P38" s="508"/>
      <c r="Q38" s="508"/>
      <c r="R38" s="508"/>
      <c r="S38" s="508"/>
      <c r="T38" s="508"/>
      <c r="U38" s="519"/>
      <c r="V38" s="508"/>
      <c r="W38" s="508"/>
      <c r="X38" s="508"/>
      <c r="Y38" s="508"/>
      <c r="Z38" s="508"/>
      <c r="AA38" s="508"/>
      <c r="AB38" s="508"/>
      <c r="AC38" s="508"/>
      <c r="AD38" s="508"/>
      <c r="AE38" s="508"/>
      <c r="AF38" s="508"/>
      <c r="AG38" s="508"/>
      <c r="AH38" s="508"/>
      <c r="AI38" s="508"/>
      <c r="AJ38" s="508"/>
    </row>
    <row r="39" spans="16:36" ht="16">
      <c r="P39" s="508"/>
      <c r="Q39" s="508"/>
      <c r="R39" s="508"/>
      <c r="S39" s="508"/>
      <c r="T39" s="508"/>
      <c r="U39" s="508"/>
      <c r="V39" s="508"/>
      <c r="W39" s="508"/>
      <c r="X39" s="508"/>
      <c r="Y39" s="508"/>
      <c r="Z39" s="508"/>
      <c r="AA39" s="508"/>
      <c r="AB39" s="508"/>
      <c r="AC39" s="508"/>
      <c r="AD39" s="508"/>
      <c r="AE39" s="508"/>
      <c r="AF39" s="508"/>
      <c r="AG39" s="508"/>
      <c r="AH39" s="508"/>
      <c r="AI39" s="508"/>
      <c r="AJ39" s="508"/>
    </row>
    <row r="40" spans="16:36" ht="16">
      <c r="P40" s="508"/>
      <c r="Q40" s="508"/>
      <c r="R40" s="508"/>
      <c r="S40" s="508"/>
      <c r="T40" s="508"/>
      <c r="U40" s="508"/>
      <c r="V40" s="508"/>
      <c r="W40" s="508"/>
      <c r="X40" s="508"/>
      <c r="Y40" s="508"/>
      <c r="Z40" s="508"/>
      <c r="AA40" s="508"/>
      <c r="AB40" s="508"/>
      <c r="AC40" s="508"/>
      <c r="AD40" s="508"/>
      <c r="AE40" s="508"/>
      <c r="AF40" s="508"/>
      <c r="AG40" s="508"/>
      <c r="AH40" s="508"/>
      <c r="AI40" s="508"/>
      <c r="AJ40" s="508"/>
    </row>
    <row r="41" spans="16:36" ht="16">
      <c r="P41" s="508"/>
      <c r="Q41" s="508"/>
      <c r="R41" s="508"/>
      <c r="S41" s="508"/>
      <c r="T41" s="508"/>
      <c r="U41" s="508"/>
      <c r="V41" s="508"/>
      <c r="W41" s="508"/>
      <c r="X41" s="508"/>
      <c r="Y41" s="508"/>
      <c r="Z41" s="508"/>
      <c r="AA41" s="508"/>
      <c r="AB41" s="508"/>
      <c r="AC41" s="508"/>
      <c r="AD41" s="508"/>
      <c r="AE41" s="508"/>
      <c r="AF41" s="508"/>
      <c r="AG41" s="508"/>
      <c r="AH41" s="508"/>
      <c r="AI41" s="508"/>
      <c r="AJ41" s="508"/>
    </row>
    <row r="42" spans="16:36" ht="16">
      <c r="P42" s="508"/>
      <c r="Q42" s="508"/>
      <c r="R42" s="508"/>
      <c r="S42" s="508"/>
      <c r="T42" s="508"/>
      <c r="U42" s="508"/>
      <c r="V42" s="508"/>
      <c r="W42" s="508"/>
      <c r="X42" s="508"/>
      <c r="Y42" s="508"/>
      <c r="Z42" s="508"/>
      <c r="AA42" s="508"/>
      <c r="AB42" s="508"/>
      <c r="AC42" s="508"/>
      <c r="AD42" s="508"/>
      <c r="AE42" s="508"/>
      <c r="AF42" s="508"/>
      <c r="AG42" s="508"/>
      <c r="AH42" s="508"/>
      <c r="AI42" s="508"/>
      <c r="AJ42" s="508"/>
    </row>
    <row r="43" spans="16:36" ht="16">
      <c r="P43" s="508"/>
      <c r="Q43" s="508"/>
      <c r="R43" s="508"/>
      <c r="S43" s="508"/>
      <c r="T43" s="508"/>
      <c r="U43" s="508"/>
      <c r="V43" s="508"/>
      <c r="W43" s="508"/>
      <c r="X43" s="508"/>
      <c r="Y43" s="508"/>
      <c r="Z43" s="508"/>
      <c r="AA43" s="508"/>
      <c r="AB43" s="508"/>
      <c r="AC43" s="508"/>
      <c r="AD43" s="508"/>
      <c r="AE43" s="508"/>
      <c r="AF43" s="508"/>
      <c r="AG43" s="508"/>
      <c r="AH43" s="508"/>
      <c r="AI43" s="508"/>
      <c r="AJ43" s="508"/>
    </row>
    <row r="44" spans="16:36" ht="16">
      <c r="P44" s="508"/>
      <c r="Q44" s="508"/>
      <c r="R44" s="508"/>
      <c r="S44" s="508"/>
      <c r="T44" s="508"/>
      <c r="U44" s="508"/>
      <c r="V44" s="508"/>
      <c r="W44" s="508"/>
      <c r="X44" s="508"/>
      <c r="Y44" s="508"/>
      <c r="Z44" s="508"/>
      <c r="AA44" s="508"/>
      <c r="AB44" s="508"/>
      <c r="AC44" s="508"/>
      <c r="AD44" s="508"/>
      <c r="AE44" s="508"/>
      <c r="AF44" s="508"/>
      <c r="AG44" s="508"/>
      <c r="AH44" s="508"/>
      <c r="AI44" s="508"/>
      <c r="AJ44" s="508"/>
    </row>
    <row r="45" spans="16:36" ht="16">
      <c r="P45" s="508"/>
      <c r="Q45" s="508"/>
      <c r="R45" s="508"/>
      <c r="S45" s="508"/>
      <c r="T45" s="508"/>
      <c r="U45" s="508"/>
      <c r="V45" s="508"/>
      <c r="W45" s="508"/>
      <c r="X45" s="508"/>
      <c r="Y45" s="508"/>
      <c r="Z45" s="508"/>
      <c r="AA45" s="508"/>
      <c r="AB45" s="508"/>
      <c r="AC45" s="508"/>
      <c r="AD45" s="508"/>
      <c r="AE45" s="508"/>
      <c r="AF45" s="508"/>
      <c r="AG45" s="508"/>
      <c r="AH45" s="508"/>
      <c r="AI45" s="508"/>
      <c r="AJ45" s="508"/>
    </row>
    <row r="46" spans="16:36" ht="16">
      <c r="P46" s="508"/>
      <c r="Q46" s="508"/>
      <c r="R46" s="508"/>
      <c r="S46" s="508"/>
      <c r="T46" s="508"/>
      <c r="U46" s="508"/>
      <c r="V46" s="508"/>
      <c r="W46" s="508"/>
      <c r="X46" s="508"/>
      <c r="Y46" s="508"/>
      <c r="Z46" s="508"/>
      <c r="AA46" s="508"/>
      <c r="AB46" s="508"/>
      <c r="AC46" s="508"/>
      <c r="AD46" s="508"/>
      <c r="AE46" s="508"/>
      <c r="AF46" s="508"/>
      <c r="AG46" s="508"/>
      <c r="AH46" s="508"/>
      <c r="AI46" s="508"/>
      <c r="AJ46" s="508"/>
    </row>
    <row r="47" spans="16:36" ht="16">
      <c r="P47" s="508"/>
      <c r="Q47" s="508"/>
      <c r="R47" s="508"/>
      <c r="S47" s="508"/>
      <c r="T47" s="508"/>
      <c r="U47" s="508"/>
      <c r="V47" s="508"/>
      <c r="W47" s="508"/>
      <c r="X47" s="508"/>
      <c r="Y47" s="508"/>
      <c r="Z47" s="508"/>
      <c r="AA47" s="508"/>
      <c r="AB47" s="508"/>
      <c r="AC47" s="508"/>
      <c r="AD47" s="508"/>
      <c r="AE47" s="508"/>
      <c r="AF47" s="508"/>
      <c r="AG47" s="508"/>
      <c r="AH47" s="508"/>
      <c r="AI47" s="508"/>
      <c r="AJ47" s="508"/>
    </row>
    <row r="48" spans="16:36" ht="16">
      <c r="P48" s="508" t="str">
        <f>Company_Name&amp;": Revenue by Segment"</f>
        <v>Butterfly Network, inc.: Revenue by Segment</v>
      </c>
      <c r="Q48" s="508"/>
      <c r="R48" s="508"/>
      <c r="S48" s="508"/>
      <c r="T48" s="508"/>
      <c r="U48" s="508"/>
      <c r="V48" s="508"/>
      <c r="W48" s="508"/>
      <c r="X48" s="508"/>
      <c r="Y48" s="508"/>
      <c r="Z48" s="508"/>
      <c r="AA48" s="508"/>
      <c r="AB48" s="508"/>
      <c r="AC48" s="508"/>
      <c r="AD48" s="508"/>
      <c r="AE48" s="508"/>
      <c r="AF48" s="508"/>
      <c r="AG48" s="508"/>
      <c r="AH48" s="508"/>
      <c r="AI48" s="508"/>
      <c r="AJ48" s="508"/>
    </row>
    <row r="49" spans="16:36" ht="16">
      <c r="P49" s="508"/>
      <c r="Q49" s="508"/>
      <c r="R49" s="508"/>
      <c r="S49" s="508"/>
      <c r="T49" s="508"/>
      <c r="U49" s="508"/>
      <c r="V49" s="508"/>
      <c r="W49" s="508"/>
      <c r="X49" s="508"/>
      <c r="Y49" s="508"/>
      <c r="Z49" s="508"/>
      <c r="AA49" s="508"/>
      <c r="AB49" s="508"/>
      <c r="AC49" s="508"/>
      <c r="AD49" s="508"/>
      <c r="AE49" s="508"/>
      <c r="AF49" s="508"/>
      <c r="AG49" s="508"/>
      <c r="AH49" s="508"/>
      <c r="AI49" s="508"/>
      <c r="AJ49" s="508"/>
    </row>
    <row r="50" spans="16:36" ht="16">
      <c r="P50" s="508"/>
      <c r="Q50" s="508"/>
      <c r="R50" s="508"/>
      <c r="S50" s="508"/>
      <c r="T50" s="508"/>
      <c r="U50" s="508"/>
      <c r="V50" s="508"/>
      <c r="W50" s="508"/>
      <c r="X50" s="508"/>
      <c r="Y50" s="508"/>
      <c r="Z50" s="508"/>
      <c r="AA50" s="508"/>
      <c r="AB50" s="508"/>
      <c r="AC50" s="508"/>
      <c r="AD50" s="508"/>
      <c r="AE50" s="508"/>
      <c r="AF50" s="508"/>
      <c r="AG50" s="508"/>
      <c r="AH50" s="508"/>
      <c r="AI50" s="508"/>
      <c r="AJ50" s="508"/>
    </row>
    <row r="51" spans="16:36" ht="16">
      <c r="P51" s="508"/>
      <c r="Q51" s="508"/>
      <c r="R51" s="508"/>
      <c r="S51" s="508"/>
      <c r="T51" s="508"/>
      <c r="U51" s="508"/>
      <c r="V51" s="508"/>
      <c r="W51" s="508"/>
      <c r="X51" s="508"/>
      <c r="Y51" s="508"/>
      <c r="Z51" s="508"/>
      <c r="AA51" s="508"/>
      <c r="AB51" s="508"/>
      <c r="AC51" s="508"/>
      <c r="AD51" s="508"/>
      <c r="AE51" s="508"/>
      <c r="AF51" s="508"/>
      <c r="AG51" s="508"/>
      <c r="AH51" s="508"/>
      <c r="AI51" s="508"/>
      <c r="AJ51" s="508"/>
    </row>
    <row r="52" spans="16:36" ht="16">
      <c r="P52" s="508"/>
      <c r="Q52" s="508"/>
      <c r="R52" s="508"/>
      <c r="S52" s="508"/>
      <c r="T52" s="508"/>
      <c r="U52" s="508"/>
      <c r="V52" s="508"/>
      <c r="W52" s="508"/>
      <c r="X52" s="508"/>
      <c r="Y52" s="508"/>
      <c r="Z52" s="508"/>
      <c r="AA52" s="508"/>
      <c r="AB52" s="508"/>
      <c r="AC52" s="508"/>
      <c r="AD52" s="508"/>
      <c r="AE52" s="508"/>
      <c r="AF52" s="508"/>
      <c r="AG52" s="508"/>
      <c r="AH52" s="508"/>
      <c r="AI52" s="508"/>
      <c r="AJ52" s="508"/>
    </row>
    <row r="53" spans="16:36" ht="16">
      <c r="P53" s="508"/>
      <c r="Q53" s="508"/>
      <c r="R53" s="508"/>
      <c r="S53" s="508"/>
      <c r="T53" s="508"/>
      <c r="U53" s="508"/>
      <c r="V53" s="508"/>
      <c r="W53" s="508"/>
      <c r="X53" s="508"/>
      <c r="Y53" s="508"/>
      <c r="Z53" s="508"/>
      <c r="AA53" s="508"/>
      <c r="AB53" s="508"/>
      <c r="AC53" s="508"/>
      <c r="AD53" s="508"/>
      <c r="AE53" s="508"/>
      <c r="AF53" s="508"/>
      <c r="AG53" s="508"/>
      <c r="AH53" s="508"/>
      <c r="AI53" s="508"/>
      <c r="AJ53" s="508"/>
    </row>
    <row r="54" spans="16:36" ht="16">
      <c r="P54" s="508"/>
      <c r="Q54" s="508"/>
      <c r="R54" s="508"/>
      <c r="S54" s="508"/>
      <c r="T54" s="508"/>
      <c r="U54" s="508"/>
      <c r="V54" s="508"/>
      <c r="W54" s="508"/>
      <c r="X54" s="508"/>
      <c r="Y54" s="508"/>
      <c r="Z54" s="508"/>
      <c r="AA54" s="508"/>
      <c r="AB54" s="508"/>
      <c r="AC54" s="508"/>
      <c r="AD54" s="508"/>
      <c r="AE54" s="508"/>
      <c r="AF54" s="508"/>
      <c r="AG54" s="508"/>
      <c r="AH54" s="508"/>
      <c r="AI54" s="508"/>
      <c r="AJ54" s="508"/>
    </row>
    <row r="55" spans="16:36" ht="16">
      <c r="P55" s="508"/>
      <c r="Q55" s="508"/>
      <c r="R55" s="508"/>
      <c r="S55" s="508"/>
      <c r="T55" s="508"/>
      <c r="U55" s="508"/>
      <c r="V55" s="508"/>
      <c r="W55" s="508"/>
      <c r="X55" s="508"/>
      <c r="Y55" s="508"/>
      <c r="Z55" s="508"/>
      <c r="AA55" s="508"/>
      <c r="AB55" s="508"/>
      <c r="AC55" s="508"/>
      <c r="AD55" s="508"/>
      <c r="AE55" s="508"/>
      <c r="AF55" s="508"/>
      <c r="AG55" s="508"/>
      <c r="AH55" s="508"/>
      <c r="AI55" s="508"/>
      <c r="AJ55" s="508"/>
    </row>
    <row r="56" spans="16:36" ht="16">
      <c r="P56" s="508"/>
      <c r="Q56" s="508"/>
      <c r="R56" s="508"/>
      <c r="S56" s="508"/>
      <c r="T56" s="508"/>
      <c r="U56" s="508"/>
      <c r="V56" s="508"/>
      <c r="W56" s="508"/>
      <c r="X56" s="508"/>
      <c r="Y56" s="508"/>
      <c r="Z56" s="508"/>
      <c r="AA56" s="508"/>
      <c r="AB56" s="508"/>
      <c r="AC56" s="508"/>
      <c r="AD56" s="508"/>
      <c r="AE56" s="508"/>
      <c r="AF56" s="508"/>
      <c r="AG56" s="508"/>
      <c r="AH56" s="508"/>
      <c r="AI56" s="508"/>
      <c r="AJ56" s="508"/>
    </row>
    <row r="57" spans="16:36" ht="16"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  <c r="AA57" s="508"/>
      <c r="AB57" s="508"/>
      <c r="AC57" s="508"/>
      <c r="AD57" s="508"/>
      <c r="AE57" s="508"/>
      <c r="AF57" s="508"/>
      <c r="AG57" s="508"/>
      <c r="AH57" s="508"/>
      <c r="AI57" s="508"/>
      <c r="AJ57" s="508"/>
    </row>
    <row r="58" spans="16:36" ht="16"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8"/>
      <c r="AB58" s="508"/>
      <c r="AC58" s="508"/>
      <c r="AD58" s="508"/>
      <c r="AE58" s="508"/>
      <c r="AF58" s="508"/>
      <c r="AG58" s="508"/>
      <c r="AH58" s="508"/>
      <c r="AI58" s="508"/>
      <c r="AJ58" s="508"/>
    </row>
    <row r="59" spans="16:36" ht="16"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8"/>
      <c r="AB59" s="508"/>
      <c r="AC59" s="508"/>
      <c r="AD59" s="508"/>
      <c r="AE59" s="508"/>
      <c r="AF59" s="508"/>
      <c r="AG59" s="508"/>
      <c r="AH59" s="508"/>
      <c r="AI59" s="508"/>
      <c r="AJ59" s="508"/>
    </row>
    <row r="60" spans="16:36" ht="16">
      <c r="P60" s="508"/>
      <c r="Q60" s="508"/>
      <c r="R60" s="508"/>
      <c r="S60" s="508"/>
      <c r="T60" s="508"/>
      <c r="U60" s="508"/>
      <c r="V60" s="508"/>
      <c r="W60" s="508"/>
      <c r="X60" s="508"/>
      <c r="Y60" s="508"/>
      <c r="Z60" s="508"/>
      <c r="AA60" s="508"/>
      <c r="AB60" s="508"/>
      <c r="AC60" s="508"/>
      <c r="AD60" s="508"/>
      <c r="AE60" s="508"/>
      <c r="AF60" s="508"/>
      <c r="AG60" s="508"/>
      <c r="AH60" s="508"/>
      <c r="AI60" s="508"/>
      <c r="AJ60" s="508"/>
    </row>
    <row r="61" spans="16:36" ht="16">
      <c r="P61" s="508"/>
      <c r="Q61" s="508"/>
      <c r="R61" s="508"/>
      <c r="S61" s="508"/>
      <c r="T61" s="508"/>
      <c r="U61" s="508"/>
      <c r="V61" s="508"/>
      <c r="W61" s="508"/>
      <c r="X61" s="508"/>
      <c r="Y61" s="508"/>
      <c r="Z61" s="508"/>
      <c r="AA61" s="508"/>
      <c r="AB61" s="508"/>
      <c r="AC61" s="508"/>
      <c r="AD61" s="508"/>
      <c r="AE61" s="508"/>
      <c r="AF61" s="508"/>
      <c r="AG61" s="508"/>
      <c r="AH61" s="508"/>
      <c r="AI61" s="508"/>
      <c r="AJ61" s="508"/>
    </row>
    <row r="62" spans="16:36" ht="16">
      <c r="P62" s="508"/>
      <c r="Q62" s="508"/>
      <c r="R62" s="508"/>
      <c r="S62" s="508"/>
      <c r="T62" s="508"/>
      <c r="U62" s="508"/>
      <c r="V62" s="508"/>
      <c r="W62" s="508"/>
      <c r="X62" s="508"/>
      <c r="Y62" s="508"/>
      <c r="Z62" s="508"/>
      <c r="AA62" s="508"/>
      <c r="AB62" s="508"/>
      <c r="AC62" s="508"/>
      <c r="AD62" s="508"/>
      <c r="AE62" s="508"/>
      <c r="AF62" s="508"/>
      <c r="AG62" s="508"/>
      <c r="AH62" s="508"/>
      <c r="AI62" s="508"/>
      <c r="AJ62" s="508"/>
    </row>
    <row r="63" spans="16:36" ht="16">
      <c r="P63" s="513"/>
      <c r="Q63" s="508"/>
      <c r="R63" s="508"/>
      <c r="S63" s="508"/>
      <c r="T63" s="508"/>
      <c r="U63" s="508"/>
      <c r="V63" s="508"/>
      <c r="W63" s="508"/>
      <c r="X63" s="508"/>
      <c r="Y63" s="508"/>
      <c r="Z63" s="508"/>
      <c r="AA63" s="508"/>
      <c r="AB63" s="508"/>
      <c r="AC63" s="508"/>
      <c r="AD63" s="508"/>
      <c r="AE63" s="508"/>
      <c r="AF63" s="508"/>
      <c r="AG63" s="508"/>
      <c r="AH63" s="508"/>
      <c r="AI63" s="508"/>
      <c r="AJ63" s="508"/>
    </row>
    <row r="64" spans="16:36" ht="16">
      <c r="P64" s="508"/>
      <c r="Q64" s="508"/>
      <c r="R64" s="508"/>
      <c r="S64" s="508"/>
      <c r="T64" s="508"/>
      <c r="U64" s="508"/>
      <c r="V64" s="508"/>
      <c r="W64" s="508"/>
      <c r="X64" s="508"/>
      <c r="Y64" s="508"/>
      <c r="Z64" s="508"/>
      <c r="AA64" s="508"/>
      <c r="AB64" s="508"/>
      <c r="AC64" s="508"/>
      <c r="AD64" s="508"/>
      <c r="AE64" s="508"/>
      <c r="AF64" s="508"/>
      <c r="AG64" s="508"/>
      <c r="AH64" s="508"/>
      <c r="AI64" s="508"/>
      <c r="AJ64" s="508"/>
    </row>
    <row r="65" spans="16:36" ht="16">
      <c r="P65" s="508" t="str">
        <f>"Annual Revenue, FY"&amp;TEXT(Forward_Year_1,"yy")&amp;" - FY"&amp;TEXT(Forward_Year_2,"yy")</f>
        <v>Annual Revenue, FY25 - FY26</v>
      </c>
      <c r="Q65" s="508" t="str">
        <f>"FY"&amp;TEXT(Forward_Year_1,"yy")</f>
        <v>FY25</v>
      </c>
      <c r="R65" s="508" t="str">
        <f>"FY"&amp;TEXT(Forward_Year_2,"yy")</f>
        <v>FY26</v>
      </c>
      <c r="S65" s="508"/>
      <c r="T65" s="508"/>
      <c r="U65" s="508"/>
      <c r="V65" s="508"/>
      <c r="W65" s="508"/>
      <c r="X65" s="508"/>
      <c r="Y65" s="508"/>
      <c r="Z65" s="508"/>
      <c r="AA65" s="508"/>
      <c r="AB65" s="508"/>
      <c r="AC65" s="508"/>
      <c r="AD65" s="508"/>
      <c r="AE65" s="508"/>
      <c r="AF65" s="508"/>
      <c r="AG65" s="508"/>
      <c r="AH65" s="508"/>
      <c r="AI65" s="508"/>
      <c r="AJ65" s="508"/>
    </row>
    <row r="66" spans="16:36" ht="16">
      <c r="P66" s="508" t="str">
        <f>"Annual EBITDA, FY"&amp;TEXT(Forward_Year_1,"yy")&amp;" - FY"&amp;TEXT(Forward_Year_2,"yy")</f>
        <v>Annual EBITDA, FY25 - FY26</v>
      </c>
      <c r="Q66" s="508" t="str">
        <f>"FY"&amp;TEXT(Forward_Year_1,"yy")</f>
        <v>FY25</v>
      </c>
      <c r="R66" s="508" t="str">
        <f>"FY"&amp;TEXT(Forward_Year_2,"yy")</f>
        <v>FY26</v>
      </c>
      <c r="S66" s="508"/>
      <c r="T66" s="508"/>
      <c r="U66" s="508"/>
      <c r="V66" s="508"/>
      <c r="W66" s="508"/>
      <c r="X66" s="508"/>
      <c r="Y66" s="508"/>
      <c r="Z66" s="508"/>
      <c r="AA66" s="508"/>
      <c r="AB66" s="508"/>
      <c r="AC66" s="508"/>
      <c r="AD66" s="508"/>
      <c r="AE66" s="508"/>
      <c r="AF66" s="508"/>
      <c r="AG66" s="508"/>
      <c r="AH66" s="508"/>
      <c r="AI66" s="508"/>
      <c r="AJ66" s="508"/>
    </row>
    <row r="67" spans="16:36" ht="16"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8"/>
      <c r="AB67" s="508"/>
      <c r="AC67" s="508"/>
      <c r="AD67" s="508"/>
      <c r="AE67" s="508"/>
      <c r="AF67" s="508"/>
      <c r="AG67" s="508"/>
      <c r="AH67" s="508"/>
      <c r="AI67" s="508"/>
      <c r="AJ67" s="508"/>
    </row>
    <row r="68" spans="16:36" ht="16">
      <c r="P68" s="508"/>
      <c r="Q68" s="508"/>
      <c r="R68" s="508"/>
      <c r="S68" s="508"/>
      <c r="T68" s="508"/>
      <c r="U68" s="508"/>
      <c r="V68" s="508"/>
      <c r="W68" s="508"/>
      <c r="X68" s="508"/>
      <c r="Y68" s="508"/>
      <c r="Z68" s="508"/>
      <c r="AA68" s="508"/>
      <c r="AB68" s="508"/>
      <c r="AC68" s="508"/>
      <c r="AD68" s="508"/>
      <c r="AE68" s="508"/>
      <c r="AF68" s="508"/>
      <c r="AG68" s="508"/>
      <c r="AH68" s="508"/>
      <c r="AI68" s="508"/>
      <c r="AJ68" s="508"/>
    </row>
    <row r="69" spans="16:36" ht="16">
      <c r="P69" s="508"/>
      <c r="Q69" s="508"/>
      <c r="R69" s="508"/>
      <c r="S69" s="508"/>
      <c r="T69" s="508"/>
      <c r="U69" s="508"/>
      <c r="V69" s="508"/>
      <c r="W69" s="508"/>
      <c r="X69" s="508"/>
      <c r="Y69" s="508"/>
      <c r="Z69" s="508"/>
      <c r="AA69" s="508"/>
      <c r="AB69" s="508"/>
      <c r="AC69" s="508"/>
      <c r="AD69" s="508"/>
      <c r="AE69" s="508"/>
      <c r="AF69" s="508"/>
      <c r="AG69" s="508"/>
      <c r="AH69" s="508"/>
      <c r="AI69" s="508"/>
      <c r="AJ69" s="508"/>
    </row>
    <row r="70" spans="16:36" ht="16">
      <c r="P70" s="508"/>
      <c r="Q70" s="508"/>
      <c r="R70" s="508"/>
      <c r="S70" s="508"/>
      <c r="T70" s="508"/>
      <c r="U70" s="508"/>
      <c r="V70" s="508"/>
      <c r="W70" s="508"/>
      <c r="X70" s="508"/>
      <c r="Y70" s="508"/>
      <c r="Z70" s="508"/>
      <c r="AA70" s="508"/>
      <c r="AB70" s="508"/>
      <c r="AC70" s="508"/>
      <c r="AD70" s="508"/>
      <c r="AE70" s="508"/>
      <c r="AF70" s="508"/>
      <c r="AG70" s="508"/>
      <c r="AH70" s="508"/>
      <c r="AI70" s="508"/>
      <c r="AJ70" s="508"/>
    </row>
    <row r="71" spans="16:36" ht="16">
      <c r="P71" s="508"/>
      <c r="Q71" s="508"/>
      <c r="R71" s="508"/>
      <c r="S71" s="508"/>
      <c r="T71" s="508"/>
      <c r="U71" s="508"/>
      <c r="V71" s="508"/>
      <c r="W71" s="508"/>
      <c r="X71" s="508"/>
      <c r="Y71" s="508"/>
      <c r="Z71" s="508"/>
      <c r="AA71" s="508"/>
      <c r="AB71" s="508"/>
      <c r="AC71" s="508"/>
      <c r="AD71" s="508"/>
      <c r="AE71" s="508"/>
      <c r="AF71" s="508"/>
      <c r="AG71" s="508"/>
      <c r="AH71" s="508"/>
      <c r="AI71" s="508"/>
      <c r="AJ71" s="508"/>
    </row>
    <row r="72" spans="16:36" ht="16">
      <c r="P72" s="513"/>
      <c r="Q72" s="508"/>
      <c r="R72" s="508"/>
      <c r="S72" s="508"/>
      <c r="T72" s="508"/>
      <c r="U72" s="508"/>
      <c r="V72" s="508"/>
      <c r="W72" s="508"/>
      <c r="X72" s="508"/>
      <c r="Y72" s="508"/>
      <c r="Z72" s="508"/>
      <c r="AA72" s="508"/>
      <c r="AB72" s="508"/>
      <c r="AC72" s="508"/>
      <c r="AD72" s="508"/>
      <c r="AE72" s="508"/>
      <c r="AF72" s="508"/>
      <c r="AG72" s="508"/>
      <c r="AH72" s="508"/>
      <c r="AI72" s="508"/>
      <c r="AJ72" s="508"/>
    </row>
    <row r="73" spans="16:36" ht="16"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8"/>
      <c r="AB73" s="508"/>
      <c r="AC73" s="508"/>
      <c r="AD73" s="508"/>
      <c r="AE73" s="508"/>
      <c r="AF73" s="508"/>
      <c r="AG73" s="508"/>
      <c r="AH73" s="508"/>
      <c r="AI73" s="508"/>
      <c r="AJ73" s="508"/>
    </row>
    <row r="74" spans="16:36" ht="16">
      <c r="P74" s="508"/>
      <c r="Q74" s="508"/>
      <c r="R74" s="508"/>
      <c r="S74" s="508"/>
      <c r="T74" s="508"/>
      <c r="U74" s="508"/>
      <c r="V74" s="508"/>
      <c r="W74" s="508"/>
      <c r="X74" s="508"/>
      <c r="Y74" s="508"/>
      <c r="Z74" s="508"/>
      <c r="AA74" s="508"/>
      <c r="AB74" s="508"/>
      <c r="AC74" s="508"/>
      <c r="AD74" s="508"/>
      <c r="AE74" s="508"/>
      <c r="AF74" s="508"/>
      <c r="AG74" s="508"/>
      <c r="AH74" s="508"/>
      <c r="AI74" s="508"/>
      <c r="AJ74" s="508"/>
    </row>
    <row r="75" spans="16:36" ht="16">
      <c r="P75" s="508"/>
      <c r="Q75" s="508"/>
      <c r="R75" s="508"/>
      <c r="S75" s="508"/>
      <c r="T75" s="508"/>
      <c r="U75" s="508"/>
      <c r="V75" s="508"/>
      <c r="W75" s="508"/>
      <c r="X75" s="508"/>
      <c r="Y75" s="508"/>
      <c r="Z75" s="508"/>
      <c r="AA75" s="508"/>
      <c r="AB75" s="508"/>
      <c r="AC75" s="508"/>
      <c r="AD75" s="508"/>
      <c r="AE75" s="508"/>
      <c r="AF75" s="508"/>
      <c r="AG75" s="508"/>
      <c r="AH75" s="508"/>
      <c r="AI75" s="508"/>
      <c r="AJ75" s="508"/>
    </row>
    <row r="76" spans="16:36" ht="16">
      <c r="P76" s="508"/>
      <c r="Q76" s="508"/>
      <c r="R76" s="508"/>
      <c r="S76" s="508"/>
      <c r="T76" s="508"/>
      <c r="U76" s="508"/>
      <c r="V76" s="508"/>
      <c r="W76" s="508"/>
      <c r="X76" s="508"/>
      <c r="Y76" s="508"/>
      <c r="Z76" s="508"/>
      <c r="AA76" s="508"/>
      <c r="AB76" s="508"/>
      <c r="AC76" s="508"/>
      <c r="AD76" s="508"/>
      <c r="AE76" s="508"/>
      <c r="AF76" s="508"/>
      <c r="AG76" s="508"/>
      <c r="AH76" s="508"/>
      <c r="AI76" s="508"/>
      <c r="AJ76" s="508"/>
    </row>
    <row r="77" spans="16:36" ht="16">
      <c r="P77" s="508"/>
      <c r="Q77" s="508"/>
      <c r="R77" s="508"/>
      <c r="S77" s="508"/>
      <c r="T77" s="508"/>
      <c r="U77" s="508"/>
      <c r="V77" s="508"/>
      <c r="W77" s="508"/>
      <c r="X77" s="508"/>
      <c r="Y77" s="508"/>
      <c r="Z77" s="508"/>
      <c r="AA77" s="508"/>
      <c r="AB77" s="508"/>
      <c r="AC77" s="508"/>
      <c r="AD77" s="508"/>
      <c r="AE77" s="508"/>
      <c r="AF77" s="508"/>
      <c r="AG77" s="508"/>
      <c r="AH77" s="508"/>
      <c r="AI77" s="508"/>
      <c r="AJ77" s="508"/>
    </row>
    <row r="78" spans="16:36" ht="16">
      <c r="P78" s="508"/>
      <c r="Q78" s="508"/>
      <c r="R78" s="508"/>
      <c r="S78" s="508"/>
      <c r="T78" s="508"/>
      <c r="U78" s="508"/>
      <c r="V78" s="508"/>
      <c r="W78" s="508"/>
      <c r="X78" s="508"/>
      <c r="Y78" s="508"/>
      <c r="Z78" s="508"/>
      <c r="AA78" s="508"/>
      <c r="AB78" s="508"/>
      <c r="AC78" s="508"/>
      <c r="AD78" s="508"/>
      <c r="AE78" s="508"/>
      <c r="AF78" s="508"/>
      <c r="AG78" s="508"/>
      <c r="AH78" s="508"/>
      <c r="AI78" s="508"/>
      <c r="AJ78" s="508"/>
    </row>
    <row r="79" spans="16:36" ht="16">
      <c r="P79" s="508"/>
      <c r="Q79" s="508"/>
      <c r="R79" s="508"/>
      <c r="S79" s="508"/>
      <c r="T79" s="508"/>
      <c r="U79" s="508"/>
      <c r="V79" s="508"/>
      <c r="W79" s="508"/>
      <c r="X79" s="508"/>
      <c r="Y79" s="508"/>
      <c r="Z79" s="508"/>
      <c r="AA79" s="508"/>
      <c r="AB79" s="508"/>
      <c r="AC79" s="508"/>
      <c r="AD79" s="508"/>
      <c r="AE79" s="508"/>
      <c r="AF79" s="508"/>
      <c r="AG79" s="508"/>
      <c r="AH79" s="508"/>
      <c r="AI79" s="508"/>
      <c r="AJ79" s="508"/>
    </row>
    <row r="80" spans="16:36" ht="16">
      <c r="P80" s="508" t="str">
        <f>"Projected Revenue Growth, FY"&amp;TEXT(Forward_Year_1,"yy")&amp;" - FY"&amp;TEXT(Forward_Year_2,"yy")</f>
        <v>Projected Revenue Growth, FY25 - FY26</v>
      </c>
      <c r="Q80" s="508"/>
      <c r="R80" s="508"/>
      <c r="S80" s="508"/>
      <c r="T80" s="508"/>
      <c r="U80" s="508"/>
      <c r="V80" s="508"/>
      <c r="W80" s="508"/>
      <c r="X80" s="508"/>
      <c r="Y80" s="508"/>
      <c r="Z80" s="508"/>
      <c r="AA80" s="508"/>
      <c r="AB80" s="508"/>
      <c r="AC80" s="508"/>
      <c r="AD80" s="508"/>
      <c r="AE80" s="508"/>
      <c r="AF80" s="508"/>
      <c r="AG80" s="508"/>
      <c r="AH80" s="508"/>
      <c r="AI80" s="508"/>
      <c r="AJ80" s="508"/>
    </row>
    <row r="81" spans="16:36" ht="16">
      <c r="P81" s="508" t="str">
        <f>"Projected EBITDA Growth, FY"&amp;TEXT(Forward_Year_1,"yy")&amp;" - FY"&amp;TEXT(Forward_Year_2,"yy")</f>
        <v>Projected EBITDA Growth, FY25 - FY26</v>
      </c>
      <c r="Q81" s="508"/>
      <c r="R81" s="508"/>
      <c r="S81" s="508"/>
      <c r="T81" s="508"/>
      <c r="U81" s="508"/>
      <c r="V81" s="508"/>
      <c r="W81" s="508"/>
      <c r="X81" s="508"/>
      <c r="Y81" s="508"/>
      <c r="Z81" s="508"/>
      <c r="AA81" s="508"/>
      <c r="AB81" s="508"/>
      <c r="AC81" s="508"/>
      <c r="AD81" s="508"/>
      <c r="AE81" s="508"/>
      <c r="AF81" s="508"/>
      <c r="AG81" s="508"/>
      <c r="AH81" s="508"/>
      <c r="AI81" s="508"/>
      <c r="AJ81" s="508"/>
    </row>
    <row r="82" spans="16:36" ht="16">
      <c r="P82" s="508"/>
      <c r="Q82" s="508"/>
      <c r="R82" s="508"/>
      <c r="S82" s="508"/>
      <c r="T82" s="508"/>
      <c r="U82" s="508"/>
      <c r="V82" s="508"/>
      <c r="W82" s="508"/>
      <c r="X82" s="508"/>
      <c r="Y82" s="508"/>
      <c r="Z82" s="508"/>
      <c r="AA82" s="508"/>
      <c r="AB82" s="508"/>
      <c r="AC82" s="508"/>
      <c r="AD82" s="508"/>
      <c r="AE82" s="508"/>
      <c r="AF82" s="508"/>
      <c r="AG82" s="508"/>
      <c r="AH82" s="508"/>
      <c r="AI82" s="508"/>
      <c r="AJ82" s="508"/>
    </row>
    <row r="83" spans="16:36" ht="16">
      <c r="P83" s="508" t="str">
        <f>"FY"&amp;TEXT(Forward_Year_2,"yy")&amp;" Revenue Multiples"</f>
        <v>FY26 Revenue Multiples</v>
      </c>
      <c r="Q83" s="508"/>
      <c r="R83" s="508"/>
      <c r="S83" s="508"/>
      <c r="T83" s="508"/>
      <c r="U83" s="508"/>
      <c r="V83" s="508"/>
      <c r="W83" s="508"/>
      <c r="X83" s="508"/>
      <c r="Y83" s="508"/>
      <c r="Z83" s="508"/>
      <c r="AA83" s="508"/>
      <c r="AB83" s="508"/>
      <c r="AC83" s="508"/>
      <c r="AD83" s="508"/>
      <c r="AE83" s="508"/>
      <c r="AF83" s="508"/>
      <c r="AG83" s="508"/>
      <c r="AH83" s="508"/>
      <c r="AI83" s="508"/>
      <c r="AJ83" s="508"/>
    </row>
    <row r="84" spans="16:36" ht="16">
      <c r="P84" s="508" t="str">
        <f>"FY"&amp;TEXT(Forward_Year_2,"yy")&amp;" EBITDA Multiples"</f>
        <v>FY26 EBITDA Multiples</v>
      </c>
      <c r="Q84" s="508"/>
      <c r="R84" s="508"/>
      <c r="S84" s="508"/>
      <c r="T84" s="508"/>
      <c r="U84" s="508"/>
      <c r="V84" s="508"/>
      <c r="W84" s="508"/>
      <c r="X84" s="508"/>
      <c r="Y84" s="508"/>
      <c r="Z84" s="508"/>
      <c r="AA84" s="508"/>
      <c r="AB84" s="508"/>
      <c r="AC84" s="508"/>
      <c r="AD84" s="508"/>
      <c r="AE84" s="508"/>
      <c r="AF84" s="508"/>
      <c r="AG84" s="508"/>
      <c r="AH84" s="508"/>
      <c r="AI84" s="508"/>
      <c r="AJ84" s="508"/>
    </row>
    <row r="85" spans="16:36" ht="16">
      <c r="P85" s="508"/>
      <c r="Q85" s="508"/>
      <c r="R85" s="508"/>
      <c r="S85" s="508"/>
      <c r="T85" s="508"/>
      <c r="U85" s="508"/>
      <c r="V85" s="508"/>
      <c r="W85" s="508"/>
      <c r="X85" s="508"/>
      <c r="Y85" s="508"/>
      <c r="Z85" s="508"/>
      <c r="AA85" s="508"/>
      <c r="AB85" s="508"/>
      <c r="AC85" s="508"/>
      <c r="AD85" s="508"/>
      <c r="AE85" s="508"/>
      <c r="AF85" s="508"/>
      <c r="AG85" s="508"/>
      <c r="AH85" s="508"/>
      <c r="AI85" s="508"/>
      <c r="AJ85" s="508"/>
    </row>
    <row r="86" spans="16:36" ht="16">
      <c r="P86" s="508"/>
      <c r="Q86" s="508"/>
      <c r="R86" s="508"/>
      <c r="S86" s="508"/>
      <c r="T86" s="508"/>
      <c r="U86" s="508"/>
      <c r="V86" s="508"/>
      <c r="W86" s="508"/>
      <c r="X86" s="508"/>
      <c r="Y86" s="508"/>
      <c r="Z86" s="508"/>
      <c r="AA86" s="508"/>
      <c r="AB86" s="508"/>
      <c r="AC86" s="508"/>
      <c r="AD86" s="508"/>
      <c r="AE86" s="508"/>
      <c r="AF86" s="508"/>
      <c r="AG86" s="508"/>
      <c r="AH86" s="508"/>
      <c r="AI86" s="508"/>
      <c r="AJ86" s="508"/>
    </row>
    <row r="87" spans="16:36" ht="16">
      <c r="P87" s="508"/>
      <c r="Q87" s="508"/>
      <c r="R87" s="508"/>
      <c r="S87" s="508"/>
      <c r="T87" s="508"/>
      <c r="U87" s="508"/>
      <c r="V87" s="508"/>
      <c r="W87" s="508"/>
      <c r="X87" s="508"/>
      <c r="Y87" s="508"/>
      <c r="Z87" s="508"/>
      <c r="AA87" s="508"/>
      <c r="AB87" s="508"/>
      <c r="AC87" s="508"/>
      <c r="AD87" s="508"/>
      <c r="AE87" s="508"/>
      <c r="AF87" s="508"/>
      <c r="AG87" s="508"/>
      <c r="AH87" s="508"/>
      <c r="AI87" s="508"/>
      <c r="AJ87" s="508"/>
    </row>
    <row r="88" spans="16:36" ht="16">
      <c r="P88" s="508"/>
      <c r="Q88" s="508"/>
      <c r="R88" s="508"/>
      <c r="S88" s="508"/>
      <c r="T88" s="508"/>
      <c r="U88" s="508"/>
      <c r="V88" s="508"/>
      <c r="W88" s="508"/>
      <c r="X88" s="508"/>
      <c r="Y88" s="508"/>
      <c r="Z88" s="508"/>
      <c r="AA88" s="508"/>
      <c r="AB88" s="508"/>
      <c r="AC88" s="508"/>
      <c r="AD88" s="508"/>
      <c r="AE88" s="508"/>
      <c r="AF88" s="508"/>
      <c r="AG88" s="508"/>
      <c r="AH88" s="508"/>
      <c r="AI88" s="508"/>
      <c r="AJ88" s="508"/>
    </row>
    <row r="89" spans="16:36" ht="16">
      <c r="P89" s="508"/>
      <c r="Q89" s="508"/>
      <c r="R89" s="508"/>
      <c r="S89" s="508"/>
      <c r="T89" s="508"/>
      <c r="U89" s="508"/>
      <c r="V89" s="508"/>
      <c r="W89" s="508"/>
      <c r="X89" s="508"/>
      <c r="Y89" s="508"/>
      <c r="Z89" s="508"/>
      <c r="AA89" s="508"/>
      <c r="AB89" s="508"/>
      <c r="AC89" s="508"/>
      <c r="AD89" s="508"/>
      <c r="AE89" s="508"/>
      <c r="AF89" s="508"/>
      <c r="AG89" s="508"/>
      <c r="AH89" s="508"/>
      <c r="AI89" s="508"/>
      <c r="AJ89" s="508"/>
    </row>
    <row r="90" spans="16:36" ht="16">
      <c r="P90" s="513" t="s">
        <v>409</v>
      </c>
      <c r="Q90" s="520" t="s">
        <v>217</v>
      </c>
      <c r="R90" s="521"/>
      <c r="S90" s="508"/>
      <c r="T90" s="520" t="s">
        <v>218</v>
      </c>
      <c r="U90" s="521"/>
      <c r="V90" s="508"/>
      <c r="W90" s="520" t="s">
        <v>410</v>
      </c>
      <c r="X90" s="521"/>
      <c r="Y90" s="508"/>
      <c r="Z90" s="520" t="s">
        <v>411</v>
      </c>
      <c r="AA90" s="520"/>
      <c r="AB90" s="508"/>
      <c r="AC90" s="508"/>
      <c r="AD90" s="508"/>
      <c r="AE90" s="508"/>
      <c r="AF90" s="508"/>
      <c r="AG90" s="508"/>
      <c r="AH90" s="508"/>
      <c r="AI90" s="508"/>
      <c r="AJ90" s="508"/>
    </row>
    <row r="91" spans="16:36" ht="16">
      <c r="P91" s="508"/>
      <c r="Q91" s="522" t="str">
        <f>PubComps_Data!C73</f>
        <v>2025-12-31 Revenue:</v>
      </c>
      <c r="R91" s="522" t="str">
        <f>PubComps_Data!C77</f>
        <v>2026-12-31 Revenue:</v>
      </c>
      <c r="S91" s="508"/>
      <c r="T91" s="523" t="str">
        <f>PubComps_Data!C74</f>
        <v>2025-12-31 EBITDA:</v>
      </c>
      <c r="U91" s="523" t="str">
        <f>PubComps_Data!C78</f>
        <v>2026-12-31 EBITDA:</v>
      </c>
      <c r="V91" s="508"/>
      <c r="W91" s="523" t="str">
        <f>PubComps_Data!C96</f>
        <v>2025-12-31 EV / Revenue:</v>
      </c>
      <c r="X91" s="523" t="str">
        <f>PubComps_Data!C100</f>
        <v>2026-12-31 EV / Revenue:</v>
      </c>
      <c r="Y91" s="508"/>
      <c r="Z91" s="523" t="str">
        <f>PubComps_Data!C97</f>
        <v>2025-12-31 EV / EBITDA:</v>
      </c>
      <c r="AA91" s="523" t="str">
        <f>PubComps_Data!C101</f>
        <v>2026-12-31 EV / EBITDA:</v>
      </c>
      <c r="AB91" s="508"/>
      <c r="AC91" s="508"/>
      <c r="AD91" s="508"/>
      <c r="AE91" s="508"/>
      <c r="AF91" s="508"/>
      <c r="AG91" s="508"/>
      <c r="AH91" s="508"/>
      <c r="AI91" s="508"/>
      <c r="AJ91" s="508"/>
    </row>
    <row r="92" spans="16:36" ht="16">
      <c r="P92" s="269" t="s">
        <v>279</v>
      </c>
      <c r="Q92" s="524">
        <f t="shared" ref="Q92:R98" si="1">INDEX(Pub_Comps_Range,MATCH(Q$91,Pub_Comps_Params,0),MATCH($P92,Pub_Comps_Tickers,0))</f>
        <v>20530</v>
      </c>
      <c r="R92" s="524">
        <f t="shared" si="1"/>
        <v>21435</v>
      </c>
      <c r="S92" s="508"/>
      <c r="T92" s="524">
        <f t="shared" ref="T92:U98" si="2">INDEX(Pub_Comps_Range,MATCH(T$91,Pub_Comps_Params,0),MATCH($P92,Pub_Comps_Tickers,0))</f>
        <v>3653</v>
      </c>
      <c r="U92" s="524">
        <f t="shared" si="2"/>
        <v>3921</v>
      </c>
      <c r="V92" s="525"/>
      <c r="W92" s="117">
        <f t="shared" ref="W92:X98" si="3">INDEX(Pub_Comps_Range,MATCH(W$91,Pub_Comps_Params,0),MATCH($P92,Pub_Comps_Tickers,0))</f>
        <v>2.2354130540672186</v>
      </c>
      <c r="X92" s="117">
        <f t="shared" si="3"/>
        <v>2.1410324236062515</v>
      </c>
      <c r="Y92" s="508"/>
      <c r="Z92" s="537">
        <f t="shared" ref="Z92:AA98" si="4">INDEX(Pub_Comps_Range,MATCH(Z$91,Pub_Comps_Params,0),MATCH($P92,Pub_Comps_Tickers,0))</f>
        <v>12.563107035313442</v>
      </c>
      <c r="AA92" s="537">
        <f t="shared" si="4"/>
        <v>11.704419790869675</v>
      </c>
      <c r="AB92" s="508"/>
      <c r="AC92" s="508"/>
      <c r="AD92" s="508"/>
      <c r="AE92" s="508"/>
      <c r="AF92" s="508"/>
      <c r="AG92" s="508"/>
      <c r="AH92" s="508"/>
      <c r="AI92" s="508"/>
      <c r="AJ92" s="508"/>
    </row>
    <row r="93" spans="16:36" ht="16">
      <c r="P93" s="447" t="s">
        <v>281</v>
      </c>
      <c r="Q93" s="524">
        <f t="shared" si="1"/>
        <v>1521</v>
      </c>
      <c r="R93" s="524">
        <f t="shared" si="1"/>
        <v>1639</v>
      </c>
      <c r="S93" s="508"/>
      <c r="T93" s="524">
        <f t="shared" si="2"/>
        <v>497</v>
      </c>
      <c r="U93" s="524">
        <f t="shared" si="2"/>
        <v>544</v>
      </c>
      <c r="V93" s="525"/>
      <c r="W93" s="117">
        <f t="shared" si="3"/>
        <v>5.4004996712689017</v>
      </c>
      <c r="X93" s="117">
        <f t="shared" si="3"/>
        <v>5.0116900549115311</v>
      </c>
      <c r="Y93" s="508"/>
      <c r="Z93" s="537">
        <f t="shared" si="4"/>
        <v>16.527484909456739</v>
      </c>
      <c r="AA93" s="537">
        <f t="shared" si="4"/>
        <v>15.099558823529412</v>
      </c>
      <c r="AB93" s="508"/>
      <c r="AC93" s="508"/>
      <c r="AD93" s="508"/>
      <c r="AE93" s="508"/>
      <c r="AF93" s="508"/>
      <c r="AG93" s="508"/>
      <c r="AH93" s="508"/>
      <c r="AI93" s="508"/>
      <c r="AJ93" s="508"/>
    </row>
    <row r="94" spans="16:36" ht="16">
      <c r="P94" s="183" t="s">
        <v>283</v>
      </c>
      <c r="Q94" s="524">
        <f t="shared" si="1"/>
        <v>368</v>
      </c>
      <c r="R94" s="524">
        <f t="shared" si="1"/>
        <v>383</v>
      </c>
      <c r="S94" s="508"/>
      <c r="T94" s="524">
        <f t="shared" si="2"/>
        <v>94</v>
      </c>
      <c r="U94" s="524">
        <f t="shared" si="2"/>
        <v>101</v>
      </c>
      <c r="V94" s="525"/>
      <c r="W94" s="117">
        <f t="shared" si="3"/>
        <v>1.1954076086956522</v>
      </c>
      <c r="X94" s="117">
        <f t="shared" si="3"/>
        <v>1.1485900783289817</v>
      </c>
      <c r="Y94" s="508"/>
      <c r="Z94" s="537">
        <f t="shared" si="4"/>
        <v>4.6798936170212766</v>
      </c>
      <c r="AA94" s="537">
        <f t="shared" si="4"/>
        <v>4.3555445544554461</v>
      </c>
      <c r="AB94" s="508"/>
      <c r="AC94" s="508"/>
      <c r="AD94" s="508"/>
      <c r="AE94" s="508"/>
      <c r="AF94" s="508"/>
      <c r="AG94" s="508"/>
      <c r="AH94" s="508"/>
      <c r="AI94" s="508"/>
      <c r="AJ94" s="508"/>
    </row>
    <row r="95" spans="16:36" ht="16">
      <c r="P95" s="244" t="s">
        <v>309</v>
      </c>
      <c r="Q95" s="524">
        <f t="shared" si="1"/>
        <v>1637</v>
      </c>
      <c r="R95" s="524">
        <f t="shared" si="1"/>
        <v>1681</v>
      </c>
      <c r="S95" s="508"/>
      <c r="T95" s="524">
        <f t="shared" si="2"/>
        <v>314</v>
      </c>
      <c r="U95" s="524">
        <f t="shared" si="2"/>
        <v>333</v>
      </c>
      <c r="V95" s="525"/>
      <c r="W95" s="117">
        <f t="shared" si="3"/>
        <v>1.6958809462431279</v>
      </c>
      <c r="X95" s="117">
        <f t="shared" si="3"/>
        <v>1.6514914390243904</v>
      </c>
      <c r="Y95" s="508"/>
      <c r="Z95" s="537">
        <f t="shared" si="4"/>
        <v>8.8412646783439506</v>
      </c>
      <c r="AA95" s="537">
        <f t="shared" si="4"/>
        <v>8.3368081351351364</v>
      </c>
      <c r="AB95" s="508"/>
      <c r="AC95" s="508"/>
      <c r="AD95" s="508"/>
      <c r="AE95" s="508"/>
      <c r="AF95" s="508"/>
      <c r="AG95" s="508"/>
      <c r="AH95" s="508"/>
      <c r="AI95" s="508"/>
      <c r="AJ95" s="508"/>
    </row>
    <row r="96" spans="16:36" ht="16">
      <c r="P96" s="448" t="s">
        <v>311</v>
      </c>
      <c r="Q96" s="524">
        <f t="shared" si="1"/>
        <v>77</v>
      </c>
      <c r="R96" s="524">
        <f t="shared" si="1"/>
        <v>99</v>
      </c>
      <c r="S96" s="508"/>
      <c r="T96" s="524">
        <f t="shared" si="2"/>
        <v>-129</v>
      </c>
      <c r="U96" s="524">
        <f t="shared" si="2"/>
        <v>-130</v>
      </c>
      <c r="V96" s="525"/>
      <c r="W96" s="117">
        <f t="shared" si="3"/>
        <v>9.7895338311688302</v>
      </c>
      <c r="X96" s="117">
        <f t="shared" si="3"/>
        <v>7.6140818686868679</v>
      </c>
      <c r="Y96" s="508"/>
      <c r="Z96" s="537" t="str">
        <f t="shared" si="4"/>
        <v>NM</v>
      </c>
      <c r="AA96" s="537" t="str">
        <f t="shared" si="4"/>
        <v>NM</v>
      </c>
      <c r="AB96" s="508"/>
      <c r="AC96" s="508"/>
      <c r="AD96" s="508"/>
      <c r="AE96" s="508"/>
      <c r="AF96" s="508"/>
      <c r="AG96" s="508"/>
      <c r="AH96" s="508"/>
      <c r="AI96" s="508"/>
      <c r="AJ96" s="508"/>
    </row>
    <row r="97" spans="16:36" ht="16">
      <c r="P97" s="449" t="s">
        <v>313</v>
      </c>
      <c r="Q97" s="524">
        <f t="shared" si="1"/>
        <v>369</v>
      </c>
      <c r="R97" s="524">
        <f t="shared" si="1"/>
        <v>414</v>
      </c>
      <c r="S97" s="508"/>
      <c r="T97" s="524">
        <f t="shared" si="2"/>
        <v>30</v>
      </c>
      <c r="U97" s="524">
        <f t="shared" si="2"/>
        <v>46</v>
      </c>
      <c r="V97" s="525"/>
      <c r="W97" s="117">
        <f t="shared" si="3"/>
        <v>2.0428024525745254</v>
      </c>
      <c r="X97" s="117">
        <f t="shared" si="3"/>
        <v>1.8207587077294685</v>
      </c>
      <c r="Y97" s="508"/>
      <c r="Z97" s="537">
        <f t="shared" si="4"/>
        <v>25.126470166666664</v>
      </c>
      <c r="AA97" s="537">
        <f t="shared" si="4"/>
        <v>16.386828369565215</v>
      </c>
      <c r="AB97" s="508"/>
      <c r="AC97" s="508"/>
      <c r="AD97" s="508"/>
      <c r="AE97" s="508"/>
      <c r="AF97" s="508"/>
      <c r="AG97" s="508"/>
      <c r="AH97" s="508"/>
      <c r="AI97" s="508"/>
      <c r="AJ97" s="508"/>
    </row>
    <row r="98" spans="16:36" ht="16">
      <c r="P98" s="449" t="s">
        <v>94</v>
      </c>
      <c r="Q98" s="524">
        <f t="shared" si="1"/>
        <v>63.442999999999998</v>
      </c>
      <c r="R98" s="524">
        <f t="shared" si="1"/>
        <v>56.95</v>
      </c>
      <c r="S98" s="508"/>
      <c r="T98" s="524">
        <f t="shared" si="2"/>
        <v>-46.163567797883672</v>
      </c>
      <c r="U98" s="524">
        <f t="shared" si="2"/>
        <v>-3.7799891246833668</v>
      </c>
      <c r="V98" s="525"/>
      <c r="W98" s="117">
        <f t="shared" si="3"/>
        <v>9.5966092397900482</v>
      </c>
      <c r="X98" s="117">
        <f t="shared" si="3"/>
        <v>10.690740649692712</v>
      </c>
      <c r="Y98" s="508"/>
      <c r="Z98" s="537" t="str">
        <f t="shared" si="4"/>
        <v>NM</v>
      </c>
      <c r="AA98" s="537" t="str">
        <f t="shared" si="4"/>
        <v>NM</v>
      </c>
      <c r="AB98" s="508"/>
      <c r="AC98" s="508"/>
      <c r="AD98" s="508"/>
      <c r="AE98" s="508"/>
      <c r="AF98" s="508"/>
      <c r="AG98" s="508"/>
      <c r="AH98" s="508"/>
      <c r="AI98" s="508"/>
      <c r="AJ98" s="508"/>
    </row>
    <row r="99" spans="16:36" ht="16">
      <c r="P99" s="449"/>
      <c r="Q99" s="508"/>
      <c r="R99" s="508"/>
      <c r="S99" s="508"/>
      <c r="T99" s="508"/>
      <c r="U99" s="508"/>
      <c r="V99" s="508"/>
      <c r="W99" s="508"/>
      <c r="X99" s="508"/>
      <c r="Y99" s="508"/>
      <c r="Z99" s="508"/>
      <c r="AA99" s="508"/>
      <c r="AB99" s="508"/>
      <c r="AC99" s="508"/>
      <c r="AD99" s="508"/>
      <c r="AE99" s="508"/>
      <c r="AF99" s="508"/>
      <c r="AG99" s="508"/>
      <c r="AH99" s="508"/>
      <c r="AI99" s="508"/>
      <c r="AJ99" s="508"/>
    </row>
    <row r="100" spans="16:36" ht="16">
      <c r="P100" s="513" t="s">
        <v>412</v>
      </c>
      <c r="AB100" s="508"/>
      <c r="AC100" s="508"/>
      <c r="AD100" s="508"/>
      <c r="AE100" s="508"/>
      <c r="AF100" s="508"/>
      <c r="AG100" s="508"/>
      <c r="AH100" s="508"/>
      <c r="AI100" s="508"/>
      <c r="AJ100" s="508"/>
    </row>
    <row r="101" spans="16:36" ht="16">
      <c r="P101" s="508"/>
      <c r="Q101" s="520" t="s">
        <v>413</v>
      </c>
      <c r="R101" s="521"/>
      <c r="S101" s="508"/>
      <c r="T101" s="520" t="s">
        <v>414</v>
      </c>
      <c r="U101" s="520"/>
      <c r="V101" s="508"/>
      <c r="W101" s="520" t="s">
        <v>415</v>
      </c>
      <c r="X101" s="521"/>
      <c r="Y101" s="508"/>
      <c r="Z101" s="520" t="s">
        <v>416</v>
      </c>
      <c r="AA101" s="520"/>
      <c r="AB101" s="508"/>
      <c r="AC101" s="508"/>
      <c r="AD101" s="508"/>
      <c r="AE101" s="508"/>
      <c r="AF101" s="508"/>
      <c r="AG101" s="508"/>
      <c r="AH101" s="508"/>
      <c r="AI101" s="508"/>
      <c r="AJ101" s="508"/>
    </row>
    <row r="102" spans="16:36" ht="16">
      <c r="P102" s="508"/>
      <c r="Q102" s="526" t="str">
        <f>PubComps_Data!C85</f>
        <v>Year 1 Projected Revenue Growth:</v>
      </c>
      <c r="R102" s="527" t="s">
        <v>417</v>
      </c>
      <c r="S102" s="508"/>
      <c r="T102" s="526" t="str">
        <f>PubComps_Data!C86</f>
        <v>Year 1 Projected EBITDA Growth:</v>
      </c>
      <c r="U102" s="527" t="s">
        <v>417</v>
      </c>
      <c r="V102" s="508"/>
      <c r="W102" s="523" t="str">
        <f>PubComps_Data!C102</f>
        <v>2026-12-31 P / E:</v>
      </c>
      <c r="X102" s="527" t="s">
        <v>417</v>
      </c>
      <c r="Y102" s="508"/>
      <c r="Z102" s="523" t="str">
        <f>PubComps_Data!C101</f>
        <v>2026-12-31 EV / EBITDA:</v>
      </c>
      <c r="AA102" s="527" t="s">
        <v>417</v>
      </c>
      <c r="AB102" s="508"/>
      <c r="AC102" s="508"/>
      <c r="AD102" s="508"/>
      <c r="AE102" s="508"/>
      <c r="AF102" s="508"/>
      <c r="AG102" s="508"/>
      <c r="AH102" s="508"/>
      <c r="AI102" s="508"/>
      <c r="AJ102" s="508"/>
    </row>
    <row r="103" spans="16:36" ht="16">
      <c r="P103" s="269" t="s">
        <v>279</v>
      </c>
      <c r="Q103" s="528">
        <f t="shared" ref="Q103:Q109" si="5">INDEX(Pub_Comps_Range,MATCH(Q$102,Pub_Comps_Params,0),MATCH($P103,Pub_Comps_Tickers,0))</f>
        <v>4.4081831466147081E-2</v>
      </c>
      <c r="R103" s="529" t="e">
        <f t="shared" ref="R103:R108" si="6">IF($P103=Ticker,Q103,NA())</f>
        <v>#N/A</v>
      </c>
      <c r="S103" s="508"/>
      <c r="T103" s="528">
        <f t="shared" ref="T103:T109" si="7">INDEX(Pub_Comps_Range,MATCH(T$102,Pub_Comps_Params,0),MATCH($P103,Pub_Comps_Tickers,0))</f>
        <v>7.336435806186703E-2</v>
      </c>
      <c r="U103" s="529" t="e">
        <f t="shared" ref="U103:U108" si="8">IF($P103=Ticker,T103,NA())</f>
        <v>#N/A</v>
      </c>
      <c r="V103" s="508"/>
      <c r="W103" s="117">
        <f t="shared" ref="W103:W109" si="9">INDEX(Pub_Comps_Range,MATCH(W$102,Pub_Comps_Params,0),MATCH($P103,Pub_Comps_Tickers,0))</f>
        <v>18.13089427107592</v>
      </c>
      <c r="X103" s="529" t="e">
        <f t="shared" ref="X103:X108" si="10">IF($P103=Ticker,W103,NA())</f>
        <v>#N/A</v>
      </c>
      <c r="Y103" s="508"/>
      <c r="Z103" s="117">
        <f t="shared" ref="Z103:Z109" si="11">INDEX(Pub_Comps_Range,MATCH(Z$102,Pub_Comps_Params,0),MATCH($P103,Pub_Comps_Tickers,0))</f>
        <v>11.704419790869675</v>
      </c>
      <c r="AA103" s="529" t="e">
        <f t="shared" ref="AA103:AA108" si="12">IF($P103=Ticker,Z103,NA())</f>
        <v>#N/A</v>
      </c>
      <c r="AB103" s="508"/>
      <c r="AC103" s="508"/>
      <c r="AD103" s="508"/>
      <c r="AE103" s="508"/>
      <c r="AF103" s="508"/>
      <c r="AG103" s="508"/>
      <c r="AH103" s="508"/>
      <c r="AI103" s="508"/>
      <c r="AJ103" s="508"/>
    </row>
    <row r="104" spans="16:36" ht="16">
      <c r="P104" s="447" t="s">
        <v>281</v>
      </c>
      <c r="Q104" s="528">
        <f t="shared" si="5"/>
        <v>7.7580539119000758E-2</v>
      </c>
      <c r="R104" s="529" t="e">
        <f t="shared" si="6"/>
        <v>#N/A</v>
      </c>
      <c r="S104" s="508"/>
      <c r="T104" s="528">
        <f t="shared" si="7"/>
        <v>9.456740442655942E-2</v>
      </c>
      <c r="U104" s="529" t="e">
        <f t="shared" si="8"/>
        <v>#N/A</v>
      </c>
      <c r="V104" s="508"/>
      <c r="W104" s="117">
        <f t="shared" si="9"/>
        <v>29.137962264150946</v>
      </c>
      <c r="X104" s="529" t="e">
        <f t="shared" si="10"/>
        <v>#N/A</v>
      </c>
      <c r="Y104" s="508"/>
      <c r="Z104" s="117">
        <f t="shared" si="11"/>
        <v>15.099558823529412</v>
      </c>
      <c r="AA104" s="529" t="e">
        <f t="shared" si="12"/>
        <v>#N/A</v>
      </c>
      <c r="AB104" s="508"/>
      <c r="AC104" s="508"/>
      <c r="AD104" s="508"/>
      <c r="AE104" s="508"/>
      <c r="AF104" s="508"/>
      <c r="AG104" s="508"/>
      <c r="AH104" s="508"/>
      <c r="AI104" s="508"/>
      <c r="AJ104" s="508"/>
    </row>
    <row r="105" spans="16:36" ht="16">
      <c r="P105" s="183" t="s">
        <v>283</v>
      </c>
      <c r="Q105" s="528">
        <f t="shared" si="5"/>
        <v>4.0760869565217295E-2</v>
      </c>
      <c r="R105" s="529" t="e">
        <f t="shared" si="6"/>
        <v>#N/A</v>
      </c>
      <c r="S105" s="508"/>
      <c r="T105" s="528">
        <f t="shared" si="7"/>
        <v>7.4468085106383031E-2</v>
      </c>
      <c r="U105" s="529" t="e">
        <f t="shared" si="8"/>
        <v>#N/A</v>
      </c>
      <c r="V105" s="508"/>
      <c r="W105" s="117">
        <f t="shared" si="9"/>
        <v>9.0818269230769229</v>
      </c>
      <c r="X105" s="529" t="e">
        <f t="shared" si="10"/>
        <v>#N/A</v>
      </c>
      <c r="Y105" s="508"/>
      <c r="Z105" s="117">
        <f t="shared" si="11"/>
        <v>4.3555445544554461</v>
      </c>
      <c r="AA105" s="529" t="e">
        <f t="shared" si="12"/>
        <v>#N/A</v>
      </c>
      <c r="AB105" s="508"/>
      <c r="AC105" s="508"/>
      <c r="AD105" s="508"/>
      <c r="AE105" s="508"/>
      <c r="AF105" s="508"/>
      <c r="AG105" s="508"/>
      <c r="AH105" s="508"/>
      <c r="AI105" s="508"/>
      <c r="AJ105" s="508"/>
    </row>
    <row r="106" spans="16:36" ht="16">
      <c r="P106" s="244" t="s">
        <v>309</v>
      </c>
      <c r="Q106" s="528">
        <f t="shared" si="5"/>
        <v>2.6878436163714214E-2</v>
      </c>
      <c r="R106" s="529" t="e">
        <f t="shared" si="6"/>
        <v>#N/A</v>
      </c>
      <c r="S106" s="508"/>
      <c r="T106" s="528">
        <f t="shared" si="7"/>
        <v>6.0509554140127486E-2</v>
      </c>
      <c r="U106" s="529" t="e">
        <f t="shared" si="8"/>
        <v>#N/A</v>
      </c>
      <c r="V106" s="508"/>
      <c r="W106" s="117">
        <f t="shared" si="9"/>
        <v>5.7257298839779009</v>
      </c>
      <c r="X106" s="529" t="e">
        <f t="shared" si="10"/>
        <v>#N/A</v>
      </c>
      <c r="Y106" s="508"/>
      <c r="Z106" s="117">
        <f t="shared" si="11"/>
        <v>8.3368081351351364</v>
      </c>
      <c r="AA106" s="529" t="e">
        <f t="shared" si="12"/>
        <v>#N/A</v>
      </c>
      <c r="AB106" s="508"/>
      <c r="AC106" s="508"/>
      <c r="AD106" s="508"/>
      <c r="AE106" s="508"/>
      <c r="AF106" s="508"/>
      <c r="AG106" s="508"/>
      <c r="AH106" s="508"/>
      <c r="AI106" s="508"/>
      <c r="AJ106" s="508"/>
    </row>
    <row r="107" spans="16:36" ht="16">
      <c r="P107" s="448" t="s">
        <v>311</v>
      </c>
      <c r="Q107" s="528">
        <f t="shared" si="5"/>
        <v>0.28571428571428581</v>
      </c>
      <c r="R107" s="529" t="e">
        <f t="shared" si="6"/>
        <v>#N/A</v>
      </c>
      <c r="S107" s="508"/>
      <c r="T107" s="528">
        <f t="shared" si="7"/>
        <v>7.7519379844961378E-3</v>
      </c>
      <c r="U107" s="529" t="e">
        <f t="shared" si="8"/>
        <v>#N/A</v>
      </c>
      <c r="V107" s="508"/>
      <c r="W107" s="117" t="str">
        <f t="shared" si="9"/>
        <v>NM</v>
      </c>
      <c r="X107" s="529" t="e">
        <f t="shared" si="10"/>
        <v>#N/A</v>
      </c>
      <c r="Y107" s="508"/>
      <c r="Z107" s="117" t="str">
        <f t="shared" si="11"/>
        <v>NM</v>
      </c>
      <c r="AA107" s="529" t="e">
        <f t="shared" si="12"/>
        <v>#N/A</v>
      </c>
      <c r="AB107" s="508"/>
      <c r="AC107" s="508"/>
      <c r="AD107" s="508"/>
      <c r="AE107" s="508"/>
      <c r="AF107" s="508"/>
      <c r="AG107" s="508"/>
      <c r="AH107" s="508"/>
      <c r="AI107" s="508"/>
      <c r="AJ107" s="508"/>
    </row>
    <row r="108" spans="16:36" ht="16">
      <c r="P108" s="449" t="s">
        <v>313</v>
      </c>
      <c r="Q108" s="528">
        <f t="shared" si="5"/>
        <v>0.12195121951219523</v>
      </c>
      <c r="R108" s="530" t="e">
        <f t="shared" si="6"/>
        <v>#N/A</v>
      </c>
      <c r="S108" s="508"/>
      <c r="T108" s="528">
        <f t="shared" si="7"/>
        <v>0.53333333333333344</v>
      </c>
      <c r="U108" s="530" t="e">
        <f t="shared" si="8"/>
        <v>#N/A</v>
      </c>
      <c r="V108" s="508"/>
      <c r="W108" s="117" t="str">
        <f t="shared" si="9"/>
        <v>NM</v>
      </c>
      <c r="X108" s="117" t="e">
        <f t="shared" si="10"/>
        <v>#N/A</v>
      </c>
      <c r="Y108" s="508"/>
      <c r="Z108" s="117">
        <f t="shared" si="11"/>
        <v>16.386828369565215</v>
      </c>
      <c r="AA108" s="117" t="e">
        <f t="shared" si="12"/>
        <v>#N/A</v>
      </c>
      <c r="AB108" s="508"/>
      <c r="AC108" s="508"/>
      <c r="AD108" s="508"/>
      <c r="AE108" s="508"/>
      <c r="AF108" s="508"/>
      <c r="AG108" s="508"/>
      <c r="AH108" s="508"/>
      <c r="AI108" s="508"/>
      <c r="AJ108" s="508"/>
    </row>
    <row r="109" spans="16:36" ht="16">
      <c r="P109" s="449" t="s">
        <v>94</v>
      </c>
      <c r="Q109" s="528">
        <f t="shared" si="5"/>
        <v>-0.102343836199423</v>
      </c>
      <c r="R109" s="530">
        <f t="shared" ref="R109" si="13">IF($P109=Ticker,Q109,NA())</f>
        <v>-0.102343836199423</v>
      </c>
      <c r="S109" s="508"/>
      <c r="T109" s="528">
        <f t="shared" si="7"/>
        <v>-0.91811748300666096</v>
      </c>
      <c r="U109" s="530">
        <f t="shared" ref="U109" si="14">IF($P109=Ticker,T109,NA())</f>
        <v>-0.91811748300666096</v>
      </c>
      <c r="V109" s="508"/>
      <c r="W109" s="117" t="str">
        <f t="shared" si="9"/>
        <v>NM</v>
      </c>
      <c r="X109" s="117" t="str">
        <f t="shared" ref="X109" si="15">IF($P109=Ticker,W109,NA())</f>
        <v>NM</v>
      </c>
      <c r="Y109" s="508"/>
      <c r="Z109" s="117" t="str">
        <f t="shared" si="11"/>
        <v>NM</v>
      </c>
      <c r="AA109" s="117" t="str">
        <f t="shared" ref="AA109" si="16">IF($P109=Ticker,Z109,NA())</f>
        <v>NM</v>
      </c>
      <c r="AB109" s="508"/>
      <c r="AC109" s="508"/>
      <c r="AD109" s="508"/>
      <c r="AE109" s="508"/>
      <c r="AF109" s="508"/>
      <c r="AG109" s="508"/>
      <c r="AH109" s="508"/>
      <c r="AI109" s="508"/>
      <c r="AJ109" s="508"/>
    </row>
    <row r="110" spans="16:36" ht="16">
      <c r="P110" s="508"/>
      <c r="Q110" s="508"/>
      <c r="R110" s="508"/>
      <c r="S110" s="508"/>
      <c r="T110" s="508"/>
      <c r="U110" s="508"/>
      <c r="V110" s="508"/>
      <c r="W110" s="508"/>
      <c r="X110" s="508"/>
      <c r="Y110" s="508"/>
      <c r="Z110" s="508"/>
      <c r="AA110" s="508"/>
      <c r="AB110" s="508"/>
      <c r="AC110" s="508"/>
      <c r="AD110" s="508"/>
      <c r="AE110" s="508"/>
      <c r="AF110" s="508"/>
      <c r="AG110" s="508"/>
      <c r="AH110" s="508"/>
      <c r="AI110" s="508"/>
      <c r="AJ110" s="508"/>
    </row>
    <row r="111" spans="16:36" ht="16">
      <c r="P111" s="508" t="str">
        <f>Company_Name&amp;"Price - Volume Chart"</f>
        <v>Butterfly Network, inc.Price - Volume Chart</v>
      </c>
      <c r="Q111" s="508"/>
      <c r="R111" s="508"/>
      <c r="S111" s="508"/>
      <c r="T111" s="508"/>
      <c r="U111" s="508"/>
      <c r="V111" s="508"/>
      <c r="W111" s="508"/>
      <c r="X111" s="508"/>
      <c r="Y111" s="508"/>
      <c r="Z111" s="508"/>
      <c r="AA111" s="508"/>
      <c r="AB111" s="508"/>
      <c r="AC111" s="508"/>
      <c r="AD111" s="508"/>
      <c r="AE111" s="508"/>
      <c r="AF111" s="508"/>
      <c r="AG111" s="508"/>
      <c r="AH111" s="508"/>
      <c r="AI111" s="508"/>
      <c r="AJ111" s="508"/>
    </row>
    <row r="112" spans="16:36" ht="16">
      <c r="P112" s="508"/>
      <c r="Q112" s="508"/>
      <c r="R112" s="508"/>
      <c r="S112" s="508"/>
      <c r="T112" s="508"/>
      <c r="U112" s="508"/>
      <c r="V112" s="508"/>
      <c r="W112" s="508"/>
      <c r="X112" s="508"/>
      <c r="Y112" s="508"/>
      <c r="Z112" s="508"/>
      <c r="AA112" s="508"/>
      <c r="AB112" s="508"/>
      <c r="AC112" s="508"/>
      <c r="AD112" s="508"/>
      <c r="AE112" s="508"/>
      <c r="AF112" s="508"/>
      <c r="AG112" s="508"/>
      <c r="AH112" s="508"/>
      <c r="AI112" s="508"/>
      <c r="AJ112" s="508"/>
    </row>
    <row r="113" spans="16:32" ht="16">
      <c r="P113" s="538" t="s">
        <v>298</v>
      </c>
      <c r="Q113" s="539" t="s">
        <v>419</v>
      </c>
      <c r="R113" s="539" t="s">
        <v>418</v>
      </c>
      <c r="S113" s="508"/>
      <c r="T113" s="508"/>
      <c r="U113" s="508"/>
      <c r="V113" s="508"/>
      <c r="W113" s="508"/>
      <c r="X113" s="508"/>
      <c r="Y113" s="508"/>
      <c r="Z113" s="508"/>
      <c r="AA113" s="508"/>
      <c r="AB113" s="508"/>
      <c r="AC113" s="508"/>
      <c r="AD113" s="508"/>
      <c r="AE113" s="508"/>
      <c r="AF113" s="508"/>
    </row>
    <row r="114" spans="16:32" ht="16">
      <c r="P114" s="540">
        <v>45966</v>
      </c>
      <c r="Q114" s="539">
        <v>2.5099999999999998</v>
      </c>
      <c r="R114" s="541">
        <v>5962215</v>
      </c>
      <c r="S114" s="534"/>
      <c r="T114" s="535"/>
      <c r="U114" s="508"/>
      <c r="V114" s="508"/>
      <c r="W114" s="508"/>
      <c r="X114" s="508"/>
      <c r="Y114" s="508"/>
      <c r="Z114" s="508"/>
      <c r="AA114" s="508"/>
      <c r="AB114" s="508"/>
      <c r="AC114" s="508"/>
      <c r="AD114" s="508"/>
      <c r="AE114" s="508"/>
      <c r="AF114" s="508"/>
    </row>
    <row r="115" spans="16:32" ht="16">
      <c r="P115" s="540">
        <v>45965</v>
      </c>
      <c r="Q115" s="539">
        <v>2.62</v>
      </c>
      <c r="R115" s="541">
        <v>9139300</v>
      </c>
      <c r="S115" s="536"/>
      <c r="T115" s="535"/>
      <c r="U115" s="508"/>
      <c r="V115" s="508"/>
      <c r="W115" s="508"/>
      <c r="X115" s="508"/>
      <c r="Y115" s="508"/>
      <c r="Z115" s="508"/>
      <c r="AA115" s="508"/>
      <c r="AB115" s="508"/>
      <c r="AC115" s="508"/>
      <c r="AD115" s="508"/>
      <c r="AE115" s="508"/>
      <c r="AF115" s="508"/>
    </row>
    <row r="116" spans="16:32" ht="16">
      <c r="P116" s="540">
        <v>45964</v>
      </c>
      <c r="Q116" s="539">
        <v>2.91</v>
      </c>
      <c r="R116" s="541">
        <v>16518800</v>
      </c>
      <c r="S116" s="536"/>
      <c r="T116" s="535"/>
      <c r="U116" s="508"/>
      <c r="V116" s="508"/>
      <c r="W116" s="508"/>
      <c r="X116" s="508"/>
      <c r="Y116" s="508"/>
      <c r="Z116" s="508"/>
      <c r="AA116" s="508"/>
      <c r="AB116" s="508"/>
      <c r="AC116" s="508"/>
      <c r="AD116" s="508"/>
      <c r="AE116" s="508"/>
      <c r="AF116" s="508"/>
    </row>
    <row r="117" spans="16:32" ht="16">
      <c r="P117" s="540">
        <v>45961</v>
      </c>
      <c r="Q117" s="539">
        <v>2.69</v>
      </c>
      <c r="R117" s="541">
        <v>20976600</v>
      </c>
      <c r="S117" s="536"/>
      <c r="T117" s="535"/>
      <c r="U117" s="508"/>
      <c r="V117" s="508"/>
      <c r="W117" s="508"/>
      <c r="X117" s="508"/>
      <c r="Y117" s="508"/>
      <c r="Z117" s="508"/>
      <c r="AA117" s="508"/>
      <c r="AB117" s="508"/>
      <c r="AC117" s="508"/>
      <c r="AD117" s="508"/>
      <c r="AE117" s="508"/>
      <c r="AF117" s="508"/>
    </row>
    <row r="118" spans="16:32" ht="16">
      <c r="P118" s="540">
        <v>45960</v>
      </c>
      <c r="Q118" s="539">
        <v>2.04</v>
      </c>
      <c r="R118" s="541">
        <v>3732000</v>
      </c>
      <c r="S118" s="536"/>
      <c r="T118" s="535"/>
      <c r="U118" s="508"/>
      <c r="V118" s="508"/>
      <c r="W118" s="508"/>
      <c r="X118" s="508"/>
      <c r="Y118" s="508"/>
      <c r="Z118" s="508"/>
      <c r="AA118" s="508"/>
      <c r="AB118" s="508"/>
      <c r="AC118" s="508"/>
      <c r="AD118" s="508"/>
      <c r="AE118" s="508"/>
      <c r="AF118" s="508"/>
    </row>
    <row r="119" spans="16:32" ht="16">
      <c r="P119" s="540">
        <v>45959</v>
      </c>
      <c r="Q119" s="539">
        <v>2.15</v>
      </c>
      <c r="R119" s="541">
        <v>3463200</v>
      </c>
      <c r="S119" s="536"/>
      <c r="T119" s="535"/>
      <c r="U119" s="508"/>
      <c r="V119" s="508"/>
      <c r="W119" s="508"/>
      <c r="X119" s="508"/>
      <c r="Y119" s="508"/>
      <c r="Z119" s="508"/>
      <c r="AA119" s="508"/>
      <c r="AB119" s="508"/>
      <c r="AC119" s="508"/>
      <c r="AD119" s="508"/>
      <c r="AE119" s="508"/>
      <c r="AF119" s="508"/>
    </row>
    <row r="120" spans="16:32" ht="16">
      <c r="P120" s="540">
        <v>45958</v>
      </c>
      <c r="Q120" s="539">
        <v>2.21</v>
      </c>
      <c r="R120" s="541">
        <v>3234000</v>
      </c>
      <c r="S120" s="536"/>
      <c r="T120" s="535"/>
      <c r="U120" s="508"/>
      <c r="V120" s="508"/>
      <c r="W120" s="508"/>
      <c r="X120" s="508"/>
      <c r="Y120" s="508"/>
      <c r="Z120" s="508"/>
      <c r="AA120" s="508"/>
      <c r="AB120" s="508"/>
      <c r="AC120" s="508"/>
      <c r="AD120" s="508"/>
      <c r="AE120" s="508"/>
      <c r="AF120" s="508"/>
    </row>
    <row r="121" spans="16:32" ht="16">
      <c r="P121" s="540">
        <v>45957</v>
      </c>
      <c r="Q121" s="539">
        <v>2.2000000000000002</v>
      </c>
      <c r="R121" s="541">
        <v>3299600</v>
      </c>
      <c r="S121" s="536"/>
      <c r="T121" s="535"/>
      <c r="U121" s="508"/>
      <c r="V121" s="508"/>
      <c r="W121" s="508"/>
      <c r="X121" s="508"/>
      <c r="Y121" s="508"/>
      <c r="Z121" s="508"/>
      <c r="AA121" s="508"/>
      <c r="AB121" s="508"/>
      <c r="AC121" s="508"/>
      <c r="AD121" s="508"/>
      <c r="AE121" s="508"/>
      <c r="AF121" s="508"/>
    </row>
    <row r="122" spans="16:32" ht="16">
      <c r="P122" s="540">
        <v>45954</v>
      </c>
      <c r="Q122" s="539">
        <v>2.23</v>
      </c>
      <c r="R122" s="541">
        <v>3323900</v>
      </c>
      <c r="S122" s="536"/>
      <c r="T122" s="535"/>
      <c r="U122" s="508"/>
      <c r="V122" s="508"/>
      <c r="W122" s="508"/>
      <c r="X122" s="508"/>
      <c r="Y122" s="508"/>
      <c r="Z122" s="508"/>
      <c r="AA122" s="508"/>
      <c r="AB122" s="508"/>
      <c r="AC122" s="508"/>
      <c r="AD122" s="508"/>
      <c r="AE122" s="508"/>
      <c r="AF122" s="508"/>
    </row>
    <row r="123" spans="16:32" ht="16">
      <c r="P123" s="540">
        <v>45953</v>
      </c>
      <c r="Q123" s="539">
        <v>2.2200000000000002</v>
      </c>
      <c r="R123" s="541">
        <v>2944000</v>
      </c>
      <c r="S123" s="536"/>
      <c r="T123" s="535"/>
      <c r="U123" s="508"/>
      <c r="V123" s="508"/>
      <c r="W123" s="508"/>
      <c r="X123" s="508"/>
      <c r="Y123" s="508"/>
      <c r="Z123" s="508"/>
      <c r="AA123" s="508"/>
      <c r="AB123" s="508"/>
      <c r="AC123" s="508"/>
      <c r="AD123" s="508"/>
      <c r="AE123" s="508"/>
      <c r="AF123" s="508"/>
    </row>
    <row r="124" spans="16:32" ht="16">
      <c r="P124" s="540">
        <v>45952</v>
      </c>
      <c r="Q124" s="539">
        <v>2.13</v>
      </c>
      <c r="R124" s="541">
        <v>5017200</v>
      </c>
      <c r="S124" s="536"/>
      <c r="T124" s="535"/>
      <c r="U124" s="508"/>
      <c r="V124" s="508"/>
      <c r="W124" s="508"/>
      <c r="X124" s="508"/>
      <c r="Y124" s="508"/>
      <c r="Z124" s="508"/>
      <c r="AA124" s="508"/>
      <c r="AB124" s="508"/>
      <c r="AC124" s="508"/>
      <c r="AD124" s="508"/>
      <c r="AE124" s="508"/>
      <c r="AF124" s="508"/>
    </row>
    <row r="125" spans="16:32" ht="16">
      <c r="P125" s="540">
        <v>45951</v>
      </c>
      <c r="Q125" s="539">
        <v>2.25</v>
      </c>
      <c r="R125" s="541">
        <v>3006500</v>
      </c>
      <c r="S125" s="536"/>
      <c r="T125" s="535"/>
      <c r="U125" s="508"/>
      <c r="V125" s="508"/>
      <c r="W125" s="508"/>
      <c r="X125" s="508"/>
      <c r="Y125" s="508"/>
      <c r="Z125" s="508"/>
      <c r="AA125" s="508"/>
      <c r="AB125" s="508"/>
      <c r="AC125" s="508"/>
      <c r="AD125" s="508"/>
      <c r="AE125" s="508"/>
      <c r="AF125" s="508"/>
    </row>
    <row r="126" spans="16:32" ht="16">
      <c r="P126" s="540">
        <v>45950</v>
      </c>
      <c r="Q126" s="539">
        <v>2.36</v>
      </c>
      <c r="R126" s="541">
        <v>4975600</v>
      </c>
      <c r="S126" s="536"/>
      <c r="T126" s="535"/>
      <c r="U126" s="508"/>
      <c r="V126" s="508"/>
      <c r="W126" s="508"/>
      <c r="X126" s="508"/>
      <c r="Y126" s="508"/>
      <c r="Z126" s="508"/>
      <c r="AA126" s="508"/>
      <c r="AB126" s="508"/>
      <c r="AC126" s="508"/>
      <c r="AD126" s="508"/>
      <c r="AE126" s="508"/>
      <c r="AF126" s="508"/>
    </row>
    <row r="127" spans="16:32" ht="16">
      <c r="P127" s="540">
        <v>45947</v>
      </c>
      <c r="Q127" s="539">
        <v>2.12</v>
      </c>
      <c r="R127" s="541">
        <v>4183500</v>
      </c>
      <c r="S127" s="536"/>
      <c r="T127" s="535"/>
      <c r="U127" s="508"/>
      <c r="V127" s="508"/>
      <c r="W127" s="508"/>
      <c r="X127" s="508"/>
      <c r="Y127" s="508"/>
      <c r="Z127" s="508"/>
      <c r="AA127" s="508"/>
      <c r="AB127" s="508"/>
      <c r="AC127" s="508"/>
      <c r="AD127" s="508"/>
      <c r="AE127" s="508"/>
      <c r="AF127" s="508"/>
    </row>
    <row r="128" spans="16:32" ht="16">
      <c r="P128" s="540">
        <v>45946</v>
      </c>
      <c r="Q128" s="539">
        <v>2.2400000000000002</v>
      </c>
      <c r="R128" s="541">
        <v>5197800</v>
      </c>
      <c r="S128" s="536"/>
      <c r="T128" s="535"/>
      <c r="U128" s="508"/>
      <c r="V128" s="508"/>
      <c r="W128" s="508"/>
      <c r="X128" s="508"/>
      <c r="Y128" s="508"/>
      <c r="Z128" s="508"/>
      <c r="AA128" s="508"/>
      <c r="AB128" s="508"/>
      <c r="AC128" s="508"/>
      <c r="AD128" s="508"/>
      <c r="AE128" s="508"/>
      <c r="AF128" s="508"/>
    </row>
    <row r="129" spans="16:32" ht="16">
      <c r="P129" s="540">
        <v>45945</v>
      </c>
      <c r="Q129" s="539">
        <v>2.36</v>
      </c>
      <c r="R129" s="541">
        <v>5385000</v>
      </c>
      <c r="S129" s="536"/>
      <c r="T129" s="535"/>
      <c r="U129" s="508"/>
      <c r="V129" s="508"/>
      <c r="W129" s="508"/>
      <c r="X129" s="508"/>
      <c r="Y129" s="508"/>
      <c r="Z129" s="508"/>
      <c r="AA129" s="508"/>
      <c r="AB129" s="508"/>
      <c r="AC129" s="508"/>
      <c r="AD129" s="508"/>
      <c r="AE129" s="508"/>
      <c r="AF129" s="508"/>
    </row>
    <row r="130" spans="16:32" ht="16">
      <c r="P130" s="540">
        <v>45944</v>
      </c>
      <c r="Q130" s="539">
        <v>2.29</v>
      </c>
      <c r="R130" s="541">
        <v>5292000</v>
      </c>
      <c r="S130" s="536"/>
      <c r="T130" s="535"/>
      <c r="U130" s="508"/>
      <c r="V130" s="508"/>
      <c r="W130" s="508"/>
      <c r="X130" s="508"/>
      <c r="Y130" s="508"/>
      <c r="Z130" s="508"/>
      <c r="AA130" s="508"/>
      <c r="AB130" s="508"/>
      <c r="AC130" s="508"/>
      <c r="AD130" s="508"/>
      <c r="AE130" s="508"/>
      <c r="AF130" s="508"/>
    </row>
    <row r="131" spans="16:32" ht="16">
      <c r="P131" s="540">
        <v>45943</v>
      </c>
      <c r="Q131" s="539">
        <v>2.2999999999999998</v>
      </c>
      <c r="R131" s="541">
        <v>4828100</v>
      </c>
      <c r="S131" s="536"/>
      <c r="T131" s="535"/>
      <c r="U131" s="508"/>
      <c r="V131" s="508"/>
      <c r="W131" s="508"/>
      <c r="X131" s="508"/>
      <c r="Y131" s="508"/>
      <c r="Z131" s="508"/>
      <c r="AA131" s="508"/>
      <c r="AB131" s="508"/>
      <c r="AC131" s="508"/>
      <c r="AD131" s="508"/>
      <c r="AE131" s="508"/>
      <c r="AF131" s="508"/>
    </row>
    <row r="132" spans="16:32" ht="16">
      <c r="P132" s="540">
        <v>45940</v>
      </c>
      <c r="Q132" s="539">
        <v>2.2799999999999998</v>
      </c>
      <c r="R132" s="541">
        <v>9382800</v>
      </c>
      <c r="S132" s="536"/>
      <c r="T132" s="535"/>
      <c r="U132" s="508"/>
      <c r="V132" s="508"/>
      <c r="W132" s="508"/>
      <c r="X132" s="508"/>
      <c r="Y132" s="508"/>
      <c r="Z132" s="508"/>
      <c r="AA132" s="508"/>
      <c r="AB132" s="508"/>
      <c r="AC132" s="508"/>
      <c r="AD132" s="508"/>
      <c r="AE132" s="508"/>
      <c r="AF132" s="508"/>
    </row>
    <row r="133" spans="16:32" ht="16">
      <c r="P133" s="540">
        <v>45939</v>
      </c>
      <c r="Q133" s="539">
        <v>2.57</v>
      </c>
      <c r="R133" s="541">
        <v>5530700</v>
      </c>
      <c r="S133" s="536"/>
      <c r="T133" s="535"/>
      <c r="U133" s="508"/>
      <c r="V133" s="508"/>
      <c r="W133" s="508"/>
      <c r="X133" s="508"/>
      <c r="Y133" s="508"/>
      <c r="Z133" s="508"/>
      <c r="AA133" s="508"/>
      <c r="AB133" s="508"/>
      <c r="AC133" s="508"/>
      <c r="AD133" s="508"/>
      <c r="AE133" s="508"/>
      <c r="AF133" s="508"/>
    </row>
    <row r="134" spans="16:32" ht="16">
      <c r="P134" s="540">
        <v>45938</v>
      </c>
      <c r="Q134" s="539">
        <v>2.68</v>
      </c>
      <c r="R134" s="541">
        <v>12033900</v>
      </c>
      <c r="S134" s="536"/>
      <c r="T134" s="535"/>
      <c r="U134" s="508"/>
      <c r="V134" s="508"/>
      <c r="W134" s="508"/>
      <c r="X134" s="508"/>
      <c r="Y134" s="508"/>
      <c r="Z134" s="508"/>
      <c r="AA134" s="508"/>
      <c r="AB134" s="508"/>
      <c r="AC134" s="508"/>
      <c r="AD134" s="508"/>
      <c r="AE134" s="508"/>
      <c r="AF134" s="508"/>
    </row>
    <row r="135" spans="16:32" ht="16">
      <c r="P135" s="540">
        <v>45937</v>
      </c>
      <c r="Q135" s="539">
        <v>2.5</v>
      </c>
      <c r="R135" s="541">
        <v>10159200</v>
      </c>
      <c r="S135" s="536"/>
      <c r="T135" s="535"/>
      <c r="U135" s="508"/>
      <c r="V135" s="508"/>
      <c r="W135" s="508"/>
      <c r="X135" s="508"/>
      <c r="Y135" s="508"/>
      <c r="Z135" s="508"/>
      <c r="AA135" s="508"/>
      <c r="AB135" s="508"/>
      <c r="AC135" s="508"/>
      <c r="AD135" s="508"/>
      <c r="AE135" s="508"/>
      <c r="AF135" s="508"/>
    </row>
    <row r="136" spans="16:32" ht="16">
      <c r="P136" s="540">
        <v>45936</v>
      </c>
      <c r="Q136" s="539">
        <v>2.56</v>
      </c>
      <c r="R136" s="541">
        <v>15314800</v>
      </c>
      <c r="S136" s="536"/>
      <c r="T136" s="535"/>
      <c r="U136" s="508"/>
      <c r="V136" s="508"/>
      <c r="W136" s="508"/>
      <c r="X136" s="508"/>
      <c r="Y136" s="508"/>
      <c r="Z136" s="508"/>
      <c r="AA136" s="508"/>
      <c r="AB136" s="508"/>
      <c r="AC136" s="508"/>
      <c r="AD136" s="508"/>
      <c r="AE136" s="508"/>
      <c r="AF136" s="508"/>
    </row>
    <row r="137" spans="16:32" ht="16">
      <c r="P137" s="540">
        <v>45933</v>
      </c>
      <c r="Q137" s="539">
        <v>2.33</v>
      </c>
      <c r="R137" s="541">
        <v>15197700</v>
      </c>
      <c r="S137" s="536"/>
      <c r="T137" s="535"/>
      <c r="U137" s="508"/>
      <c r="V137" s="508"/>
      <c r="W137" s="508"/>
      <c r="X137" s="508"/>
      <c r="Y137" s="508"/>
      <c r="Z137" s="508"/>
      <c r="AA137" s="508"/>
      <c r="AB137" s="508"/>
      <c r="AC137" s="508"/>
      <c r="AD137" s="508"/>
      <c r="AE137" s="508"/>
      <c r="AF137" s="508"/>
    </row>
    <row r="138" spans="16:32" ht="16">
      <c r="P138" s="540">
        <v>45932</v>
      </c>
      <c r="Q138" s="539">
        <v>1.96</v>
      </c>
      <c r="R138" s="541">
        <v>3076600</v>
      </c>
      <c r="S138" s="536"/>
      <c r="T138" s="535"/>
      <c r="U138" s="508"/>
      <c r="V138" s="508"/>
      <c r="W138" s="508"/>
      <c r="X138" s="508"/>
      <c r="Y138" s="508"/>
      <c r="Z138" s="508"/>
      <c r="AA138" s="508"/>
      <c r="AB138" s="508"/>
      <c r="AC138" s="508"/>
      <c r="AD138" s="508"/>
      <c r="AE138" s="508"/>
      <c r="AF138" s="508"/>
    </row>
    <row r="139" spans="16:32" ht="16">
      <c r="P139" s="540">
        <v>45931</v>
      </c>
      <c r="Q139" s="539">
        <v>1.9</v>
      </c>
      <c r="R139" s="541">
        <v>4792800</v>
      </c>
      <c r="S139" s="536"/>
      <c r="T139" s="535"/>
      <c r="U139" s="508"/>
      <c r="V139" s="508"/>
      <c r="W139" s="508"/>
      <c r="X139" s="508"/>
      <c r="Y139" s="508"/>
      <c r="Z139" s="508"/>
      <c r="AA139" s="508"/>
      <c r="AB139" s="508"/>
      <c r="AC139" s="508"/>
      <c r="AD139" s="508"/>
      <c r="AE139" s="508"/>
      <c r="AF139" s="508"/>
    </row>
    <row r="140" spans="16:32" ht="16">
      <c r="P140" s="540">
        <v>45930</v>
      </c>
      <c r="Q140" s="539">
        <v>1.93</v>
      </c>
      <c r="R140" s="541">
        <v>2179000</v>
      </c>
      <c r="S140" s="536"/>
      <c r="T140" s="535"/>
      <c r="U140" s="508"/>
      <c r="V140" s="508"/>
      <c r="W140" s="508"/>
      <c r="X140" s="508"/>
      <c r="Y140" s="508"/>
      <c r="Z140" s="508"/>
      <c r="AA140" s="508"/>
      <c r="AB140" s="508"/>
      <c r="AC140" s="508"/>
      <c r="AD140" s="508"/>
      <c r="AE140" s="508"/>
      <c r="AF140" s="508"/>
    </row>
    <row r="141" spans="16:32" ht="16">
      <c r="P141" s="540">
        <v>45929</v>
      </c>
      <c r="Q141" s="539">
        <v>1.96</v>
      </c>
      <c r="R141" s="541">
        <v>5960100</v>
      </c>
      <c r="S141" s="536"/>
      <c r="T141" s="535"/>
      <c r="U141" s="508"/>
      <c r="V141" s="508"/>
      <c r="W141" s="508"/>
      <c r="X141" s="508"/>
      <c r="Y141" s="508"/>
      <c r="Z141" s="508"/>
      <c r="AA141" s="508"/>
      <c r="AB141" s="508"/>
      <c r="AC141" s="508"/>
      <c r="AD141" s="508"/>
      <c r="AE141" s="508"/>
      <c r="AF141" s="508"/>
    </row>
    <row r="142" spans="16:32" ht="16">
      <c r="P142" s="540">
        <v>45926</v>
      </c>
      <c r="Q142" s="539">
        <v>2.0099999999999998</v>
      </c>
      <c r="R142" s="541">
        <v>5518200</v>
      </c>
      <c r="S142" s="536"/>
      <c r="T142" s="535"/>
      <c r="U142" s="508"/>
      <c r="V142" s="508"/>
      <c r="W142" s="508"/>
      <c r="X142" s="508"/>
      <c r="Y142" s="508"/>
      <c r="Z142" s="508"/>
      <c r="AA142" s="508"/>
      <c r="AB142" s="508"/>
      <c r="AC142" s="508"/>
      <c r="AD142" s="508"/>
      <c r="AE142" s="508"/>
      <c r="AF142" s="508"/>
    </row>
    <row r="143" spans="16:32" ht="16">
      <c r="P143" s="540">
        <v>45925</v>
      </c>
      <c r="Q143" s="539">
        <v>1.96</v>
      </c>
      <c r="R143" s="541">
        <v>6716900</v>
      </c>
      <c r="S143" s="536"/>
      <c r="T143" s="535"/>
      <c r="U143" s="508"/>
      <c r="V143" s="508"/>
      <c r="W143" s="508"/>
      <c r="X143" s="508"/>
      <c r="Y143" s="508"/>
      <c r="Z143" s="508"/>
      <c r="AA143" s="508"/>
      <c r="AB143" s="508"/>
      <c r="AC143" s="508"/>
      <c r="AD143" s="508"/>
      <c r="AE143" s="508"/>
      <c r="AF143" s="508"/>
    </row>
    <row r="144" spans="16:32" ht="16">
      <c r="P144" s="540">
        <v>45924</v>
      </c>
      <c r="Q144" s="539">
        <v>2.0699999999999998</v>
      </c>
      <c r="R144" s="541">
        <v>6816600</v>
      </c>
      <c r="S144" s="536"/>
      <c r="T144" s="535"/>
      <c r="U144" s="508"/>
      <c r="V144" s="508"/>
      <c r="W144" s="508"/>
      <c r="X144" s="508"/>
      <c r="Y144" s="508"/>
      <c r="Z144" s="508"/>
      <c r="AA144" s="508"/>
      <c r="AB144" s="508"/>
      <c r="AC144" s="508"/>
      <c r="AD144" s="508"/>
      <c r="AE144" s="508"/>
      <c r="AF144" s="508"/>
    </row>
    <row r="145" spans="16:32" ht="16">
      <c r="P145" s="540">
        <v>45923</v>
      </c>
      <c r="Q145" s="539">
        <v>2.04</v>
      </c>
      <c r="R145" s="541">
        <v>9554300</v>
      </c>
      <c r="S145" s="536"/>
      <c r="T145" s="535"/>
      <c r="U145" s="508"/>
      <c r="V145" s="508"/>
      <c r="W145" s="508"/>
      <c r="X145" s="508"/>
      <c r="Y145" s="508"/>
      <c r="Z145" s="508"/>
      <c r="AA145" s="508"/>
      <c r="AB145" s="508"/>
      <c r="AC145" s="508"/>
      <c r="AD145" s="508"/>
      <c r="AE145" s="508"/>
      <c r="AF145" s="508"/>
    </row>
    <row r="146" spans="16:32" ht="16">
      <c r="P146" s="540">
        <v>45922</v>
      </c>
      <c r="Q146" s="539">
        <v>2.17</v>
      </c>
      <c r="R146" s="541">
        <v>11947700</v>
      </c>
      <c r="S146" s="536"/>
      <c r="T146" s="535"/>
      <c r="U146" s="508"/>
      <c r="V146" s="508"/>
      <c r="W146" s="508"/>
      <c r="X146" s="508"/>
      <c r="Y146" s="508"/>
      <c r="Z146" s="508"/>
      <c r="AA146" s="508"/>
      <c r="AB146" s="508"/>
      <c r="AC146" s="508"/>
      <c r="AD146" s="508"/>
      <c r="AE146" s="508"/>
      <c r="AF146" s="508"/>
    </row>
    <row r="147" spans="16:32" ht="16">
      <c r="P147" s="540">
        <v>45919</v>
      </c>
      <c r="Q147" s="539">
        <v>1.85</v>
      </c>
      <c r="R147" s="541">
        <v>15350700</v>
      </c>
      <c r="S147" s="536"/>
      <c r="T147" s="535"/>
      <c r="U147" s="508"/>
      <c r="V147" s="508"/>
      <c r="W147" s="508"/>
      <c r="X147" s="508"/>
      <c r="Y147" s="508"/>
      <c r="Z147" s="508"/>
      <c r="AA147" s="508"/>
      <c r="AB147" s="508"/>
      <c r="AC147" s="508"/>
      <c r="AD147" s="508"/>
      <c r="AE147" s="508"/>
      <c r="AF147" s="508"/>
    </row>
    <row r="148" spans="16:32" ht="16">
      <c r="P148" s="540">
        <v>45918</v>
      </c>
      <c r="Q148" s="539">
        <v>1.89</v>
      </c>
      <c r="R148" s="541">
        <v>13768400</v>
      </c>
      <c r="S148" s="536"/>
      <c r="T148" s="535"/>
      <c r="U148" s="508"/>
      <c r="V148" s="508"/>
      <c r="W148" s="508"/>
      <c r="X148" s="508"/>
      <c r="Y148" s="508"/>
      <c r="Z148" s="508"/>
      <c r="AA148" s="508"/>
      <c r="AB148" s="508"/>
      <c r="AC148" s="508"/>
      <c r="AD148" s="508"/>
      <c r="AE148" s="508"/>
      <c r="AF148" s="508"/>
    </row>
    <row r="149" spans="16:32" ht="16">
      <c r="P149" s="540">
        <v>45917</v>
      </c>
      <c r="Q149" s="539">
        <v>1.63</v>
      </c>
      <c r="R149" s="541">
        <v>2796700</v>
      </c>
      <c r="S149" s="536"/>
      <c r="T149" s="535"/>
      <c r="U149" s="508"/>
      <c r="V149" s="508"/>
      <c r="W149" s="508"/>
      <c r="X149" s="508"/>
      <c r="Y149" s="508"/>
      <c r="Z149" s="508"/>
      <c r="AA149" s="508"/>
      <c r="AB149" s="508"/>
      <c r="AC149" s="508"/>
      <c r="AD149" s="508"/>
      <c r="AE149" s="508"/>
      <c r="AF149" s="508"/>
    </row>
    <row r="150" spans="16:32" ht="16">
      <c r="P150" s="540">
        <v>45916</v>
      </c>
      <c r="Q150" s="539">
        <v>1.63</v>
      </c>
      <c r="R150" s="541">
        <v>2002700</v>
      </c>
      <c r="S150" s="536"/>
      <c r="T150" s="535"/>
      <c r="U150" s="508"/>
      <c r="V150" s="508"/>
      <c r="W150" s="508"/>
      <c r="X150" s="508"/>
      <c r="Y150" s="508"/>
      <c r="Z150" s="508"/>
      <c r="AA150" s="508"/>
      <c r="AB150" s="508"/>
      <c r="AC150" s="508"/>
      <c r="AD150" s="508"/>
      <c r="AE150" s="508"/>
      <c r="AF150" s="508"/>
    </row>
    <row r="151" spans="16:32" ht="16">
      <c r="P151" s="540">
        <v>45915</v>
      </c>
      <c r="Q151" s="539">
        <v>1.66</v>
      </c>
      <c r="R151" s="541">
        <v>3275700</v>
      </c>
      <c r="S151" s="536"/>
      <c r="T151" s="535"/>
      <c r="U151" s="508"/>
      <c r="V151" s="508"/>
      <c r="W151" s="508"/>
      <c r="X151" s="508"/>
      <c r="Y151" s="508"/>
      <c r="Z151" s="508"/>
      <c r="AA151" s="508"/>
      <c r="AB151" s="508"/>
      <c r="AC151" s="508"/>
      <c r="AD151" s="508"/>
      <c r="AE151" s="508"/>
      <c r="AF151" s="508"/>
    </row>
    <row r="152" spans="16:32" ht="16">
      <c r="P152" s="540">
        <v>45912</v>
      </c>
      <c r="Q152" s="539">
        <v>1.57</v>
      </c>
      <c r="R152" s="541">
        <v>1920800</v>
      </c>
      <c r="S152" s="536"/>
      <c r="T152" s="535"/>
      <c r="U152" s="508"/>
      <c r="V152" s="508"/>
      <c r="W152" s="508"/>
      <c r="X152" s="508"/>
      <c r="Y152" s="508"/>
      <c r="Z152" s="508"/>
      <c r="AA152" s="508"/>
      <c r="AB152" s="508"/>
      <c r="AC152" s="508"/>
      <c r="AD152" s="508"/>
      <c r="AE152" s="508"/>
      <c r="AF152" s="508"/>
    </row>
    <row r="153" spans="16:32" ht="16">
      <c r="P153" s="540">
        <v>45911</v>
      </c>
      <c r="Q153" s="539">
        <v>1.55</v>
      </c>
      <c r="R153" s="541">
        <v>1709700</v>
      </c>
      <c r="S153" s="536"/>
      <c r="T153" s="535"/>
      <c r="U153" s="508"/>
      <c r="V153" s="508"/>
      <c r="W153" s="508"/>
      <c r="X153" s="508"/>
      <c r="Y153" s="508"/>
      <c r="Z153" s="508"/>
      <c r="AA153" s="508"/>
      <c r="AB153" s="508"/>
      <c r="AC153" s="508"/>
      <c r="AD153" s="508"/>
      <c r="AE153" s="508"/>
      <c r="AF153" s="508"/>
    </row>
    <row r="154" spans="16:32" ht="16">
      <c r="P154" s="540">
        <v>45910</v>
      </c>
      <c r="Q154" s="539">
        <v>1.5</v>
      </c>
      <c r="R154" s="541">
        <v>1998800</v>
      </c>
      <c r="S154" s="536"/>
      <c r="T154" s="535"/>
      <c r="U154" s="508"/>
      <c r="V154" s="508"/>
      <c r="W154" s="508"/>
      <c r="X154" s="508"/>
      <c r="Y154" s="508"/>
      <c r="Z154" s="508"/>
      <c r="AA154" s="508"/>
      <c r="AB154" s="508"/>
      <c r="AC154" s="508"/>
      <c r="AD154" s="508"/>
      <c r="AE154" s="508"/>
      <c r="AF154" s="508"/>
    </row>
    <row r="155" spans="16:32" ht="16">
      <c r="P155" s="540">
        <v>45909</v>
      </c>
      <c r="Q155" s="539">
        <v>1.58</v>
      </c>
      <c r="R155" s="541">
        <v>1158700</v>
      </c>
      <c r="S155" s="536"/>
      <c r="T155" s="535"/>
      <c r="U155" s="508"/>
      <c r="V155" s="508"/>
      <c r="W155" s="508"/>
      <c r="X155" s="508"/>
      <c r="Y155" s="508"/>
      <c r="Z155" s="508"/>
      <c r="AA155" s="508"/>
      <c r="AB155" s="508"/>
      <c r="AC155" s="508"/>
      <c r="AD155" s="508"/>
      <c r="AE155" s="508"/>
      <c r="AF155" s="508"/>
    </row>
    <row r="156" spans="16:32" ht="16">
      <c r="P156" s="540">
        <v>45908</v>
      </c>
      <c r="Q156" s="539">
        <v>1.59</v>
      </c>
      <c r="R156" s="541">
        <v>2074200</v>
      </c>
      <c r="S156" s="536"/>
      <c r="T156" s="535"/>
      <c r="U156" s="508"/>
      <c r="V156" s="508"/>
      <c r="W156" s="508"/>
      <c r="X156" s="508"/>
      <c r="Y156" s="508"/>
      <c r="Z156" s="508"/>
      <c r="AA156" s="508"/>
      <c r="AB156" s="508"/>
      <c r="AC156" s="508"/>
      <c r="AD156" s="508"/>
      <c r="AE156" s="508"/>
      <c r="AF156" s="508"/>
    </row>
    <row r="157" spans="16:32" ht="16">
      <c r="P157" s="540">
        <v>45905</v>
      </c>
      <c r="Q157" s="539">
        <v>1.56</v>
      </c>
      <c r="R157" s="541">
        <v>1548600</v>
      </c>
      <c r="S157" s="536"/>
      <c r="T157" s="535"/>
      <c r="U157" s="508"/>
      <c r="V157" s="508"/>
      <c r="W157" s="508"/>
      <c r="X157" s="508"/>
      <c r="Y157" s="508"/>
      <c r="Z157" s="508"/>
      <c r="AA157" s="508"/>
      <c r="AB157" s="508"/>
      <c r="AC157" s="508"/>
      <c r="AD157" s="508"/>
      <c r="AE157" s="508"/>
      <c r="AF157" s="508"/>
    </row>
    <row r="158" spans="16:32" ht="16">
      <c r="P158" s="540">
        <v>45904</v>
      </c>
      <c r="Q158" s="539">
        <v>1.53</v>
      </c>
      <c r="R158" s="541">
        <v>1841000</v>
      </c>
      <c r="S158" s="536"/>
      <c r="T158" s="535"/>
      <c r="U158" s="508"/>
      <c r="V158" s="508"/>
      <c r="W158" s="508"/>
      <c r="X158" s="508"/>
      <c r="Y158" s="508"/>
      <c r="Z158" s="508"/>
      <c r="AA158" s="508"/>
      <c r="AB158" s="508"/>
      <c r="AC158" s="508"/>
      <c r="AD158" s="508"/>
      <c r="AE158" s="508"/>
      <c r="AF158" s="508"/>
    </row>
    <row r="159" spans="16:32" ht="16">
      <c r="P159" s="540">
        <v>45903</v>
      </c>
      <c r="Q159" s="539">
        <v>1.5</v>
      </c>
      <c r="R159" s="541">
        <v>2588800</v>
      </c>
      <c r="S159" s="536"/>
      <c r="T159" s="535"/>
      <c r="U159" s="508"/>
      <c r="V159" s="508"/>
      <c r="W159" s="508"/>
      <c r="X159" s="508"/>
      <c r="Y159" s="508"/>
      <c r="Z159" s="508"/>
      <c r="AA159" s="508"/>
      <c r="AB159" s="508"/>
      <c r="AC159" s="508"/>
      <c r="AD159" s="508"/>
      <c r="AE159" s="508"/>
      <c r="AF159" s="508"/>
    </row>
    <row r="160" spans="16:32" ht="16">
      <c r="P160" s="540">
        <v>45902</v>
      </c>
      <c r="Q160" s="539">
        <v>1.54</v>
      </c>
      <c r="R160" s="541">
        <v>4051200</v>
      </c>
      <c r="S160" s="536"/>
      <c r="T160" s="535"/>
      <c r="U160" s="508"/>
      <c r="V160" s="508"/>
      <c r="W160" s="508"/>
      <c r="X160" s="508"/>
      <c r="Y160" s="508"/>
      <c r="Z160" s="508"/>
      <c r="AA160" s="508"/>
      <c r="AB160" s="508"/>
      <c r="AC160" s="508"/>
      <c r="AD160" s="508"/>
      <c r="AE160" s="508"/>
      <c r="AF160" s="508"/>
    </row>
    <row r="161" spans="16:32" ht="16">
      <c r="P161" s="540">
        <v>45898</v>
      </c>
      <c r="Q161" s="539">
        <v>1.61</v>
      </c>
      <c r="R161" s="541">
        <v>2384100</v>
      </c>
      <c r="S161" s="536"/>
      <c r="T161" s="535"/>
      <c r="U161" s="508"/>
      <c r="V161" s="508"/>
      <c r="W161" s="508"/>
      <c r="X161" s="508"/>
      <c r="Y161" s="508"/>
      <c r="Z161" s="508"/>
      <c r="AA161" s="508"/>
      <c r="AB161" s="508"/>
      <c r="AC161" s="508"/>
      <c r="AD161" s="508"/>
      <c r="AE161" s="508"/>
      <c r="AF161" s="508"/>
    </row>
    <row r="162" spans="16:32" ht="16">
      <c r="P162" s="540">
        <v>45897</v>
      </c>
      <c r="Q162" s="539">
        <v>1.63</v>
      </c>
      <c r="R162" s="541">
        <v>3124400</v>
      </c>
      <c r="S162" s="536"/>
      <c r="T162" s="535"/>
      <c r="U162" s="508"/>
      <c r="V162" s="508"/>
      <c r="W162" s="508"/>
      <c r="X162" s="508"/>
      <c r="Y162" s="508"/>
      <c r="Z162" s="508"/>
      <c r="AA162" s="508"/>
      <c r="AB162" s="508"/>
      <c r="AC162" s="508"/>
      <c r="AD162" s="508"/>
      <c r="AE162" s="508"/>
      <c r="AF162" s="508"/>
    </row>
    <row r="163" spans="16:32" ht="16">
      <c r="P163" s="540">
        <v>45896</v>
      </c>
      <c r="Q163" s="539">
        <v>1.57</v>
      </c>
      <c r="R163" s="541">
        <v>4140300</v>
      </c>
      <c r="S163" s="536"/>
      <c r="T163" s="535"/>
      <c r="U163" s="508"/>
      <c r="V163" s="508"/>
      <c r="W163" s="508"/>
      <c r="X163" s="508"/>
      <c r="Y163" s="508"/>
      <c r="Z163" s="508"/>
      <c r="AA163" s="508"/>
      <c r="AB163" s="508"/>
      <c r="AC163" s="508"/>
      <c r="AD163" s="508"/>
      <c r="AE163" s="508"/>
      <c r="AF163" s="508"/>
    </row>
    <row r="164" spans="16:32" ht="16">
      <c r="P164" s="540">
        <v>45895</v>
      </c>
      <c r="Q164" s="539">
        <v>1.59</v>
      </c>
      <c r="R164" s="541">
        <v>6037600</v>
      </c>
      <c r="S164" s="536"/>
      <c r="T164" s="535"/>
      <c r="U164" s="508"/>
      <c r="V164" s="508"/>
      <c r="W164" s="508"/>
      <c r="X164" s="508"/>
      <c r="Y164" s="508"/>
      <c r="Z164" s="508"/>
      <c r="AA164" s="508"/>
      <c r="AB164" s="508"/>
      <c r="AC164" s="508"/>
      <c r="AD164" s="508"/>
      <c r="AE164" s="508"/>
      <c r="AF164" s="508"/>
    </row>
    <row r="165" spans="16:32" ht="16">
      <c r="P165" s="540">
        <v>45894</v>
      </c>
      <c r="Q165" s="539">
        <v>1.55</v>
      </c>
      <c r="R165" s="541">
        <v>4901800</v>
      </c>
      <c r="S165" s="536"/>
      <c r="T165" s="535"/>
      <c r="U165" s="508"/>
      <c r="V165" s="508"/>
      <c r="W165" s="508"/>
      <c r="X165" s="508"/>
      <c r="Y165" s="508"/>
      <c r="Z165" s="508"/>
      <c r="AA165" s="508"/>
      <c r="AB165" s="508"/>
      <c r="AC165" s="508"/>
      <c r="AD165" s="508"/>
      <c r="AE165" s="508"/>
      <c r="AF165" s="508"/>
    </row>
    <row r="166" spans="16:32" ht="16">
      <c r="P166" s="540">
        <v>45891</v>
      </c>
      <c r="Q166" s="539">
        <v>1.52</v>
      </c>
      <c r="R166" s="541">
        <v>4319400</v>
      </c>
      <c r="S166" s="536"/>
      <c r="T166" s="535"/>
      <c r="U166" s="508"/>
      <c r="V166" s="508"/>
      <c r="W166" s="508"/>
      <c r="X166" s="508"/>
      <c r="Y166" s="508"/>
      <c r="Z166" s="508"/>
      <c r="AA166" s="508"/>
      <c r="AB166" s="508"/>
      <c r="AC166" s="508"/>
      <c r="AD166" s="508"/>
      <c r="AE166" s="508"/>
      <c r="AF166" s="508"/>
    </row>
    <row r="167" spans="16:32" ht="16">
      <c r="P167" s="540">
        <v>45890</v>
      </c>
      <c r="Q167" s="539">
        <v>1.39</v>
      </c>
      <c r="R167" s="541">
        <v>1448600</v>
      </c>
      <c r="S167" s="536"/>
      <c r="T167" s="535"/>
      <c r="U167" s="508"/>
      <c r="V167" s="508"/>
      <c r="W167" s="508"/>
      <c r="X167" s="508"/>
      <c r="Y167" s="508"/>
      <c r="Z167" s="508"/>
      <c r="AA167" s="508"/>
      <c r="AB167" s="508"/>
      <c r="AC167" s="508"/>
      <c r="AD167" s="508"/>
      <c r="AE167" s="508"/>
      <c r="AF167" s="508"/>
    </row>
    <row r="168" spans="16:32" ht="16">
      <c r="P168" s="540">
        <v>45889</v>
      </c>
      <c r="Q168" s="539">
        <v>1.41</v>
      </c>
      <c r="R168" s="541">
        <v>2382200</v>
      </c>
      <c r="S168" s="536"/>
      <c r="T168" s="535"/>
      <c r="U168" s="508"/>
      <c r="V168" s="508"/>
      <c r="W168" s="508"/>
      <c r="X168" s="508"/>
      <c r="Y168" s="508"/>
      <c r="Z168" s="508"/>
      <c r="AA168" s="508"/>
      <c r="AB168" s="508"/>
      <c r="AC168" s="508"/>
      <c r="AD168" s="508"/>
      <c r="AE168" s="508"/>
      <c r="AF168" s="508"/>
    </row>
    <row r="169" spans="16:32" ht="16">
      <c r="P169" s="540">
        <v>45888</v>
      </c>
      <c r="Q169" s="539">
        <v>1.38</v>
      </c>
      <c r="R169" s="541">
        <v>4118000</v>
      </c>
      <c r="S169" s="536"/>
      <c r="T169" s="535"/>
      <c r="U169" s="508"/>
      <c r="V169" s="508"/>
      <c r="W169" s="508"/>
      <c r="X169" s="508"/>
      <c r="Y169" s="508"/>
      <c r="Z169" s="508"/>
      <c r="AA169" s="508"/>
      <c r="AB169" s="508"/>
      <c r="AC169" s="508"/>
      <c r="AD169" s="508"/>
      <c r="AE169" s="508"/>
      <c r="AF169" s="508"/>
    </row>
    <row r="170" spans="16:32" ht="16">
      <c r="P170" s="540">
        <v>45887</v>
      </c>
      <c r="Q170" s="539">
        <v>1.44</v>
      </c>
      <c r="R170" s="541">
        <v>2892100</v>
      </c>
      <c r="S170" s="536"/>
      <c r="T170" s="535"/>
      <c r="U170" s="508"/>
      <c r="V170" s="508"/>
      <c r="W170" s="508"/>
      <c r="X170" s="508"/>
      <c r="Y170" s="508"/>
      <c r="Z170" s="508"/>
      <c r="AA170" s="508"/>
      <c r="AB170" s="508"/>
      <c r="AC170" s="508"/>
      <c r="AD170" s="508"/>
      <c r="AE170" s="508"/>
      <c r="AF170" s="508"/>
    </row>
    <row r="171" spans="16:32" ht="16">
      <c r="P171" s="540">
        <v>45884</v>
      </c>
      <c r="Q171" s="539">
        <v>1.43</v>
      </c>
      <c r="R171" s="541">
        <v>3172200</v>
      </c>
      <c r="S171" s="536"/>
      <c r="T171" s="535"/>
      <c r="U171" s="508"/>
      <c r="V171" s="508"/>
      <c r="W171" s="508"/>
      <c r="X171" s="508"/>
      <c r="Y171" s="508"/>
      <c r="Z171" s="508"/>
      <c r="AA171" s="508"/>
      <c r="AB171" s="508"/>
      <c r="AC171" s="508"/>
      <c r="AD171" s="508"/>
      <c r="AE171" s="508"/>
      <c r="AF171" s="508"/>
    </row>
    <row r="172" spans="16:32" ht="16">
      <c r="P172" s="540">
        <v>45883</v>
      </c>
      <c r="Q172" s="539">
        <v>1.41</v>
      </c>
      <c r="R172" s="541">
        <v>3108100</v>
      </c>
      <c r="S172" s="536"/>
      <c r="T172" s="535"/>
      <c r="U172" s="508"/>
      <c r="V172" s="508"/>
      <c r="W172" s="508"/>
      <c r="X172" s="508"/>
      <c r="Y172" s="508"/>
      <c r="Z172" s="508"/>
      <c r="AA172" s="508"/>
      <c r="AB172" s="508"/>
      <c r="AC172" s="508"/>
      <c r="AD172" s="508"/>
      <c r="AE172" s="508"/>
      <c r="AF172" s="508"/>
    </row>
    <row r="173" spans="16:32" ht="16">
      <c r="P173" s="540">
        <v>45882</v>
      </c>
      <c r="Q173" s="539">
        <v>1.42</v>
      </c>
      <c r="R173" s="541">
        <v>3319500</v>
      </c>
      <c r="S173" s="536"/>
      <c r="T173" s="535"/>
      <c r="U173" s="508"/>
      <c r="V173" s="508"/>
      <c r="W173" s="508"/>
      <c r="X173" s="508"/>
      <c r="Y173" s="508"/>
      <c r="Z173" s="508"/>
      <c r="AA173" s="508"/>
      <c r="AB173" s="508"/>
      <c r="AC173" s="508"/>
      <c r="AD173" s="508"/>
      <c r="AE173" s="508"/>
      <c r="AF173" s="508"/>
    </row>
    <row r="174" spans="16:32" ht="16">
      <c r="P174" s="540">
        <v>45881</v>
      </c>
      <c r="Q174" s="539">
        <v>1.39</v>
      </c>
      <c r="R174" s="541">
        <v>2516300</v>
      </c>
      <c r="S174" s="536"/>
      <c r="T174" s="535"/>
      <c r="U174" s="508"/>
      <c r="V174" s="508"/>
      <c r="W174" s="508"/>
      <c r="X174" s="508"/>
      <c r="Y174" s="508"/>
      <c r="Z174" s="508"/>
      <c r="AA174" s="508"/>
      <c r="AB174" s="508"/>
      <c r="AC174" s="508"/>
      <c r="AD174" s="508"/>
      <c r="AE174" s="508"/>
      <c r="AF174" s="508"/>
    </row>
    <row r="175" spans="16:32" ht="16">
      <c r="P175" s="540">
        <v>45880</v>
      </c>
      <c r="Q175" s="539">
        <v>1.36</v>
      </c>
      <c r="R175" s="541">
        <v>3004000</v>
      </c>
      <c r="S175" s="536"/>
      <c r="T175" s="535"/>
      <c r="U175" s="508"/>
      <c r="V175" s="508"/>
      <c r="W175" s="508"/>
      <c r="X175" s="508"/>
      <c r="Y175" s="508"/>
      <c r="Z175" s="508"/>
      <c r="AA175" s="508"/>
      <c r="AB175" s="508"/>
      <c r="AC175" s="508"/>
      <c r="AD175" s="508"/>
      <c r="AE175" s="508"/>
      <c r="AF175" s="508"/>
    </row>
    <row r="176" spans="16:32" ht="16">
      <c r="P176" s="540">
        <v>45877</v>
      </c>
      <c r="Q176" s="539">
        <v>1.33</v>
      </c>
      <c r="R176" s="541">
        <v>2744100</v>
      </c>
      <c r="S176" s="536"/>
      <c r="T176" s="535"/>
      <c r="U176" s="508"/>
      <c r="V176" s="508"/>
      <c r="W176" s="508"/>
      <c r="X176" s="508"/>
      <c r="Y176" s="508"/>
      <c r="Z176" s="508"/>
      <c r="AA176" s="508"/>
      <c r="AB176" s="508"/>
      <c r="AC176" s="508"/>
      <c r="AD176" s="508"/>
      <c r="AE176" s="508"/>
      <c r="AF176" s="508"/>
    </row>
    <row r="177" spans="16:32" ht="16">
      <c r="P177" s="540">
        <v>45876</v>
      </c>
      <c r="Q177" s="539">
        <v>1.39</v>
      </c>
      <c r="R177" s="541">
        <v>3482600</v>
      </c>
      <c r="S177" s="536"/>
      <c r="T177" s="535"/>
      <c r="U177" s="508"/>
      <c r="V177" s="508"/>
      <c r="W177" s="508"/>
      <c r="X177" s="508"/>
      <c r="Y177" s="508"/>
      <c r="Z177" s="508"/>
      <c r="AA177" s="508"/>
      <c r="AB177" s="508"/>
      <c r="AC177" s="508"/>
      <c r="AD177" s="508"/>
      <c r="AE177" s="508"/>
      <c r="AF177" s="508"/>
    </row>
    <row r="178" spans="16:32" ht="16">
      <c r="P178" s="540">
        <v>45875</v>
      </c>
      <c r="Q178" s="539">
        <v>1.38</v>
      </c>
      <c r="R178" s="541">
        <v>3120900</v>
      </c>
      <c r="S178" s="536"/>
      <c r="T178" s="535"/>
      <c r="U178" s="508"/>
      <c r="V178" s="508"/>
      <c r="W178" s="508"/>
      <c r="X178" s="508"/>
      <c r="Y178" s="508"/>
      <c r="Z178" s="508"/>
      <c r="AA178" s="508"/>
      <c r="AB178" s="508"/>
      <c r="AC178" s="508"/>
      <c r="AD178" s="508"/>
      <c r="AE178" s="508"/>
      <c r="AF178" s="508"/>
    </row>
    <row r="179" spans="16:32" ht="16">
      <c r="P179" s="540">
        <v>45874</v>
      </c>
      <c r="Q179" s="539">
        <v>1.36</v>
      </c>
      <c r="R179" s="541">
        <v>4798600</v>
      </c>
      <c r="S179" s="536"/>
      <c r="T179" s="535"/>
      <c r="U179" s="508"/>
      <c r="V179" s="508"/>
      <c r="W179" s="508"/>
      <c r="X179" s="508"/>
      <c r="Y179" s="508"/>
      <c r="Z179" s="508"/>
      <c r="AA179" s="508"/>
      <c r="AB179" s="508"/>
      <c r="AC179" s="508"/>
      <c r="AD179" s="508"/>
      <c r="AE179" s="508"/>
      <c r="AF179" s="508"/>
    </row>
    <row r="180" spans="16:32" ht="16">
      <c r="P180" s="540">
        <v>45873</v>
      </c>
      <c r="Q180" s="539">
        <v>1.43</v>
      </c>
      <c r="R180" s="541">
        <v>3565700</v>
      </c>
      <c r="S180" s="536"/>
      <c r="T180" s="535"/>
      <c r="U180" s="508"/>
      <c r="V180" s="508"/>
      <c r="W180" s="508"/>
      <c r="X180" s="508"/>
      <c r="Y180" s="508"/>
      <c r="Z180" s="508"/>
      <c r="AA180" s="508"/>
      <c r="AB180" s="508"/>
      <c r="AC180" s="508"/>
      <c r="AD180" s="508"/>
      <c r="AE180" s="508"/>
      <c r="AF180" s="508"/>
    </row>
    <row r="181" spans="16:32" ht="16">
      <c r="P181" s="540">
        <v>45870</v>
      </c>
      <c r="Q181" s="539">
        <v>1.4</v>
      </c>
      <c r="R181" s="541">
        <v>10651000</v>
      </c>
      <c r="S181" s="536"/>
      <c r="T181" s="535"/>
      <c r="U181" s="508"/>
      <c r="V181" s="508"/>
      <c r="W181" s="508"/>
      <c r="X181" s="508"/>
      <c r="Y181" s="508"/>
      <c r="Z181" s="508"/>
      <c r="AA181" s="508"/>
      <c r="AB181" s="508"/>
      <c r="AC181" s="508"/>
      <c r="AD181" s="508"/>
      <c r="AE181" s="508"/>
      <c r="AF181" s="508"/>
    </row>
    <row r="182" spans="16:32" ht="16">
      <c r="P182" s="540">
        <v>45869</v>
      </c>
      <c r="Q182" s="539">
        <v>1.71</v>
      </c>
      <c r="R182" s="541">
        <v>7619600</v>
      </c>
      <c r="S182" s="536"/>
      <c r="T182" s="535"/>
      <c r="U182" s="508"/>
      <c r="V182" s="508"/>
      <c r="W182" s="508"/>
      <c r="X182" s="508"/>
      <c r="Y182" s="508"/>
      <c r="Z182" s="508"/>
      <c r="AA182" s="508"/>
      <c r="AB182" s="508"/>
      <c r="AC182" s="508"/>
      <c r="AD182" s="508"/>
      <c r="AE182" s="508"/>
      <c r="AF182" s="508"/>
    </row>
    <row r="183" spans="16:32" ht="16">
      <c r="P183" s="540">
        <v>45868</v>
      </c>
      <c r="Q183" s="539">
        <v>1.81</v>
      </c>
      <c r="R183" s="541">
        <v>2233400</v>
      </c>
      <c r="S183" s="536"/>
      <c r="T183" s="535"/>
      <c r="U183" s="508"/>
      <c r="V183" s="508"/>
      <c r="W183" s="508"/>
      <c r="X183" s="508"/>
      <c r="Y183" s="508"/>
      <c r="Z183" s="508"/>
      <c r="AA183" s="508"/>
      <c r="AB183" s="508"/>
      <c r="AC183" s="508"/>
      <c r="AD183" s="508"/>
      <c r="AE183" s="508"/>
      <c r="AF183" s="508"/>
    </row>
    <row r="184" spans="16:32" ht="16">
      <c r="P184" s="540">
        <v>45867</v>
      </c>
      <c r="Q184" s="539">
        <v>1.83</v>
      </c>
      <c r="R184" s="541">
        <v>2687000</v>
      </c>
      <c r="S184" s="536"/>
      <c r="T184" s="535"/>
      <c r="U184" s="508"/>
      <c r="V184" s="508"/>
      <c r="W184" s="508"/>
      <c r="X184" s="508"/>
      <c r="Y184" s="508"/>
      <c r="Z184" s="508"/>
      <c r="AA184" s="508"/>
      <c r="AB184" s="508"/>
      <c r="AC184" s="508"/>
      <c r="AD184" s="508"/>
      <c r="AE184" s="508"/>
      <c r="AF184" s="508"/>
    </row>
    <row r="185" spans="16:32" ht="16">
      <c r="P185" s="540">
        <v>45866</v>
      </c>
      <c r="Q185" s="539">
        <v>1.94</v>
      </c>
      <c r="R185" s="541">
        <v>2591500</v>
      </c>
      <c r="S185" s="536"/>
      <c r="T185" s="535"/>
      <c r="U185" s="508"/>
      <c r="V185" s="508"/>
      <c r="W185" s="508"/>
      <c r="X185" s="508"/>
      <c r="Y185" s="508"/>
      <c r="Z185" s="508"/>
      <c r="AA185" s="508"/>
      <c r="AB185" s="508"/>
      <c r="AC185" s="508"/>
      <c r="AD185" s="508"/>
      <c r="AE185" s="508"/>
      <c r="AF185" s="508"/>
    </row>
    <row r="186" spans="16:32" ht="16">
      <c r="P186" s="540">
        <v>45863</v>
      </c>
      <c r="Q186" s="539">
        <v>1.97</v>
      </c>
      <c r="R186" s="541">
        <v>3000500</v>
      </c>
      <c r="S186" s="536"/>
      <c r="T186" s="535"/>
      <c r="U186" s="508"/>
      <c r="V186" s="508"/>
      <c r="W186" s="508"/>
      <c r="X186" s="508"/>
      <c r="Y186" s="508"/>
      <c r="Z186" s="508"/>
      <c r="AA186" s="508"/>
      <c r="AB186" s="508"/>
      <c r="AC186" s="508"/>
      <c r="AD186" s="508"/>
      <c r="AE186" s="508"/>
      <c r="AF186" s="508"/>
    </row>
    <row r="187" spans="16:32" ht="16">
      <c r="P187" s="540">
        <v>45862</v>
      </c>
      <c r="Q187" s="539">
        <v>2.08</v>
      </c>
      <c r="R187" s="541">
        <v>4918900</v>
      </c>
      <c r="S187" s="536"/>
      <c r="T187" s="535"/>
      <c r="U187" s="508"/>
      <c r="V187" s="508"/>
      <c r="W187" s="508"/>
      <c r="X187" s="508"/>
      <c r="Y187" s="508"/>
      <c r="Z187" s="508"/>
      <c r="AA187" s="508"/>
      <c r="AB187" s="508"/>
      <c r="AC187" s="508"/>
      <c r="AD187" s="508"/>
      <c r="AE187" s="508"/>
      <c r="AF187" s="508"/>
    </row>
    <row r="188" spans="16:32" ht="16">
      <c r="P188" s="540">
        <v>45861</v>
      </c>
      <c r="Q188" s="539">
        <v>2.15</v>
      </c>
      <c r="R188" s="541">
        <v>5796800</v>
      </c>
      <c r="S188" s="536"/>
      <c r="T188" s="535"/>
      <c r="U188" s="508"/>
      <c r="V188" s="508"/>
      <c r="W188" s="508"/>
      <c r="X188" s="508"/>
      <c r="Y188" s="508"/>
      <c r="Z188" s="508"/>
      <c r="AA188" s="508"/>
      <c r="AB188" s="508"/>
      <c r="AC188" s="508"/>
      <c r="AD188" s="508"/>
      <c r="AE188" s="508"/>
      <c r="AF188" s="508"/>
    </row>
    <row r="189" spans="16:32" ht="16">
      <c r="P189" s="540">
        <v>45860</v>
      </c>
      <c r="Q189" s="539">
        <v>1.89</v>
      </c>
      <c r="R189" s="541">
        <v>2522000</v>
      </c>
      <c r="S189" s="536"/>
      <c r="T189" s="535"/>
      <c r="U189" s="508"/>
      <c r="V189" s="508"/>
      <c r="W189" s="508"/>
      <c r="X189" s="508"/>
      <c r="Y189" s="508"/>
      <c r="Z189" s="508"/>
      <c r="AA189" s="508"/>
      <c r="AB189" s="508"/>
      <c r="AC189" s="508"/>
      <c r="AD189" s="508"/>
      <c r="AE189" s="508"/>
      <c r="AF189" s="508"/>
    </row>
    <row r="190" spans="16:32" ht="16">
      <c r="P190" s="540">
        <v>45859</v>
      </c>
      <c r="Q190" s="539">
        <v>1.88</v>
      </c>
      <c r="R190" s="541">
        <v>2683100</v>
      </c>
      <c r="S190" s="536"/>
      <c r="T190" s="535"/>
      <c r="U190" s="508"/>
      <c r="V190" s="508"/>
      <c r="W190" s="508"/>
      <c r="X190" s="508"/>
      <c r="Y190" s="508"/>
      <c r="Z190" s="508"/>
      <c r="AA190" s="508"/>
      <c r="AB190" s="508"/>
      <c r="AC190" s="508"/>
      <c r="AD190" s="508"/>
      <c r="AE190" s="508"/>
      <c r="AF190" s="508"/>
    </row>
    <row r="191" spans="16:32" ht="16">
      <c r="P191" s="540">
        <v>45856</v>
      </c>
      <c r="Q191" s="539">
        <v>1.87</v>
      </c>
      <c r="R191" s="541">
        <v>2486300</v>
      </c>
      <c r="S191" s="536"/>
      <c r="T191" s="535"/>
      <c r="U191" s="508"/>
      <c r="V191" s="508"/>
      <c r="W191" s="508"/>
      <c r="X191" s="508"/>
      <c r="Y191" s="508"/>
      <c r="Z191" s="508"/>
      <c r="AA191" s="508"/>
      <c r="AB191" s="508"/>
      <c r="AC191" s="508"/>
      <c r="AD191" s="508"/>
      <c r="AE191" s="508"/>
      <c r="AF191" s="508"/>
    </row>
    <row r="192" spans="16:32" ht="16">
      <c r="P192" s="540">
        <v>45855</v>
      </c>
      <c r="Q192" s="539">
        <v>1.85</v>
      </c>
      <c r="R192" s="541">
        <v>4289900</v>
      </c>
      <c r="S192" s="536"/>
      <c r="T192" s="535"/>
      <c r="U192" s="508"/>
      <c r="V192" s="508"/>
      <c r="W192" s="508"/>
      <c r="X192" s="508"/>
      <c r="Y192" s="508"/>
      <c r="Z192" s="508"/>
      <c r="AA192" s="508"/>
      <c r="AB192" s="508"/>
      <c r="AC192" s="508"/>
      <c r="AD192" s="508"/>
      <c r="AE192" s="508"/>
      <c r="AF192" s="508"/>
    </row>
    <row r="193" spans="16:32" ht="16">
      <c r="P193" s="540">
        <v>45854</v>
      </c>
      <c r="Q193" s="539">
        <v>1.79</v>
      </c>
      <c r="R193" s="541">
        <v>1936200</v>
      </c>
      <c r="S193" s="536"/>
      <c r="T193" s="535"/>
      <c r="U193" s="508"/>
      <c r="V193" s="508"/>
      <c r="W193" s="508"/>
      <c r="X193" s="508"/>
      <c r="Y193" s="508"/>
      <c r="Z193" s="508"/>
      <c r="AA193" s="508"/>
      <c r="AB193" s="508"/>
      <c r="AC193" s="508"/>
      <c r="AD193" s="508"/>
      <c r="AE193" s="508"/>
      <c r="AF193" s="508"/>
    </row>
    <row r="194" spans="16:32" ht="16">
      <c r="P194" s="540">
        <v>45853</v>
      </c>
      <c r="Q194" s="539">
        <v>1.76</v>
      </c>
      <c r="R194" s="541">
        <v>3311000</v>
      </c>
      <c r="S194" s="536"/>
      <c r="T194" s="535"/>
      <c r="U194" s="508"/>
      <c r="V194" s="508"/>
      <c r="W194" s="508"/>
      <c r="X194" s="508"/>
      <c r="Y194" s="508"/>
      <c r="Z194" s="508"/>
      <c r="AA194" s="508"/>
      <c r="AB194" s="508"/>
      <c r="AC194" s="508"/>
      <c r="AD194" s="508"/>
      <c r="AE194" s="508"/>
      <c r="AF194" s="508"/>
    </row>
    <row r="195" spans="16:32" ht="16">
      <c r="P195" s="540">
        <v>45852</v>
      </c>
      <c r="Q195" s="539">
        <v>1.82</v>
      </c>
      <c r="R195" s="541">
        <v>2735000</v>
      </c>
      <c r="S195" s="536"/>
      <c r="T195" s="535"/>
      <c r="U195" s="508"/>
      <c r="V195" s="508"/>
      <c r="W195" s="508"/>
      <c r="X195" s="508"/>
      <c r="Y195" s="508"/>
      <c r="Z195" s="508"/>
      <c r="AA195" s="508"/>
      <c r="AB195" s="508"/>
      <c r="AC195" s="508"/>
      <c r="AD195" s="508"/>
      <c r="AE195" s="508"/>
      <c r="AF195" s="508"/>
    </row>
    <row r="196" spans="16:32" ht="16">
      <c r="P196" s="540">
        <v>45849</v>
      </c>
      <c r="Q196" s="539">
        <v>1.81</v>
      </c>
      <c r="R196" s="541">
        <v>2859200</v>
      </c>
      <c r="S196" s="536"/>
      <c r="T196" s="535"/>
      <c r="U196" s="508"/>
      <c r="V196" s="508"/>
      <c r="W196" s="508"/>
      <c r="X196" s="508"/>
      <c r="Y196" s="508"/>
      <c r="Z196" s="508"/>
      <c r="AA196" s="508"/>
      <c r="AB196" s="508"/>
      <c r="AC196" s="508"/>
      <c r="AD196" s="508"/>
      <c r="AE196" s="508"/>
      <c r="AF196" s="508"/>
    </row>
    <row r="197" spans="16:32" ht="16">
      <c r="P197" s="540">
        <v>45848</v>
      </c>
      <c r="Q197" s="539">
        <v>1.87</v>
      </c>
      <c r="R197" s="541">
        <v>2368800</v>
      </c>
      <c r="S197" s="536"/>
      <c r="T197" s="535"/>
      <c r="U197" s="508"/>
      <c r="V197" s="508"/>
      <c r="W197" s="508"/>
      <c r="X197" s="508"/>
      <c r="Y197" s="508"/>
      <c r="Z197" s="508"/>
      <c r="AA197" s="508"/>
      <c r="AB197" s="508"/>
      <c r="AC197" s="508"/>
      <c r="AD197" s="508"/>
      <c r="AE197" s="508"/>
      <c r="AF197" s="508"/>
    </row>
    <row r="198" spans="16:32" ht="16">
      <c r="P198" s="540">
        <v>45847</v>
      </c>
      <c r="Q198" s="539">
        <v>1.95</v>
      </c>
      <c r="R198" s="541">
        <v>3890000</v>
      </c>
      <c r="S198" s="536"/>
      <c r="T198" s="535"/>
      <c r="U198" s="508"/>
      <c r="V198" s="508"/>
      <c r="W198" s="508"/>
      <c r="X198" s="508"/>
      <c r="Y198" s="508"/>
      <c r="Z198" s="508"/>
      <c r="AA198" s="508"/>
      <c r="AB198" s="508"/>
      <c r="AC198" s="508"/>
      <c r="AD198" s="508"/>
      <c r="AE198" s="508"/>
      <c r="AF198" s="508"/>
    </row>
    <row r="199" spans="16:32" ht="16">
      <c r="P199" s="540">
        <v>45846</v>
      </c>
      <c r="Q199" s="539">
        <v>1.93</v>
      </c>
      <c r="R199" s="541">
        <v>5062600</v>
      </c>
      <c r="S199" s="536"/>
      <c r="T199" s="535"/>
      <c r="U199" s="508"/>
      <c r="V199" s="508"/>
      <c r="W199" s="508"/>
      <c r="X199" s="508"/>
      <c r="Y199" s="508"/>
      <c r="Z199" s="508"/>
      <c r="AA199" s="508"/>
      <c r="AB199" s="508"/>
      <c r="AC199" s="508"/>
      <c r="AD199" s="508"/>
      <c r="AE199" s="508"/>
      <c r="AF199" s="508"/>
    </row>
    <row r="200" spans="16:32" ht="16">
      <c r="P200" s="540">
        <v>45845</v>
      </c>
      <c r="Q200" s="539">
        <v>1.88</v>
      </c>
      <c r="R200" s="541">
        <v>3608400</v>
      </c>
      <c r="S200" s="536"/>
      <c r="T200" s="535"/>
      <c r="U200" s="508"/>
      <c r="V200" s="508"/>
      <c r="W200" s="508"/>
      <c r="X200" s="508"/>
      <c r="Y200" s="508"/>
      <c r="Z200" s="508"/>
      <c r="AA200" s="508"/>
      <c r="AB200" s="508"/>
      <c r="AC200" s="508"/>
      <c r="AD200" s="508"/>
      <c r="AE200" s="508"/>
      <c r="AF200" s="508"/>
    </row>
    <row r="201" spans="16:32" ht="16">
      <c r="P201" s="540">
        <v>45841</v>
      </c>
      <c r="Q201" s="539">
        <v>1.94</v>
      </c>
      <c r="R201" s="541">
        <v>4647900</v>
      </c>
      <c r="S201" s="536"/>
      <c r="T201" s="535"/>
      <c r="U201" s="508"/>
      <c r="V201" s="508"/>
      <c r="W201" s="508"/>
      <c r="X201" s="508"/>
      <c r="Y201" s="508"/>
      <c r="Z201" s="508"/>
      <c r="AA201" s="508"/>
      <c r="AB201" s="508"/>
      <c r="AC201" s="508"/>
      <c r="AD201" s="508"/>
      <c r="AE201" s="508"/>
      <c r="AF201" s="508"/>
    </row>
    <row r="202" spans="16:32" ht="16">
      <c r="P202" s="540">
        <v>45840</v>
      </c>
      <c r="Q202" s="539">
        <v>1.96</v>
      </c>
      <c r="R202" s="541">
        <v>3654900</v>
      </c>
      <c r="S202" s="536"/>
      <c r="T202" s="535"/>
      <c r="U202" s="508"/>
      <c r="V202" s="508"/>
      <c r="W202" s="508"/>
      <c r="X202" s="508"/>
      <c r="Y202" s="508"/>
      <c r="Z202" s="508"/>
      <c r="AA202" s="508"/>
      <c r="AB202" s="508"/>
      <c r="AC202" s="508"/>
      <c r="AD202" s="508"/>
      <c r="AE202" s="508"/>
      <c r="AF202" s="508"/>
    </row>
    <row r="203" spans="16:32" ht="16">
      <c r="P203" s="540">
        <v>45839</v>
      </c>
      <c r="Q203" s="539">
        <v>1.94</v>
      </c>
      <c r="R203" s="541">
        <v>3962000</v>
      </c>
      <c r="S203" s="536"/>
      <c r="T203" s="535"/>
      <c r="U203" s="508"/>
      <c r="V203" s="508"/>
      <c r="W203" s="508"/>
      <c r="X203" s="508"/>
      <c r="Y203" s="508"/>
      <c r="Z203" s="508"/>
      <c r="AA203" s="508"/>
      <c r="AB203" s="508"/>
      <c r="AC203" s="508"/>
      <c r="AD203" s="508"/>
      <c r="AE203" s="508"/>
      <c r="AF203" s="508"/>
    </row>
    <row r="204" spans="16:32" ht="16">
      <c r="P204" s="540">
        <v>45838</v>
      </c>
      <c r="Q204" s="539">
        <v>2</v>
      </c>
      <c r="R204" s="541">
        <v>4496000</v>
      </c>
      <c r="S204" s="536"/>
      <c r="T204" s="535"/>
      <c r="U204" s="508"/>
      <c r="V204" s="508"/>
      <c r="W204" s="508"/>
      <c r="X204" s="508"/>
      <c r="Y204" s="508"/>
      <c r="Z204" s="508"/>
      <c r="AA204" s="508"/>
      <c r="AB204" s="508"/>
      <c r="AC204" s="508"/>
      <c r="AD204" s="508"/>
      <c r="AE204" s="508"/>
      <c r="AF204" s="508"/>
    </row>
    <row r="205" spans="16:32" ht="16">
      <c r="P205" s="540">
        <v>45835</v>
      </c>
      <c r="Q205" s="539">
        <v>1.96</v>
      </c>
      <c r="R205" s="541">
        <v>31480300</v>
      </c>
      <c r="S205" s="536"/>
      <c r="T205" s="535"/>
      <c r="U205" s="508"/>
      <c r="V205" s="508"/>
      <c r="W205" s="508"/>
      <c r="X205" s="508"/>
      <c r="Y205" s="508"/>
      <c r="Z205" s="508"/>
      <c r="AA205" s="508"/>
      <c r="AB205" s="508"/>
      <c r="AC205" s="508"/>
      <c r="AD205" s="508"/>
      <c r="AE205" s="508"/>
      <c r="AF205" s="508"/>
    </row>
    <row r="206" spans="16:32" ht="16">
      <c r="P206" s="540">
        <v>45834</v>
      </c>
      <c r="Q206" s="539">
        <v>2.02</v>
      </c>
      <c r="R206" s="541">
        <v>3805000</v>
      </c>
      <c r="S206" s="536"/>
      <c r="T206" s="535"/>
      <c r="U206" s="508"/>
      <c r="V206" s="508"/>
      <c r="W206" s="508"/>
      <c r="X206" s="508"/>
      <c r="Y206" s="508"/>
      <c r="Z206" s="508"/>
      <c r="AA206" s="508"/>
      <c r="AB206" s="508"/>
      <c r="AC206" s="508"/>
      <c r="AD206" s="508"/>
      <c r="AE206" s="508"/>
      <c r="AF206" s="508"/>
    </row>
    <row r="207" spans="16:32" ht="16">
      <c r="P207" s="540">
        <v>45833</v>
      </c>
      <c r="Q207" s="539">
        <v>1.97</v>
      </c>
      <c r="R207" s="541">
        <v>2962800</v>
      </c>
      <c r="S207" s="536"/>
      <c r="T207" s="535"/>
      <c r="U207" s="508"/>
      <c r="V207" s="508"/>
      <c r="W207" s="508"/>
      <c r="X207" s="508"/>
      <c r="Y207" s="508"/>
      <c r="Z207" s="508"/>
      <c r="AA207" s="508"/>
      <c r="AB207" s="508"/>
      <c r="AC207" s="508"/>
      <c r="AD207" s="508"/>
      <c r="AE207" s="508"/>
      <c r="AF207" s="508"/>
    </row>
    <row r="208" spans="16:32" ht="16">
      <c r="P208" s="540">
        <v>45832</v>
      </c>
      <c r="Q208" s="539">
        <v>2.0099999999999998</v>
      </c>
      <c r="R208" s="541">
        <v>3922700</v>
      </c>
      <c r="S208" s="536"/>
      <c r="T208" s="535"/>
      <c r="U208" s="508"/>
      <c r="V208" s="508"/>
      <c r="W208" s="508"/>
      <c r="X208" s="508"/>
      <c r="Y208" s="508"/>
      <c r="Z208" s="508"/>
      <c r="AA208" s="508"/>
      <c r="AB208" s="508"/>
      <c r="AC208" s="508"/>
      <c r="AD208" s="508"/>
      <c r="AE208" s="508"/>
      <c r="AF208" s="508"/>
    </row>
    <row r="209" spans="16:32" ht="16">
      <c r="P209" s="540">
        <v>45831</v>
      </c>
      <c r="Q209" s="539">
        <v>2.0499999999999998</v>
      </c>
      <c r="R209" s="541">
        <v>3515600</v>
      </c>
      <c r="S209" s="536"/>
      <c r="T209" s="535"/>
      <c r="U209" s="508"/>
      <c r="V209" s="508"/>
      <c r="W209" s="508"/>
      <c r="X209" s="508"/>
      <c r="Y209" s="508"/>
      <c r="Z209" s="508"/>
      <c r="AA209" s="508"/>
      <c r="AB209" s="508"/>
      <c r="AC209" s="508"/>
      <c r="AD209" s="508"/>
      <c r="AE209" s="508"/>
      <c r="AF209" s="508"/>
    </row>
    <row r="210" spans="16:32" ht="16">
      <c r="P210" s="540">
        <v>45828</v>
      </c>
      <c r="Q210" s="539">
        <v>2.08</v>
      </c>
      <c r="R210" s="541">
        <v>4200100</v>
      </c>
      <c r="S210" s="536"/>
      <c r="T210" s="535"/>
      <c r="U210" s="508"/>
      <c r="V210" s="508"/>
      <c r="W210" s="508"/>
      <c r="X210" s="508"/>
      <c r="Y210" s="508"/>
      <c r="Z210" s="508"/>
      <c r="AA210" s="508"/>
      <c r="AB210" s="508"/>
      <c r="AC210" s="508"/>
      <c r="AD210" s="508"/>
      <c r="AE210" s="508"/>
      <c r="AF210" s="508"/>
    </row>
    <row r="211" spans="16:32" ht="16">
      <c r="P211" s="540">
        <v>45826</v>
      </c>
      <c r="Q211" s="539">
        <v>2.16</v>
      </c>
      <c r="R211" s="541">
        <v>3123000</v>
      </c>
      <c r="S211" s="536"/>
      <c r="T211" s="535"/>
      <c r="U211" s="508"/>
      <c r="V211" s="508"/>
      <c r="W211" s="508"/>
      <c r="X211" s="508"/>
      <c r="Y211" s="508"/>
      <c r="Z211" s="508"/>
      <c r="AA211" s="508"/>
      <c r="AB211" s="508"/>
      <c r="AC211" s="508"/>
      <c r="AD211" s="508"/>
      <c r="AE211" s="508"/>
      <c r="AF211" s="508"/>
    </row>
    <row r="212" spans="16:32" ht="16">
      <c r="P212" s="540">
        <v>45825</v>
      </c>
      <c r="Q212" s="539">
        <v>2.2000000000000002</v>
      </c>
      <c r="R212" s="541">
        <v>3297000</v>
      </c>
      <c r="S212" s="536"/>
      <c r="T212" s="535"/>
      <c r="U212" s="508"/>
      <c r="V212" s="508"/>
      <c r="W212" s="508"/>
      <c r="X212" s="508"/>
      <c r="Y212" s="508"/>
      <c r="Z212" s="508"/>
      <c r="AA212" s="508"/>
      <c r="AB212" s="508"/>
      <c r="AC212" s="508"/>
      <c r="AD212" s="508"/>
      <c r="AE212" s="508"/>
      <c r="AF212" s="508"/>
    </row>
    <row r="213" spans="16:32" ht="16">
      <c r="P213" s="540">
        <v>45824</v>
      </c>
      <c r="Q213" s="539">
        <v>2.31</v>
      </c>
      <c r="R213" s="541">
        <v>2190300</v>
      </c>
      <c r="S213" s="536"/>
      <c r="T213" s="535"/>
      <c r="U213" s="508"/>
      <c r="V213" s="508"/>
      <c r="W213" s="508"/>
      <c r="X213" s="508"/>
      <c r="Y213" s="508"/>
      <c r="Z213" s="508"/>
      <c r="AA213" s="508"/>
      <c r="AB213" s="508"/>
      <c r="AC213" s="508"/>
      <c r="AD213" s="508"/>
      <c r="AE213" s="508"/>
      <c r="AF213" s="508"/>
    </row>
    <row r="214" spans="16:32" ht="16">
      <c r="P214" s="540">
        <v>45821</v>
      </c>
      <c r="Q214" s="539">
        <v>2.2999999999999998</v>
      </c>
      <c r="R214" s="541">
        <v>2921600</v>
      </c>
      <c r="S214" s="536"/>
      <c r="T214" s="535"/>
      <c r="U214" s="508"/>
      <c r="V214" s="508"/>
      <c r="W214" s="508"/>
      <c r="X214" s="508"/>
      <c r="Y214" s="508"/>
      <c r="Z214" s="508"/>
      <c r="AA214" s="508"/>
      <c r="AB214" s="508"/>
      <c r="AC214" s="508"/>
      <c r="AD214" s="508"/>
      <c r="AE214" s="508"/>
      <c r="AF214" s="508"/>
    </row>
    <row r="215" spans="16:32" ht="16">
      <c r="P215" s="540">
        <v>45820</v>
      </c>
      <c r="Q215" s="539">
        <v>2.44</v>
      </c>
      <c r="R215" s="541">
        <v>2452800</v>
      </c>
      <c r="S215" s="536"/>
      <c r="T215" s="535"/>
      <c r="U215" s="508"/>
      <c r="V215" s="508"/>
      <c r="W215" s="508"/>
      <c r="X215" s="508"/>
      <c r="Y215" s="508"/>
      <c r="Z215" s="508"/>
      <c r="AA215" s="508"/>
      <c r="AB215" s="508"/>
      <c r="AC215" s="508"/>
      <c r="AD215" s="508"/>
      <c r="AE215" s="508"/>
      <c r="AF215" s="508"/>
    </row>
    <row r="216" spans="16:32" ht="16">
      <c r="P216" s="540">
        <v>45819</v>
      </c>
      <c r="Q216" s="539">
        <v>2.52</v>
      </c>
      <c r="R216" s="541">
        <v>3612800</v>
      </c>
      <c r="S216" s="536"/>
      <c r="T216" s="535"/>
      <c r="U216" s="508"/>
      <c r="V216" s="508"/>
      <c r="W216" s="508"/>
      <c r="X216" s="508"/>
      <c r="Y216" s="508"/>
      <c r="Z216" s="508"/>
      <c r="AA216" s="508"/>
      <c r="AB216" s="508"/>
      <c r="AC216" s="508"/>
      <c r="AD216" s="508"/>
      <c r="AE216" s="508"/>
      <c r="AF216" s="508"/>
    </row>
    <row r="217" spans="16:32" ht="16">
      <c r="P217" s="540">
        <v>45818</v>
      </c>
      <c r="Q217" s="539">
        <v>2.61</v>
      </c>
      <c r="R217" s="541">
        <v>3936700</v>
      </c>
      <c r="S217" s="536"/>
      <c r="T217" s="535"/>
      <c r="U217" s="508"/>
      <c r="V217" s="508"/>
      <c r="W217" s="508"/>
      <c r="X217" s="508"/>
      <c r="Y217" s="508"/>
      <c r="Z217" s="508"/>
      <c r="AA217" s="508"/>
      <c r="AB217" s="508"/>
      <c r="AC217" s="508"/>
      <c r="AD217" s="508"/>
      <c r="AE217" s="508"/>
      <c r="AF217" s="508"/>
    </row>
    <row r="218" spans="16:32" ht="16">
      <c r="P218" s="540">
        <v>45817</v>
      </c>
      <c r="Q218" s="539">
        <v>2.48</v>
      </c>
      <c r="R218" s="541">
        <v>1887900</v>
      </c>
      <c r="S218" s="536"/>
      <c r="T218" s="535"/>
      <c r="U218" s="508"/>
      <c r="V218" s="508"/>
      <c r="W218" s="508"/>
      <c r="X218" s="508"/>
      <c r="Y218" s="508"/>
      <c r="Z218" s="508"/>
      <c r="AA218" s="508"/>
      <c r="AB218" s="508"/>
      <c r="AC218" s="508"/>
      <c r="AD218" s="508"/>
      <c r="AE218" s="508"/>
      <c r="AF218" s="508"/>
    </row>
    <row r="219" spans="16:32" ht="16">
      <c r="P219" s="540">
        <v>45814</v>
      </c>
      <c r="Q219" s="539">
        <v>2.48</v>
      </c>
      <c r="R219" s="541">
        <v>3365000</v>
      </c>
      <c r="S219" s="536"/>
      <c r="T219" s="535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</row>
    <row r="220" spans="16:32" ht="16">
      <c r="P220" s="540">
        <v>45813</v>
      </c>
      <c r="Q220" s="539">
        <v>2.35</v>
      </c>
      <c r="R220" s="541">
        <v>2578400</v>
      </c>
      <c r="S220" s="536"/>
      <c r="T220" s="535"/>
      <c r="U220" s="508"/>
      <c r="V220" s="508"/>
      <c r="W220" s="508"/>
      <c r="X220" s="508"/>
      <c r="Y220" s="508"/>
      <c r="Z220" s="508"/>
      <c r="AA220" s="508"/>
      <c r="AB220" s="508"/>
      <c r="AC220" s="508"/>
      <c r="AD220" s="508"/>
      <c r="AE220" s="508"/>
      <c r="AF220" s="508"/>
    </row>
    <row r="221" spans="16:32" ht="16">
      <c r="P221" s="540">
        <v>45812</v>
      </c>
      <c r="Q221" s="539">
        <v>2.39</v>
      </c>
      <c r="R221" s="541">
        <v>1634200</v>
      </c>
      <c r="S221" s="536"/>
      <c r="T221" s="535"/>
      <c r="U221" s="508"/>
      <c r="V221" s="508"/>
      <c r="W221" s="508"/>
      <c r="X221" s="508"/>
      <c r="Y221" s="508"/>
      <c r="Z221" s="508"/>
      <c r="AA221" s="508"/>
      <c r="AB221" s="508"/>
      <c r="AC221" s="508"/>
      <c r="AD221" s="508"/>
      <c r="AE221" s="508"/>
      <c r="AF221" s="508"/>
    </row>
    <row r="222" spans="16:32" ht="16">
      <c r="P222" s="540">
        <v>45811</v>
      </c>
      <c r="Q222" s="539">
        <v>2.36</v>
      </c>
      <c r="R222" s="541">
        <v>1715300</v>
      </c>
      <c r="S222" s="536"/>
      <c r="T222" s="535"/>
      <c r="U222" s="508"/>
      <c r="V222" s="508"/>
      <c r="W222" s="508"/>
      <c r="X222" s="508"/>
      <c r="Y222" s="508"/>
      <c r="Z222" s="508"/>
      <c r="AA222" s="508"/>
      <c r="AB222" s="508"/>
      <c r="AC222" s="508"/>
      <c r="AD222" s="508"/>
      <c r="AE222" s="508"/>
      <c r="AF222" s="508"/>
    </row>
    <row r="223" spans="16:32" ht="16">
      <c r="P223" s="540">
        <v>45810</v>
      </c>
      <c r="Q223" s="539">
        <v>2.31</v>
      </c>
      <c r="R223" s="541">
        <v>3764900</v>
      </c>
      <c r="S223" s="536"/>
      <c r="T223" s="535"/>
      <c r="U223" s="508"/>
      <c r="V223" s="508"/>
      <c r="W223" s="508"/>
      <c r="X223" s="508"/>
      <c r="Y223" s="508"/>
      <c r="Z223" s="508"/>
      <c r="AA223" s="508"/>
      <c r="AB223" s="508"/>
      <c r="AC223" s="508"/>
      <c r="AD223" s="508"/>
      <c r="AE223" s="508"/>
      <c r="AF223" s="508"/>
    </row>
    <row r="224" spans="16:32" ht="16">
      <c r="P224" s="540">
        <v>45807</v>
      </c>
      <c r="Q224" s="539">
        <v>2.4</v>
      </c>
      <c r="R224" s="541">
        <v>3683100</v>
      </c>
      <c r="S224" s="536"/>
      <c r="T224" s="535"/>
      <c r="U224" s="508"/>
      <c r="V224" s="508"/>
      <c r="W224" s="508"/>
      <c r="X224" s="508"/>
      <c r="Y224" s="508"/>
      <c r="Z224" s="508"/>
      <c r="AA224" s="508"/>
      <c r="AB224" s="508"/>
      <c r="AC224" s="508"/>
      <c r="AD224" s="508"/>
      <c r="AE224" s="508"/>
      <c r="AF224" s="508"/>
    </row>
    <row r="225" spans="16:32" ht="16">
      <c r="P225" s="540">
        <v>45806</v>
      </c>
      <c r="Q225" s="539">
        <v>2.4300000000000002</v>
      </c>
      <c r="R225" s="541">
        <v>4266000</v>
      </c>
      <c r="S225" s="536"/>
      <c r="T225" s="535"/>
      <c r="U225" s="508"/>
      <c r="V225" s="508"/>
      <c r="W225" s="508"/>
      <c r="X225" s="508"/>
      <c r="Y225" s="508"/>
      <c r="Z225" s="508"/>
      <c r="AA225" s="508"/>
      <c r="AB225" s="508"/>
      <c r="AC225" s="508"/>
      <c r="AD225" s="508"/>
      <c r="AE225" s="508"/>
      <c r="AF225" s="508"/>
    </row>
    <row r="226" spans="16:32" ht="16">
      <c r="P226" s="540">
        <v>45805</v>
      </c>
      <c r="Q226" s="539">
        <v>2.63</v>
      </c>
      <c r="R226" s="541">
        <v>5511300</v>
      </c>
      <c r="S226" s="536"/>
      <c r="T226" s="535"/>
      <c r="U226" s="508"/>
      <c r="V226" s="508"/>
      <c r="W226" s="508"/>
      <c r="X226" s="508"/>
      <c r="Y226" s="508"/>
      <c r="Z226" s="508"/>
      <c r="AA226" s="508"/>
      <c r="AB226" s="508"/>
      <c r="AC226" s="508"/>
      <c r="AD226" s="508"/>
      <c r="AE226" s="508"/>
      <c r="AF226" s="508"/>
    </row>
    <row r="227" spans="16:32" ht="16">
      <c r="P227" s="540">
        <v>45804</v>
      </c>
      <c r="Q227" s="539">
        <v>2.5299999999999998</v>
      </c>
      <c r="R227" s="541">
        <v>5994700</v>
      </c>
      <c r="S227" s="536"/>
      <c r="T227" s="535"/>
      <c r="U227" s="508"/>
      <c r="V227" s="508"/>
      <c r="W227" s="508"/>
      <c r="X227" s="508"/>
      <c r="Y227" s="508"/>
      <c r="Z227" s="508"/>
      <c r="AA227" s="508"/>
      <c r="AB227" s="508"/>
      <c r="AC227" s="508"/>
      <c r="AD227" s="508"/>
      <c r="AE227" s="508"/>
      <c r="AF227" s="508"/>
    </row>
    <row r="228" spans="16:32" ht="16">
      <c r="P228" s="540">
        <v>45800</v>
      </c>
      <c r="Q228" s="539">
        <v>2.17</v>
      </c>
      <c r="R228" s="541">
        <v>3926500</v>
      </c>
      <c r="S228" s="536"/>
      <c r="T228" s="535"/>
      <c r="U228" s="508"/>
      <c r="V228" s="508"/>
      <c r="W228" s="508"/>
      <c r="X228" s="508"/>
      <c r="Y228" s="508"/>
      <c r="Z228" s="508"/>
      <c r="AA228" s="508"/>
      <c r="AB228" s="508"/>
      <c r="AC228" s="508"/>
      <c r="AD228" s="508"/>
      <c r="AE228" s="508"/>
      <c r="AF228" s="508"/>
    </row>
    <row r="229" spans="16:32" ht="16">
      <c r="P229" s="540">
        <v>45799</v>
      </c>
      <c r="Q229" s="539">
        <v>2.14</v>
      </c>
      <c r="R229" s="541">
        <v>1807400</v>
      </c>
      <c r="S229" s="536"/>
      <c r="T229" s="535"/>
      <c r="U229" s="508"/>
      <c r="V229" s="508"/>
      <c r="W229" s="508"/>
      <c r="X229" s="508"/>
      <c r="Y229" s="508"/>
      <c r="Z229" s="508"/>
      <c r="AA229" s="508"/>
      <c r="AB229" s="508"/>
      <c r="AC229" s="508"/>
      <c r="AD229" s="508"/>
      <c r="AE229" s="508"/>
      <c r="AF229" s="508"/>
    </row>
    <row r="230" spans="16:32" ht="16">
      <c r="P230" s="540">
        <v>45798</v>
      </c>
      <c r="Q230" s="539">
        <v>2.16</v>
      </c>
      <c r="R230" s="541">
        <v>2684400</v>
      </c>
      <c r="S230" s="536"/>
      <c r="T230" s="535"/>
      <c r="U230" s="508"/>
      <c r="V230" s="508"/>
      <c r="W230" s="508"/>
      <c r="X230" s="508"/>
      <c r="Y230" s="508"/>
      <c r="Z230" s="508"/>
      <c r="AA230" s="508"/>
      <c r="AB230" s="508"/>
      <c r="AC230" s="508"/>
      <c r="AD230" s="508"/>
      <c r="AE230" s="508"/>
      <c r="AF230" s="508"/>
    </row>
    <row r="231" spans="16:32" ht="16">
      <c r="P231" s="540">
        <v>45797</v>
      </c>
      <c r="Q231" s="539">
        <v>2.29</v>
      </c>
      <c r="R231" s="541">
        <v>2004500</v>
      </c>
      <c r="S231" s="536"/>
      <c r="T231" s="535"/>
      <c r="U231" s="508"/>
      <c r="V231" s="508"/>
      <c r="W231" s="508"/>
      <c r="X231" s="508"/>
      <c r="Y231" s="508"/>
      <c r="Z231" s="508"/>
      <c r="AA231" s="508"/>
      <c r="AB231" s="508"/>
      <c r="AC231" s="508"/>
      <c r="AD231" s="508"/>
      <c r="AE231" s="508"/>
      <c r="AF231" s="508"/>
    </row>
    <row r="232" spans="16:32" ht="16">
      <c r="P232" s="540">
        <v>45796</v>
      </c>
      <c r="Q232" s="539">
        <v>2.3199999999999998</v>
      </c>
      <c r="R232" s="541">
        <v>1834400</v>
      </c>
      <c r="S232" s="536"/>
      <c r="T232" s="535"/>
      <c r="U232" s="508"/>
      <c r="V232" s="508"/>
      <c r="W232" s="508"/>
      <c r="X232" s="508"/>
      <c r="Y232" s="508"/>
      <c r="Z232" s="508"/>
      <c r="AA232" s="508"/>
      <c r="AB232" s="508"/>
      <c r="AC232" s="508"/>
      <c r="AD232" s="508"/>
      <c r="AE232" s="508"/>
      <c r="AF232" s="508"/>
    </row>
    <row r="233" spans="16:32" ht="16">
      <c r="P233" s="540">
        <v>45793</v>
      </c>
      <c r="Q233" s="539">
        <v>2.35</v>
      </c>
      <c r="R233" s="541">
        <v>2322700</v>
      </c>
      <c r="S233" s="536"/>
      <c r="T233" s="535"/>
      <c r="U233" s="508"/>
      <c r="V233" s="508"/>
      <c r="W233" s="508"/>
      <c r="X233" s="508"/>
      <c r="Y233" s="508"/>
      <c r="Z233" s="508"/>
      <c r="AA233" s="508"/>
      <c r="AB233" s="508"/>
      <c r="AC233" s="508"/>
      <c r="AD233" s="508"/>
      <c r="AE233" s="508"/>
      <c r="AF233" s="508"/>
    </row>
    <row r="234" spans="16:32" ht="16">
      <c r="P234" s="540">
        <v>45792</v>
      </c>
      <c r="Q234" s="539">
        <v>2.2999999999999998</v>
      </c>
      <c r="R234" s="541">
        <v>2308400</v>
      </c>
      <c r="S234" s="536"/>
      <c r="T234" s="535"/>
      <c r="U234" s="508"/>
      <c r="V234" s="508"/>
      <c r="W234" s="508"/>
      <c r="X234" s="508"/>
      <c r="Y234" s="508"/>
      <c r="Z234" s="508"/>
      <c r="AA234" s="508"/>
      <c r="AB234" s="508"/>
      <c r="AC234" s="508"/>
      <c r="AD234" s="508"/>
      <c r="AE234" s="508"/>
      <c r="AF234" s="508"/>
    </row>
    <row r="235" spans="16:32" ht="16">
      <c r="P235" s="540">
        <v>45791</v>
      </c>
      <c r="Q235" s="539">
        <v>2.31</v>
      </c>
      <c r="R235" s="541">
        <v>1934000</v>
      </c>
      <c r="S235" s="536"/>
      <c r="T235" s="535"/>
      <c r="U235" s="508"/>
      <c r="V235" s="508"/>
      <c r="W235" s="508"/>
      <c r="X235" s="508"/>
      <c r="Y235" s="508"/>
      <c r="Z235" s="508"/>
      <c r="AA235" s="508"/>
      <c r="AB235" s="508"/>
      <c r="AC235" s="508"/>
      <c r="AD235" s="508"/>
      <c r="AE235" s="508"/>
      <c r="AF235" s="508"/>
    </row>
    <row r="236" spans="16:32" ht="16">
      <c r="P236" s="540">
        <v>45790</v>
      </c>
      <c r="Q236" s="539">
        <v>2.38</v>
      </c>
      <c r="R236" s="541">
        <v>2308000</v>
      </c>
      <c r="S236" s="536"/>
      <c r="T236" s="535"/>
      <c r="U236" s="508"/>
      <c r="V236" s="508"/>
      <c r="W236" s="508"/>
      <c r="X236" s="508"/>
      <c r="Y236" s="508"/>
      <c r="Z236" s="508"/>
      <c r="AA236" s="508"/>
      <c r="AB236" s="508"/>
      <c r="AC236" s="508"/>
      <c r="AD236" s="508"/>
      <c r="AE236" s="508"/>
      <c r="AF236" s="508"/>
    </row>
    <row r="237" spans="16:32" ht="16">
      <c r="P237" s="540">
        <v>45789</v>
      </c>
      <c r="Q237" s="539">
        <v>2.35</v>
      </c>
      <c r="R237" s="541">
        <v>3236600</v>
      </c>
      <c r="S237" s="536"/>
      <c r="T237" s="535"/>
      <c r="U237" s="508"/>
      <c r="V237" s="508"/>
      <c r="W237" s="508"/>
      <c r="X237" s="508"/>
      <c r="Y237" s="508"/>
      <c r="Z237" s="508"/>
      <c r="AA237" s="508"/>
      <c r="AB237" s="508"/>
      <c r="AC237" s="508"/>
      <c r="AD237" s="508"/>
      <c r="AE237" s="508"/>
      <c r="AF237" s="508"/>
    </row>
    <row r="238" spans="16:32" ht="16">
      <c r="P238" s="540">
        <v>45786</v>
      </c>
      <c r="Q238" s="539">
        <v>2.23</v>
      </c>
      <c r="R238" s="541">
        <v>2699900</v>
      </c>
      <c r="S238" s="536"/>
      <c r="T238" s="535"/>
      <c r="U238" s="508"/>
      <c r="V238" s="508"/>
      <c r="W238" s="508"/>
      <c r="X238" s="508"/>
      <c r="Y238" s="508"/>
      <c r="Z238" s="508"/>
      <c r="AA238" s="508"/>
      <c r="AB238" s="508"/>
      <c r="AC238" s="508"/>
      <c r="AD238" s="508"/>
      <c r="AE238" s="508"/>
      <c r="AF238" s="508"/>
    </row>
    <row r="239" spans="16:32" ht="16">
      <c r="P239" s="540">
        <v>45785</v>
      </c>
      <c r="Q239" s="539">
        <v>2.27</v>
      </c>
      <c r="R239" s="541">
        <v>2830300</v>
      </c>
      <c r="S239" s="536"/>
      <c r="T239" s="535"/>
      <c r="U239" s="508"/>
      <c r="V239" s="508"/>
      <c r="W239" s="508"/>
      <c r="X239" s="508"/>
      <c r="Y239" s="508"/>
      <c r="Z239" s="508"/>
      <c r="AA239" s="508"/>
      <c r="AB239" s="508"/>
      <c r="AC239" s="508"/>
      <c r="AD239" s="508"/>
      <c r="AE239" s="508"/>
      <c r="AF239" s="508"/>
    </row>
    <row r="240" spans="16:32" ht="16">
      <c r="P240" s="540">
        <v>45784</v>
      </c>
      <c r="Q240" s="539">
        <v>2.1800000000000002</v>
      </c>
      <c r="R240" s="541">
        <v>2129000</v>
      </c>
      <c r="S240" s="536"/>
      <c r="T240" s="535"/>
      <c r="U240" s="508"/>
      <c r="V240" s="508"/>
      <c r="W240" s="508"/>
      <c r="X240" s="508"/>
      <c r="Y240" s="508"/>
      <c r="Z240" s="508"/>
      <c r="AA240" s="508"/>
      <c r="AB240" s="508"/>
      <c r="AC240" s="508"/>
      <c r="AD240" s="508"/>
      <c r="AE240" s="508"/>
      <c r="AF240" s="508"/>
    </row>
    <row r="241" spans="16:32" ht="16">
      <c r="P241" s="540">
        <v>45783</v>
      </c>
      <c r="Q241" s="539">
        <v>2.17</v>
      </c>
      <c r="R241" s="541">
        <v>2314700</v>
      </c>
      <c r="S241" s="536"/>
      <c r="T241" s="535"/>
      <c r="U241" s="508"/>
      <c r="V241" s="508"/>
      <c r="W241" s="508"/>
      <c r="X241" s="508"/>
      <c r="Y241" s="508"/>
      <c r="Z241" s="508"/>
      <c r="AA241" s="508"/>
      <c r="AB241" s="508"/>
      <c r="AC241" s="508"/>
      <c r="AD241" s="508"/>
      <c r="AE241" s="508"/>
      <c r="AF241" s="508"/>
    </row>
    <row r="242" spans="16:32" ht="16">
      <c r="P242" s="540">
        <v>45782</v>
      </c>
      <c r="Q242" s="539">
        <v>2.2200000000000002</v>
      </c>
      <c r="R242" s="541">
        <v>3127700</v>
      </c>
      <c r="S242" s="536"/>
      <c r="T242" s="535"/>
      <c r="U242" s="508"/>
      <c r="V242" s="508"/>
      <c r="W242" s="508"/>
      <c r="X242" s="508"/>
      <c r="Y242" s="508"/>
      <c r="Z242" s="508"/>
      <c r="AA242" s="508"/>
      <c r="AB242" s="508"/>
      <c r="AC242" s="508"/>
      <c r="AD242" s="508"/>
      <c r="AE242" s="508"/>
      <c r="AF242" s="508"/>
    </row>
    <row r="243" spans="16:32" ht="16">
      <c r="P243" s="540">
        <v>45779</v>
      </c>
      <c r="Q243" s="539">
        <v>2.33</v>
      </c>
      <c r="R243" s="541">
        <v>4861500</v>
      </c>
      <c r="S243" s="536"/>
      <c r="T243" s="535"/>
      <c r="U243" s="508"/>
      <c r="V243" s="508"/>
      <c r="W243" s="508"/>
      <c r="X243" s="508"/>
      <c r="Y243" s="508"/>
      <c r="Z243" s="508"/>
      <c r="AA243" s="508"/>
      <c r="AB243" s="508"/>
      <c r="AC243" s="508"/>
      <c r="AD243" s="508"/>
      <c r="AE243" s="508"/>
      <c r="AF243" s="508"/>
    </row>
    <row r="244" spans="16:32" ht="16">
      <c r="P244" s="540">
        <v>45778</v>
      </c>
      <c r="Q244" s="539">
        <v>2.34</v>
      </c>
      <c r="R244" s="541">
        <v>2815400</v>
      </c>
      <c r="S244" s="536"/>
      <c r="T244" s="535"/>
      <c r="U244" s="508"/>
      <c r="V244" s="508"/>
      <c r="W244" s="508"/>
      <c r="X244" s="508"/>
      <c r="Y244" s="508"/>
      <c r="Z244" s="508"/>
      <c r="AA244" s="508"/>
      <c r="AB244" s="508"/>
      <c r="AC244" s="508"/>
      <c r="AD244" s="508"/>
      <c r="AE244" s="508"/>
      <c r="AF244" s="508"/>
    </row>
    <row r="245" spans="16:32" ht="16">
      <c r="P245" s="540">
        <v>45777</v>
      </c>
      <c r="Q245" s="539">
        <v>2.34</v>
      </c>
      <c r="R245" s="541">
        <v>1749500</v>
      </c>
      <c r="S245" s="536"/>
      <c r="T245" s="535"/>
      <c r="U245" s="508"/>
      <c r="V245" s="508"/>
      <c r="W245" s="508"/>
      <c r="X245" s="508"/>
      <c r="Y245" s="508"/>
      <c r="Z245" s="508"/>
      <c r="AA245" s="508"/>
      <c r="AB245" s="508"/>
      <c r="AC245" s="508"/>
      <c r="AD245" s="508"/>
      <c r="AE245" s="508"/>
      <c r="AF245" s="508"/>
    </row>
    <row r="246" spans="16:32" ht="16">
      <c r="P246" s="540">
        <v>45776</v>
      </c>
      <c r="Q246" s="539">
        <v>2.4</v>
      </c>
      <c r="R246" s="541">
        <v>1338600</v>
      </c>
      <c r="S246" s="536"/>
      <c r="T246" s="535"/>
      <c r="U246" s="508"/>
      <c r="V246" s="508"/>
      <c r="W246" s="508"/>
      <c r="X246" s="508"/>
      <c r="Y246" s="508"/>
      <c r="Z246" s="508"/>
      <c r="AA246" s="508"/>
      <c r="AB246" s="508"/>
      <c r="AC246" s="508"/>
      <c r="AD246" s="508"/>
      <c r="AE246" s="508"/>
      <c r="AF246" s="508"/>
    </row>
    <row r="247" spans="16:32" ht="16">
      <c r="P247" s="540">
        <v>45775</v>
      </c>
      <c r="Q247" s="539">
        <v>2.4300000000000002</v>
      </c>
      <c r="R247" s="541">
        <v>3132600</v>
      </c>
      <c r="S247" s="536"/>
      <c r="T247" s="535"/>
      <c r="U247" s="508"/>
      <c r="V247" s="508"/>
      <c r="W247" s="508"/>
      <c r="X247" s="508"/>
      <c r="Y247" s="508"/>
      <c r="Z247" s="508"/>
      <c r="AA247" s="508"/>
      <c r="AB247" s="508"/>
      <c r="AC247" s="508"/>
      <c r="AD247" s="508"/>
      <c r="AE247" s="508"/>
      <c r="AF247" s="508"/>
    </row>
    <row r="248" spans="16:32" ht="16">
      <c r="P248" s="540">
        <v>45772</v>
      </c>
      <c r="Q248" s="539">
        <v>2.44</v>
      </c>
      <c r="R248" s="541">
        <v>1976900</v>
      </c>
      <c r="S248" s="536"/>
      <c r="T248" s="535"/>
      <c r="U248" s="508"/>
      <c r="V248" s="508"/>
      <c r="W248" s="508"/>
      <c r="X248" s="508"/>
      <c r="Y248" s="508"/>
      <c r="Z248" s="508"/>
      <c r="AA248" s="508"/>
      <c r="AB248" s="508"/>
      <c r="AC248" s="508"/>
      <c r="AD248" s="508"/>
      <c r="AE248" s="508"/>
      <c r="AF248" s="508"/>
    </row>
    <row r="249" spans="16:32" ht="16">
      <c r="P249" s="540">
        <v>45771</v>
      </c>
      <c r="Q249" s="539">
        <v>2.48</v>
      </c>
      <c r="R249" s="541">
        <v>949200</v>
      </c>
      <c r="S249" s="536"/>
      <c r="T249" s="535"/>
      <c r="U249" s="508"/>
      <c r="V249" s="508"/>
      <c r="W249" s="508"/>
      <c r="X249" s="508"/>
      <c r="Y249" s="508"/>
      <c r="Z249" s="508"/>
      <c r="AA249" s="508"/>
      <c r="AB249" s="508"/>
      <c r="AC249" s="508"/>
      <c r="AD249" s="508"/>
      <c r="AE249" s="508"/>
      <c r="AF249" s="508"/>
    </row>
    <row r="250" spans="16:32" ht="16">
      <c r="P250" s="540">
        <v>45770</v>
      </c>
      <c r="Q250" s="539">
        <v>2.41</v>
      </c>
      <c r="R250" s="541">
        <v>1851800</v>
      </c>
      <c r="S250" s="536"/>
      <c r="T250" s="535"/>
      <c r="U250" s="508"/>
      <c r="V250" s="508"/>
      <c r="W250" s="508"/>
      <c r="X250" s="508"/>
      <c r="Y250" s="508"/>
      <c r="Z250" s="508"/>
      <c r="AA250" s="508"/>
      <c r="AB250" s="508"/>
      <c r="AC250" s="508"/>
      <c r="AD250" s="508"/>
      <c r="AE250" s="508"/>
      <c r="AF250" s="508"/>
    </row>
    <row r="251" spans="16:32" ht="16">
      <c r="P251" s="540">
        <v>45769</v>
      </c>
      <c r="Q251" s="539">
        <v>2.38</v>
      </c>
      <c r="R251" s="541">
        <v>1799200</v>
      </c>
      <c r="S251" s="536"/>
      <c r="T251" s="535"/>
      <c r="U251" s="508"/>
      <c r="V251" s="508"/>
      <c r="W251" s="508"/>
      <c r="X251" s="508"/>
      <c r="Y251" s="508"/>
      <c r="Z251" s="508"/>
      <c r="AA251" s="508"/>
      <c r="AB251" s="508"/>
      <c r="AC251" s="508"/>
      <c r="AD251" s="508"/>
      <c r="AE251" s="508"/>
      <c r="AF251" s="508"/>
    </row>
    <row r="252" spans="16:32" ht="16">
      <c r="P252" s="540">
        <v>45768</v>
      </c>
      <c r="Q252" s="539">
        <v>2.29</v>
      </c>
      <c r="R252" s="541">
        <v>1696100</v>
      </c>
      <c r="S252" s="536"/>
      <c r="T252" s="535"/>
      <c r="U252" s="508"/>
      <c r="V252" s="508"/>
      <c r="W252" s="508"/>
      <c r="X252" s="508"/>
      <c r="Y252" s="508"/>
      <c r="Z252" s="508"/>
      <c r="AA252" s="508"/>
      <c r="AB252" s="508"/>
      <c r="AC252" s="508"/>
      <c r="AD252" s="508"/>
      <c r="AE252" s="508"/>
      <c r="AF252" s="508"/>
    </row>
    <row r="253" spans="16:32" ht="16">
      <c r="P253" s="540">
        <v>45764</v>
      </c>
      <c r="Q253" s="539">
        <v>2.34</v>
      </c>
      <c r="R253" s="541">
        <v>2123800</v>
      </c>
      <c r="S253" s="536"/>
      <c r="T253" s="535"/>
      <c r="U253" s="508"/>
      <c r="V253" s="508"/>
      <c r="W253" s="508"/>
      <c r="X253" s="508"/>
      <c r="Y253" s="508"/>
      <c r="Z253" s="508"/>
      <c r="AA253" s="508"/>
      <c r="AB253" s="508"/>
      <c r="AC253" s="508"/>
      <c r="AD253" s="508"/>
      <c r="AE253" s="508"/>
      <c r="AF253" s="508"/>
    </row>
    <row r="254" spans="16:32" ht="16">
      <c r="P254" s="540">
        <v>45763</v>
      </c>
      <c r="Q254" s="539">
        <v>2.35</v>
      </c>
      <c r="R254" s="541">
        <v>3630600</v>
      </c>
      <c r="S254" s="536"/>
      <c r="T254" s="535"/>
      <c r="U254" s="508"/>
      <c r="V254" s="508"/>
      <c r="W254" s="508"/>
      <c r="X254" s="508"/>
      <c r="Y254" s="508"/>
      <c r="Z254" s="508"/>
      <c r="AA254" s="508"/>
      <c r="AB254" s="508"/>
      <c r="AC254" s="508"/>
      <c r="AD254" s="508"/>
      <c r="AE254" s="508"/>
      <c r="AF254" s="508"/>
    </row>
    <row r="255" spans="16:32" ht="16">
      <c r="P255" s="540">
        <v>45762</v>
      </c>
      <c r="Q255" s="539">
        <v>2.52</v>
      </c>
      <c r="R255" s="541">
        <v>3808600</v>
      </c>
      <c r="S255" s="536"/>
      <c r="T255" s="535"/>
      <c r="U255" s="508"/>
      <c r="V255" s="508"/>
      <c r="W255" s="508"/>
      <c r="X255" s="508"/>
      <c r="Y255" s="508"/>
      <c r="Z255" s="508"/>
      <c r="AA255" s="508"/>
      <c r="AB255" s="508"/>
      <c r="AC255" s="508"/>
      <c r="AD255" s="508"/>
      <c r="AE255" s="508"/>
      <c r="AF255" s="508"/>
    </row>
    <row r="256" spans="16:32" ht="16">
      <c r="P256" s="540">
        <v>45761</v>
      </c>
      <c r="Q256" s="539">
        <v>2.52</v>
      </c>
      <c r="R256" s="541">
        <v>4579100</v>
      </c>
      <c r="S256" s="536"/>
      <c r="T256" s="535"/>
      <c r="U256" s="508"/>
      <c r="V256" s="508"/>
      <c r="W256" s="508"/>
      <c r="X256" s="508"/>
      <c r="Y256" s="508"/>
      <c r="Z256" s="508"/>
      <c r="AA256" s="508"/>
      <c r="AB256" s="508"/>
      <c r="AC256" s="508"/>
      <c r="AD256" s="508"/>
      <c r="AE256" s="508"/>
      <c r="AF256" s="508"/>
    </row>
    <row r="257" spans="16:32" ht="16">
      <c r="P257" s="540">
        <v>45758</v>
      </c>
      <c r="Q257" s="539">
        <v>2.46</v>
      </c>
      <c r="R257" s="541">
        <v>3572800</v>
      </c>
      <c r="S257" s="536"/>
      <c r="T257" s="535"/>
      <c r="U257" s="508"/>
      <c r="V257" s="508"/>
      <c r="W257" s="508"/>
      <c r="X257" s="508"/>
      <c r="Y257" s="508"/>
      <c r="Z257" s="508"/>
      <c r="AA257" s="508"/>
      <c r="AB257" s="508"/>
      <c r="AC257" s="508"/>
      <c r="AD257" s="508"/>
      <c r="AE257" s="508"/>
      <c r="AF257" s="508"/>
    </row>
    <row r="258" spans="16:32" ht="16">
      <c r="P258" s="540">
        <v>45757</v>
      </c>
      <c r="Q258" s="539">
        <v>2.29</v>
      </c>
      <c r="R258" s="541">
        <v>4267400</v>
      </c>
      <c r="S258" s="536"/>
      <c r="T258" s="535"/>
      <c r="U258" s="508"/>
      <c r="V258" s="508"/>
      <c r="W258" s="508"/>
      <c r="X258" s="508"/>
      <c r="Y258" s="508"/>
      <c r="Z258" s="508"/>
      <c r="AA258" s="508"/>
      <c r="AB258" s="508"/>
      <c r="AC258" s="508"/>
      <c r="AD258" s="508"/>
      <c r="AE258" s="508"/>
      <c r="AF258" s="508"/>
    </row>
    <row r="259" spans="16:32" ht="16">
      <c r="P259" s="540">
        <v>45756</v>
      </c>
      <c r="Q259" s="539">
        <v>2.37</v>
      </c>
      <c r="R259" s="541">
        <v>4081700</v>
      </c>
      <c r="S259" s="536"/>
      <c r="T259" s="535"/>
      <c r="U259" s="508"/>
      <c r="V259" s="508"/>
      <c r="W259" s="508"/>
      <c r="X259" s="508"/>
      <c r="Y259" s="508"/>
      <c r="Z259" s="508"/>
      <c r="AA259" s="508"/>
      <c r="AB259" s="508"/>
      <c r="AC259" s="508"/>
      <c r="AD259" s="508"/>
      <c r="AE259" s="508"/>
      <c r="AF259" s="508"/>
    </row>
    <row r="260" spans="16:32" ht="16">
      <c r="P260" s="540">
        <v>45755</v>
      </c>
      <c r="Q260" s="539">
        <v>2.08</v>
      </c>
      <c r="R260" s="541">
        <v>2605800</v>
      </c>
      <c r="S260" s="536"/>
      <c r="T260" s="535"/>
      <c r="U260" s="508"/>
      <c r="V260" s="508"/>
      <c r="W260" s="508"/>
      <c r="X260" s="508"/>
      <c r="Y260" s="508"/>
      <c r="Z260" s="508"/>
      <c r="AA260" s="508"/>
      <c r="AB260" s="508"/>
      <c r="AC260" s="508"/>
      <c r="AD260" s="508"/>
      <c r="AE260" s="508"/>
      <c r="AF260" s="508"/>
    </row>
    <row r="261" spans="16:32" ht="16">
      <c r="P261" s="540">
        <v>45754</v>
      </c>
      <c r="Q261" s="539">
        <v>2.0699999999999998</v>
      </c>
      <c r="R261" s="541">
        <v>3434300</v>
      </c>
      <c r="S261" s="536"/>
      <c r="T261" s="535"/>
      <c r="U261" s="508"/>
      <c r="V261" s="508"/>
      <c r="W261" s="508"/>
      <c r="X261" s="508"/>
      <c r="Y261" s="508"/>
      <c r="Z261" s="508"/>
      <c r="AA261" s="508"/>
      <c r="AB261" s="508"/>
      <c r="AC261" s="508"/>
      <c r="AD261" s="508"/>
      <c r="AE261" s="508"/>
      <c r="AF261" s="508"/>
    </row>
    <row r="262" spans="16:32" ht="16">
      <c r="P262" s="540">
        <v>45751</v>
      </c>
      <c r="Q262" s="539">
        <v>2.04</v>
      </c>
      <c r="R262" s="541">
        <v>3342300</v>
      </c>
      <c r="S262" s="536"/>
      <c r="T262" s="535"/>
      <c r="U262" s="508"/>
      <c r="V262" s="508"/>
      <c r="W262" s="508"/>
      <c r="X262" s="508"/>
      <c r="Y262" s="508"/>
      <c r="Z262" s="508"/>
      <c r="AA262" s="508"/>
      <c r="AB262" s="508"/>
      <c r="AC262" s="508"/>
      <c r="AD262" s="508"/>
      <c r="AE262" s="508"/>
      <c r="AF262" s="508"/>
    </row>
    <row r="263" spans="16:32" ht="16">
      <c r="P263" s="540">
        <v>45750</v>
      </c>
      <c r="Q263" s="539">
        <v>2.12</v>
      </c>
      <c r="R263" s="541">
        <v>2620400</v>
      </c>
      <c r="S263" s="536"/>
      <c r="T263" s="535"/>
      <c r="U263" s="508"/>
      <c r="V263" s="508"/>
      <c r="W263" s="508"/>
      <c r="X263" s="508"/>
      <c r="Y263" s="508"/>
      <c r="Z263" s="508"/>
      <c r="AA263" s="508"/>
      <c r="AB263" s="508"/>
      <c r="AC263" s="508"/>
      <c r="AD263" s="508"/>
      <c r="AE263" s="508"/>
      <c r="AF263" s="508"/>
    </row>
    <row r="264" spans="16:32" ht="16">
      <c r="P264" s="540">
        <v>45749</v>
      </c>
      <c r="Q264" s="539">
        <v>2.34</v>
      </c>
      <c r="R264" s="541">
        <v>3025100</v>
      </c>
      <c r="S264" s="536"/>
      <c r="T264" s="535"/>
      <c r="U264" s="508"/>
      <c r="V264" s="508"/>
      <c r="W264" s="508"/>
      <c r="X264" s="508"/>
      <c r="Y264" s="508"/>
      <c r="Z264" s="508"/>
      <c r="AA264" s="508"/>
      <c r="AB264" s="508"/>
      <c r="AC264" s="508"/>
      <c r="AD264" s="508"/>
      <c r="AE264" s="508"/>
      <c r="AF264" s="508"/>
    </row>
    <row r="265" spans="16:32" ht="16">
      <c r="P265" s="540">
        <v>45748</v>
      </c>
      <c r="Q265" s="539">
        <v>2.2200000000000002</v>
      </c>
      <c r="R265" s="541">
        <v>4486600</v>
      </c>
      <c r="S265" s="536"/>
      <c r="T265" s="535"/>
      <c r="U265" s="508"/>
      <c r="V265" s="508"/>
      <c r="W265" s="508"/>
      <c r="X265" s="508"/>
      <c r="Y265" s="508"/>
      <c r="Z265" s="508"/>
      <c r="AA265" s="508"/>
      <c r="AB265" s="508"/>
      <c r="AC265" s="508"/>
      <c r="AD265" s="508"/>
      <c r="AE265" s="508"/>
      <c r="AF265" s="508"/>
    </row>
    <row r="266" spans="16:32" ht="16">
      <c r="P266" s="540">
        <v>45747</v>
      </c>
      <c r="Q266" s="539">
        <v>2.2799999999999998</v>
      </c>
      <c r="R266" s="541">
        <v>3972200</v>
      </c>
      <c r="S266" s="536"/>
      <c r="T266" s="535"/>
      <c r="U266" s="508"/>
      <c r="V266" s="508"/>
      <c r="W266" s="508"/>
      <c r="X266" s="508"/>
      <c r="Y266" s="508"/>
      <c r="Z266" s="508"/>
      <c r="AA266" s="508"/>
      <c r="AB266" s="508"/>
      <c r="AC266" s="508"/>
      <c r="AD266" s="508"/>
      <c r="AE266" s="508"/>
      <c r="AF266" s="508"/>
    </row>
    <row r="267" spans="16:32" ht="16">
      <c r="P267" s="540">
        <v>45744</v>
      </c>
      <c r="Q267" s="539">
        <v>2.37</v>
      </c>
      <c r="R267" s="541">
        <v>2720100</v>
      </c>
      <c r="S267" s="536"/>
      <c r="T267" s="535"/>
      <c r="U267" s="508"/>
      <c r="V267" s="508"/>
      <c r="W267" s="508"/>
      <c r="X267" s="508"/>
      <c r="Y267" s="508"/>
      <c r="Z267" s="508"/>
      <c r="AA267" s="508"/>
      <c r="AB267" s="508"/>
      <c r="AC267" s="508"/>
      <c r="AD267" s="508"/>
      <c r="AE267" s="508"/>
      <c r="AF267" s="508"/>
    </row>
    <row r="268" spans="16:32" ht="16">
      <c r="P268" s="540">
        <v>45743</v>
      </c>
      <c r="Q268" s="539">
        <v>2.44</v>
      </c>
      <c r="R268" s="541">
        <v>3331200</v>
      </c>
      <c r="S268" s="536"/>
      <c r="T268" s="535"/>
      <c r="U268" s="508"/>
      <c r="V268" s="508"/>
      <c r="W268" s="508"/>
      <c r="X268" s="508"/>
      <c r="Y268" s="508"/>
      <c r="Z268" s="508"/>
      <c r="AA268" s="508"/>
      <c r="AB268" s="508"/>
      <c r="AC268" s="508"/>
      <c r="AD268" s="508"/>
      <c r="AE268" s="508"/>
      <c r="AF268" s="508"/>
    </row>
    <row r="269" spans="16:32" ht="16">
      <c r="P269" s="540">
        <v>45742</v>
      </c>
      <c r="Q269" s="539">
        <v>2.6</v>
      </c>
      <c r="R269" s="541">
        <v>2554400</v>
      </c>
      <c r="S269" s="536"/>
      <c r="T269" s="535"/>
      <c r="U269" s="508"/>
      <c r="V269" s="508"/>
      <c r="W269" s="508"/>
      <c r="X269" s="508"/>
      <c r="Y269" s="508"/>
      <c r="Z269" s="508"/>
      <c r="AA269" s="508"/>
      <c r="AB269" s="508"/>
      <c r="AC269" s="508"/>
      <c r="AD269" s="508"/>
      <c r="AE269" s="508"/>
      <c r="AF269" s="508"/>
    </row>
    <row r="270" spans="16:32" ht="16">
      <c r="P270" s="540">
        <v>45741</v>
      </c>
      <c r="Q270" s="539">
        <v>2.72</v>
      </c>
      <c r="R270" s="541">
        <v>3435300</v>
      </c>
      <c r="S270" s="536"/>
      <c r="T270" s="535"/>
      <c r="U270" s="508"/>
      <c r="V270" s="508"/>
      <c r="W270" s="508"/>
      <c r="X270" s="508"/>
      <c r="Y270" s="508"/>
      <c r="Z270" s="508"/>
      <c r="AA270" s="508"/>
      <c r="AB270" s="508"/>
      <c r="AC270" s="508"/>
      <c r="AD270" s="508"/>
      <c r="AE270" s="508"/>
      <c r="AF270" s="508"/>
    </row>
    <row r="271" spans="16:32" ht="16">
      <c r="P271" s="540">
        <v>45740</v>
      </c>
      <c r="Q271" s="539">
        <v>2.81</v>
      </c>
      <c r="R271" s="541">
        <v>1901600</v>
      </c>
      <c r="S271" s="536"/>
      <c r="T271" s="535"/>
      <c r="U271" s="508"/>
      <c r="V271" s="508"/>
      <c r="W271" s="508"/>
      <c r="X271" s="508"/>
      <c r="Y271" s="508"/>
      <c r="Z271" s="508"/>
      <c r="AA271" s="508"/>
      <c r="AB271" s="508"/>
      <c r="AC271" s="508"/>
      <c r="AD271" s="508"/>
      <c r="AE271" s="508"/>
      <c r="AF271" s="508"/>
    </row>
    <row r="272" spans="16:32" ht="16">
      <c r="P272" s="540">
        <v>45737</v>
      </c>
      <c r="Q272" s="539">
        <v>2.64</v>
      </c>
      <c r="R272" s="541">
        <v>4814000</v>
      </c>
      <c r="S272" s="536"/>
      <c r="T272" s="535"/>
      <c r="U272" s="508"/>
      <c r="V272" s="508"/>
      <c r="W272" s="508"/>
      <c r="X272" s="508"/>
      <c r="Y272" s="508"/>
      <c r="Z272" s="508"/>
      <c r="AA272" s="508"/>
      <c r="AB272" s="508"/>
      <c r="AC272" s="508"/>
      <c r="AD272" s="508"/>
      <c r="AE272" s="508"/>
      <c r="AF272" s="508"/>
    </row>
    <row r="273" spans="16:32" ht="16">
      <c r="P273" s="540">
        <v>45736</v>
      </c>
      <c r="Q273" s="539">
        <v>2.75</v>
      </c>
      <c r="R273" s="541">
        <v>3417600</v>
      </c>
      <c r="S273" s="536"/>
      <c r="T273" s="535"/>
      <c r="U273" s="508"/>
      <c r="V273" s="508"/>
      <c r="W273" s="508"/>
      <c r="X273" s="508"/>
      <c r="Y273" s="508"/>
      <c r="Z273" s="508"/>
      <c r="AA273" s="508"/>
      <c r="AB273" s="508"/>
      <c r="AC273" s="508"/>
      <c r="AD273" s="508"/>
      <c r="AE273" s="508"/>
      <c r="AF273" s="508"/>
    </row>
    <row r="274" spans="16:32" ht="16">
      <c r="P274" s="540">
        <v>45735</v>
      </c>
      <c r="Q274" s="539">
        <v>2.71</v>
      </c>
      <c r="R274" s="541">
        <v>2477700</v>
      </c>
      <c r="S274" s="536"/>
      <c r="T274" s="535"/>
      <c r="U274" s="508"/>
      <c r="V274" s="508"/>
      <c r="W274" s="508"/>
      <c r="X274" s="508"/>
      <c r="Y274" s="508"/>
      <c r="Z274" s="508"/>
      <c r="AA274" s="508"/>
      <c r="AB274" s="508"/>
      <c r="AC274" s="508"/>
      <c r="AD274" s="508"/>
      <c r="AE274" s="508"/>
      <c r="AF274" s="508"/>
    </row>
    <row r="275" spans="16:32" ht="16">
      <c r="P275" s="540">
        <v>45734</v>
      </c>
      <c r="Q275" s="539">
        <v>2.6</v>
      </c>
      <c r="R275" s="541">
        <v>2678200</v>
      </c>
      <c r="S275" s="536"/>
      <c r="T275" s="535"/>
      <c r="U275" s="508"/>
      <c r="V275" s="508"/>
      <c r="W275" s="508"/>
      <c r="X275" s="508"/>
      <c r="Y275" s="508"/>
      <c r="Z275" s="508"/>
      <c r="AA275" s="508"/>
      <c r="AB275" s="508"/>
      <c r="AC275" s="508"/>
      <c r="AD275" s="508"/>
      <c r="AE275" s="508"/>
      <c r="AF275" s="508"/>
    </row>
    <row r="276" spans="16:32" ht="16">
      <c r="P276" s="540">
        <v>45733</v>
      </c>
      <c r="Q276" s="539">
        <v>2.74</v>
      </c>
      <c r="R276" s="541">
        <v>5279500</v>
      </c>
      <c r="S276" s="536"/>
      <c r="T276" s="535"/>
      <c r="U276" s="508"/>
      <c r="V276" s="508"/>
      <c r="W276" s="508"/>
      <c r="X276" s="508"/>
      <c r="Y276" s="508"/>
      <c r="Z276" s="508"/>
      <c r="AA276" s="508"/>
      <c r="AB276" s="508"/>
      <c r="AC276" s="508"/>
      <c r="AD276" s="508"/>
      <c r="AE276" s="508"/>
      <c r="AF276" s="508"/>
    </row>
    <row r="277" spans="16:32" ht="16">
      <c r="P277" s="540">
        <v>45730</v>
      </c>
      <c r="Q277" s="539">
        <v>2.68</v>
      </c>
      <c r="R277" s="541">
        <v>2536900</v>
      </c>
      <c r="S277" s="536"/>
      <c r="T277" s="535"/>
      <c r="U277" s="508"/>
      <c r="V277" s="508"/>
      <c r="W277" s="508"/>
      <c r="X277" s="508"/>
      <c r="Y277" s="508"/>
      <c r="Z277" s="508"/>
      <c r="AA277" s="508"/>
      <c r="AB277" s="508"/>
      <c r="AC277" s="508"/>
      <c r="AD277" s="508"/>
      <c r="AE277" s="508"/>
      <c r="AF277" s="508"/>
    </row>
    <row r="278" spans="16:32" ht="16">
      <c r="P278" s="540">
        <v>45729</v>
      </c>
      <c r="Q278" s="539">
        <v>2.5499999999999998</v>
      </c>
      <c r="R278" s="541">
        <v>2019900</v>
      </c>
      <c r="S278" s="536"/>
      <c r="T278" s="535"/>
      <c r="U278" s="508"/>
      <c r="V278" s="508"/>
      <c r="W278" s="508"/>
      <c r="X278" s="508"/>
      <c r="Y278" s="508"/>
      <c r="Z278" s="508"/>
      <c r="AA278" s="508"/>
      <c r="AB278" s="508"/>
      <c r="AC278" s="508"/>
      <c r="AD278" s="508"/>
      <c r="AE278" s="508"/>
      <c r="AF278" s="508"/>
    </row>
    <row r="279" spans="16:32" ht="16">
      <c r="P279" s="540">
        <v>45728</v>
      </c>
      <c r="Q279" s="539">
        <v>2.69</v>
      </c>
      <c r="R279" s="541">
        <v>3669900</v>
      </c>
      <c r="S279" s="536"/>
      <c r="T279" s="535"/>
      <c r="U279" s="508"/>
      <c r="V279" s="508"/>
      <c r="W279" s="508"/>
      <c r="X279" s="508"/>
      <c r="Y279" s="508"/>
      <c r="Z279" s="508"/>
      <c r="AA279" s="508"/>
      <c r="AB279" s="508"/>
      <c r="AC279" s="508"/>
      <c r="AD279" s="508"/>
      <c r="AE279" s="508"/>
      <c r="AF279" s="508"/>
    </row>
    <row r="280" spans="16:32" ht="16">
      <c r="P280" s="540">
        <v>45727</v>
      </c>
      <c r="Q280" s="539">
        <v>2.54</v>
      </c>
      <c r="R280" s="541">
        <v>2777400</v>
      </c>
      <c r="S280" s="536"/>
      <c r="T280" s="535"/>
      <c r="U280" s="508"/>
      <c r="V280" s="508"/>
      <c r="W280" s="508"/>
      <c r="X280" s="508"/>
      <c r="Y280" s="508"/>
      <c r="Z280" s="508"/>
      <c r="AA280" s="508"/>
      <c r="AB280" s="508"/>
      <c r="AC280" s="508"/>
      <c r="AD280" s="508"/>
      <c r="AE280" s="508"/>
      <c r="AF280" s="508"/>
    </row>
    <row r="281" spans="16:32" ht="16">
      <c r="P281" s="540">
        <v>45726</v>
      </c>
      <c r="Q281" s="539">
        <v>2.54</v>
      </c>
      <c r="R281" s="541">
        <v>4098800</v>
      </c>
      <c r="S281" s="536"/>
      <c r="T281" s="535"/>
      <c r="U281" s="508"/>
      <c r="V281" s="508"/>
      <c r="W281" s="508"/>
      <c r="X281" s="508"/>
      <c r="Y281" s="508"/>
      <c r="Z281" s="508"/>
      <c r="AA281" s="508"/>
      <c r="AB281" s="508"/>
      <c r="AC281" s="508"/>
      <c r="AD281" s="508"/>
      <c r="AE281" s="508"/>
      <c r="AF281" s="508"/>
    </row>
    <row r="282" spans="16:32" ht="16">
      <c r="P282" s="540">
        <v>45723</v>
      </c>
      <c r="Q282" s="539">
        <v>2.85</v>
      </c>
      <c r="R282" s="541">
        <v>4566500</v>
      </c>
      <c r="S282" s="536"/>
      <c r="T282" s="535"/>
      <c r="U282" s="508"/>
      <c r="V282" s="508"/>
      <c r="W282" s="508"/>
      <c r="X282" s="508"/>
      <c r="Y282" s="508"/>
      <c r="Z282" s="508"/>
      <c r="AA282" s="508"/>
      <c r="AB282" s="508"/>
      <c r="AC282" s="508"/>
      <c r="AD282" s="508"/>
      <c r="AE282" s="508"/>
      <c r="AF282" s="508"/>
    </row>
    <row r="283" spans="16:32" ht="16">
      <c r="P283" s="540">
        <v>45722</v>
      </c>
      <c r="Q283" s="539">
        <v>2.89</v>
      </c>
      <c r="R283" s="541">
        <v>3341700</v>
      </c>
      <c r="S283" s="536"/>
      <c r="T283" s="535"/>
      <c r="U283" s="508"/>
      <c r="V283" s="508"/>
      <c r="W283" s="508"/>
      <c r="X283" s="508"/>
      <c r="Y283" s="508"/>
      <c r="Z283" s="508"/>
      <c r="AA283" s="508"/>
      <c r="AB283" s="508"/>
      <c r="AC283" s="508"/>
      <c r="AD283" s="508"/>
      <c r="AE283" s="508"/>
      <c r="AF283" s="508"/>
    </row>
    <row r="284" spans="16:32" ht="16">
      <c r="P284" s="540">
        <v>45721</v>
      </c>
      <c r="Q284" s="539">
        <v>3.19</v>
      </c>
      <c r="R284" s="541">
        <v>3803900</v>
      </c>
      <c r="S284" s="536"/>
      <c r="T284" s="535"/>
      <c r="U284" s="508"/>
      <c r="V284" s="508"/>
      <c r="W284" s="508"/>
      <c r="X284" s="508"/>
      <c r="Y284" s="508"/>
      <c r="Z284" s="508"/>
      <c r="AA284" s="508"/>
      <c r="AB284" s="508"/>
      <c r="AC284" s="508"/>
      <c r="AD284" s="508"/>
      <c r="AE284" s="508"/>
      <c r="AF284" s="508"/>
    </row>
    <row r="285" spans="16:32" ht="16">
      <c r="P285" s="540">
        <v>45720</v>
      </c>
      <c r="Q285" s="539">
        <v>3.03</v>
      </c>
      <c r="R285" s="541">
        <v>6352400</v>
      </c>
      <c r="S285" s="536"/>
      <c r="T285" s="535"/>
      <c r="U285" s="508"/>
      <c r="V285" s="508"/>
      <c r="W285" s="508"/>
      <c r="X285" s="508"/>
      <c r="Y285" s="508"/>
      <c r="Z285" s="508"/>
      <c r="AA285" s="508"/>
      <c r="AB285" s="508"/>
      <c r="AC285" s="508"/>
      <c r="AD285" s="508"/>
      <c r="AE285" s="508"/>
      <c r="AF285" s="508"/>
    </row>
    <row r="286" spans="16:32" ht="16">
      <c r="P286" s="540">
        <v>45719</v>
      </c>
      <c r="Q286" s="539">
        <v>3.04</v>
      </c>
      <c r="R286" s="541">
        <v>6746400</v>
      </c>
      <c r="S286" s="536"/>
      <c r="T286" s="535"/>
      <c r="U286" s="508"/>
      <c r="V286" s="508"/>
      <c r="W286" s="508"/>
      <c r="X286" s="508"/>
      <c r="Y286" s="508"/>
      <c r="Z286" s="508"/>
      <c r="AA286" s="508"/>
      <c r="AB286" s="508"/>
      <c r="AC286" s="508"/>
      <c r="AD286" s="508"/>
      <c r="AE286" s="508"/>
      <c r="AF286" s="508"/>
    </row>
    <row r="287" spans="16:32" ht="16">
      <c r="P287" s="540">
        <v>45716</v>
      </c>
      <c r="Q287" s="539">
        <v>3.62</v>
      </c>
      <c r="R287" s="541">
        <v>9743100</v>
      </c>
      <c r="S287" s="536"/>
      <c r="T287" s="535"/>
      <c r="U287" s="508"/>
      <c r="V287" s="508"/>
      <c r="W287" s="508"/>
      <c r="X287" s="508"/>
      <c r="Y287" s="508"/>
      <c r="Z287" s="508"/>
      <c r="AA287" s="508"/>
      <c r="AB287" s="508"/>
      <c r="AC287" s="508"/>
      <c r="AD287" s="508"/>
      <c r="AE287" s="508"/>
      <c r="AF287" s="508"/>
    </row>
    <row r="288" spans="16:32" ht="16">
      <c r="P288" s="540">
        <v>45715</v>
      </c>
      <c r="Q288" s="539">
        <v>3.73</v>
      </c>
      <c r="R288" s="541">
        <v>4343900</v>
      </c>
      <c r="S288" s="536"/>
      <c r="T288" s="535"/>
      <c r="U288" s="508"/>
      <c r="V288" s="508"/>
      <c r="W288" s="508"/>
      <c r="X288" s="508"/>
      <c r="Y288" s="508"/>
      <c r="Z288" s="508"/>
      <c r="AA288" s="508"/>
      <c r="AB288" s="508"/>
      <c r="AC288" s="508"/>
      <c r="AD288" s="508"/>
      <c r="AE288" s="508"/>
      <c r="AF288" s="508"/>
    </row>
    <row r="289" spans="16:32" ht="16">
      <c r="P289" s="540">
        <v>45714</v>
      </c>
      <c r="Q289" s="539">
        <v>3.97</v>
      </c>
      <c r="R289" s="541">
        <v>3155700</v>
      </c>
      <c r="S289" s="536"/>
      <c r="T289" s="535"/>
      <c r="U289" s="508"/>
      <c r="V289" s="508"/>
      <c r="W289" s="508"/>
      <c r="X289" s="508"/>
      <c r="Y289" s="508"/>
      <c r="Z289" s="508"/>
      <c r="AA289" s="508"/>
      <c r="AB289" s="508"/>
      <c r="AC289" s="508"/>
      <c r="AD289" s="508"/>
      <c r="AE289" s="508"/>
      <c r="AF289" s="508"/>
    </row>
    <row r="290" spans="16:32" ht="16">
      <c r="P290" s="540">
        <v>45713</v>
      </c>
      <c r="Q290" s="539">
        <v>3.73</v>
      </c>
      <c r="R290" s="541">
        <v>6142600</v>
      </c>
      <c r="S290" s="536"/>
      <c r="T290" s="535"/>
      <c r="U290" s="508"/>
      <c r="V290" s="508"/>
      <c r="W290" s="508"/>
      <c r="X290" s="508"/>
      <c r="Y290" s="508"/>
      <c r="Z290" s="508"/>
      <c r="AA290" s="508"/>
      <c r="AB290" s="508"/>
      <c r="AC290" s="508"/>
      <c r="AD290" s="508"/>
      <c r="AE290" s="508"/>
      <c r="AF290" s="508"/>
    </row>
    <row r="291" spans="16:32" ht="16">
      <c r="P291" s="540">
        <v>45712</v>
      </c>
      <c r="Q291" s="539">
        <v>4.03</v>
      </c>
      <c r="R291" s="541">
        <v>4520600</v>
      </c>
      <c r="S291" s="536"/>
      <c r="T291" s="535"/>
      <c r="U291" s="508"/>
      <c r="V291" s="508"/>
      <c r="W291" s="508"/>
      <c r="X291" s="508"/>
      <c r="Y291" s="508"/>
      <c r="Z291" s="508"/>
      <c r="AA291" s="508"/>
      <c r="AB291" s="508"/>
      <c r="AC291" s="508"/>
      <c r="AD291" s="508"/>
      <c r="AE291" s="508"/>
      <c r="AF291" s="508"/>
    </row>
    <row r="292" spans="16:32" ht="16">
      <c r="P292" s="540">
        <v>45709</v>
      </c>
      <c r="Q292" s="539">
        <v>4.3</v>
      </c>
      <c r="R292" s="541">
        <v>4187700</v>
      </c>
      <c r="S292" s="536"/>
      <c r="T292" s="535"/>
      <c r="U292" s="508"/>
      <c r="V292" s="508"/>
      <c r="W292" s="508"/>
      <c r="X292" s="508"/>
      <c r="Y292" s="508"/>
      <c r="Z292" s="508"/>
      <c r="AA292" s="508"/>
      <c r="AB292" s="508"/>
      <c r="AC292" s="508"/>
      <c r="AD292" s="508"/>
      <c r="AE292" s="508"/>
      <c r="AF292" s="508"/>
    </row>
    <row r="293" spans="16:32" ht="16">
      <c r="P293" s="540">
        <v>45708</v>
      </c>
      <c r="Q293" s="539">
        <v>4.43</v>
      </c>
      <c r="R293" s="541">
        <v>3019500</v>
      </c>
      <c r="S293" s="536"/>
      <c r="T293" s="535"/>
      <c r="U293" s="508"/>
      <c r="V293" s="508"/>
      <c r="W293" s="508"/>
      <c r="X293" s="508"/>
      <c r="Y293" s="508"/>
      <c r="Z293" s="508"/>
      <c r="AA293" s="508"/>
      <c r="AB293" s="508"/>
      <c r="AC293" s="508"/>
      <c r="AD293" s="508"/>
      <c r="AE293" s="508"/>
      <c r="AF293" s="508"/>
    </row>
    <row r="294" spans="16:32" ht="16">
      <c r="P294" s="540">
        <v>45707</v>
      </c>
      <c r="Q294" s="539">
        <v>4.71</v>
      </c>
      <c r="R294" s="541">
        <v>2291200</v>
      </c>
      <c r="S294" s="536"/>
      <c r="T294" s="535"/>
      <c r="U294" s="508"/>
      <c r="V294" s="508"/>
      <c r="W294" s="508"/>
      <c r="X294" s="508"/>
      <c r="Y294" s="508"/>
      <c r="Z294" s="508"/>
      <c r="AA294" s="508"/>
      <c r="AB294" s="508"/>
      <c r="AC294" s="508"/>
      <c r="AD294" s="508"/>
      <c r="AE294" s="508"/>
      <c r="AF294" s="508"/>
    </row>
    <row r="295" spans="16:32" ht="16">
      <c r="P295" s="540">
        <v>45706</v>
      </c>
      <c r="Q295" s="539">
        <v>4.82</v>
      </c>
      <c r="R295" s="541">
        <v>4069800</v>
      </c>
      <c r="S295" s="536"/>
      <c r="T295" s="535"/>
      <c r="U295" s="508"/>
      <c r="V295" s="508"/>
      <c r="W295" s="508"/>
      <c r="X295" s="508"/>
      <c r="Y295" s="508"/>
      <c r="Z295" s="508"/>
      <c r="AA295" s="508"/>
      <c r="AB295" s="508"/>
      <c r="AC295" s="508"/>
      <c r="AD295" s="508"/>
      <c r="AE295" s="508"/>
      <c r="AF295" s="508"/>
    </row>
    <row r="296" spans="16:32" ht="16">
      <c r="P296" s="540">
        <v>45702</v>
      </c>
      <c r="Q296" s="539">
        <v>4.7699999999999996</v>
      </c>
      <c r="R296" s="541">
        <v>4807300</v>
      </c>
      <c r="S296" s="536"/>
      <c r="T296" s="535"/>
      <c r="U296" s="508"/>
      <c r="V296" s="508"/>
      <c r="W296" s="508"/>
      <c r="X296" s="508"/>
      <c r="Y296" s="508"/>
      <c r="Z296" s="508"/>
      <c r="AA296" s="508"/>
      <c r="AB296" s="508"/>
      <c r="AC296" s="508"/>
      <c r="AD296" s="508"/>
      <c r="AE296" s="508"/>
      <c r="AF296" s="508"/>
    </row>
    <row r="297" spans="16:32" ht="16">
      <c r="P297" s="540">
        <v>45701</v>
      </c>
      <c r="Q297" s="539">
        <v>4.6500000000000004</v>
      </c>
      <c r="R297" s="541">
        <v>4042600</v>
      </c>
      <c r="S297" s="536"/>
      <c r="T297" s="535"/>
      <c r="U297" s="508"/>
      <c r="V297" s="508"/>
      <c r="W297" s="508"/>
      <c r="X297" s="508"/>
      <c r="Y297" s="508"/>
      <c r="Z297" s="508"/>
      <c r="AA297" s="508"/>
      <c r="AB297" s="508"/>
      <c r="AC297" s="508"/>
      <c r="AD297" s="508"/>
      <c r="AE297" s="508"/>
      <c r="AF297" s="508"/>
    </row>
    <row r="298" spans="16:32" ht="16">
      <c r="P298" s="540">
        <v>45700</v>
      </c>
      <c r="Q298" s="539">
        <v>4.34</v>
      </c>
      <c r="R298" s="541">
        <v>3476400</v>
      </c>
      <c r="S298" s="536"/>
      <c r="T298" s="535"/>
      <c r="U298" s="508"/>
      <c r="V298" s="508"/>
      <c r="W298" s="508"/>
      <c r="X298" s="508"/>
      <c r="Y298" s="508"/>
      <c r="Z298" s="508"/>
      <c r="AA298" s="508"/>
      <c r="AB298" s="508"/>
      <c r="AC298" s="508"/>
      <c r="AD298" s="508"/>
      <c r="AE298" s="508"/>
      <c r="AF298" s="508"/>
    </row>
    <row r="299" spans="16:32" ht="16">
      <c r="P299" s="540">
        <v>45699</v>
      </c>
      <c r="Q299" s="539">
        <v>4.0599999999999996</v>
      </c>
      <c r="R299" s="541">
        <v>2458600</v>
      </c>
      <c r="S299" s="536"/>
      <c r="T299" s="535"/>
      <c r="U299" s="508"/>
      <c r="V299" s="508"/>
      <c r="W299" s="508"/>
      <c r="X299" s="508"/>
      <c r="Y299" s="508"/>
      <c r="Z299" s="508"/>
      <c r="AA299" s="508"/>
      <c r="AB299" s="508"/>
      <c r="AC299" s="508"/>
      <c r="AD299" s="508"/>
      <c r="AE299" s="508"/>
      <c r="AF299" s="508"/>
    </row>
    <row r="300" spans="16:32" ht="16">
      <c r="P300" s="540">
        <v>45698</v>
      </c>
      <c r="Q300" s="539">
        <v>4.1399999999999997</v>
      </c>
      <c r="R300" s="541">
        <v>6267300</v>
      </c>
      <c r="S300" s="536"/>
      <c r="T300" s="535"/>
      <c r="U300" s="508"/>
      <c r="V300" s="508"/>
      <c r="W300" s="508"/>
      <c r="X300" s="508"/>
      <c r="Y300" s="508"/>
      <c r="Z300" s="508"/>
      <c r="AA300" s="508"/>
      <c r="AB300" s="508"/>
      <c r="AC300" s="508"/>
      <c r="AD300" s="508"/>
      <c r="AE300" s="508"/>
      <c r="AF300" s="508"/>
    </row>
    <row r="301" spans="16:32" ht="16">
      <c r="P301" s="540">
        <v>45695</v>
      </c>
      <c r="Q301" s="539">
        <v>4.34</v>
      </c>
      <c r="R301" s="541">
        <v>2668600</v>
      </c>
      <c r="S301" s="536"/>
      <c r="T301" s="535"/>
      <c r="U301" s="508"/>
      <c r="V301" s="508"/>
      <c r="W301" s="508"/>
      <c r="X301" s="508"/>
      <c r="Y301" s="508"/>
      <c r="Z301" s="508"/>
      <c r="AA301" s="508"/>
      <c r="AB301" s="508"/>
      <c r="AC301" s="508"/>
      <c r="AD301" s="508"/>
      <c r="AE301" s="508"/>
      <c r="AF301" s="508"/>
    </row>
    <row r="302" spans="16:32" ht="16">
      <c r="P302" s="540">
        <v>45694</v>
      </c>
      <c r="Q302" s="539">
        <v>4.4000000000000004</v>
      </c>
      <c r="R302" s="541">
        <v>2785900</v>
      </c>
      <c r="S302" s="536"/>
      <c r="T302" s="535"/>
      <c r="U302" s="508"/>
      <c r="V302" s="508"/>
      <c r="W302" s="508"/>
      <c r="X302" s="508"/>
      <c r="Y302" s="508"/>
      <c r="Z302" s="508"/>
      <c r="AA302" s="508"/>
      <c r="AB302" s="508"/>
      <c r="AC302" s="508"/>
      <c r="AD302" s="508"/>
      <c r="AE302" s="508"/>
      <c r="AF302" s="508"/>
    </row>
    <row r="303" spans="16:32" ht="16">
      <c r="P303" s="540">
        <v>45693</v>
      </c>
      <c r="Q303" s="539">
        <v>4.5</v>
      </c>
      <c r="R303" s="541">
        <v>5878100</v>
      </c>
      <c r="S303" s="536"/>
      <c r="T303" s="535"/>
      <c r="U303" s="508"/>
      <c r="V303" s="508"/>
      <c r="W303" s="508"/>
      <c r="X303" s="508"/>
      <c r="Y303" s="508"/>
      <c r="Z303" s="508"/>
      <c r="AA303" s="508"/>
      <c r="AB303" s="508"/>
      <c r="AC303" s="508"/>
      <c r="AD303" s="508"/>
      <c r="AE303" s="508"/>
      <c r="AF303" s="508"/>
    </row>
    <row r="304" spans="16:32" ht="16">
      <c r="P304" s="540">
        <v>45692</v>
      </c>
      <c r="Q304" s="539">
        <v>4.58</v>
      </c>
      <c r="R304" s="541">
        <v>12016900</v>
      </c>
      <c r="S304" s="536"/>
      <c r="T304" s="535"/>
      <c r="U304" s="508"/>
      <c r="V304" s="508"/>
      <c r="W304" s="508"/>
      <c r="X304" s="508"/>
      <c r="Y304" s="508"/>
      <c r="Z304" s="508"/>
      <c r="AA304" s="508"/>
      <c r="AB304" s="508"/>
      <c r="AC304" s="508"/>
      <c r="AD304" s="508"/>
      <c r="AE304" s="508"/>
      <c r="AF304" s="508"/>
    </row>
    <row r="305" spans="16:32" ht="16">
      <c r="P305" s="540">
        <v>45691</v>
      </c>
      <c r="Q305" s="539">
        <v>3.96</v>
      </c>
      <c r="R305" s="541">
        <v>4467200</v>
      </c>
      <c r="S305" s="536"/>
      <c r="T305" s="535"/>
      <c r="U305" s="508"/>
      <c r="V305" s="508"/>
      <c r="W305" s="508"/>
      <c r="X305" s="508"/>
      <c r="Y305" s="508"/>
      <c r="Z305" s="508"/>
      <c r="AA305" s="508"/>
      <c r="AB305" s="508"/>
      <c r="AC305" s="508"/>
      <c r="AD305" s="508"/>
      <c r="AE305" s="508"/>
      <c r="AF305" s="508"/>
    </row>
    <row r="306" spans="16:32" ht="16">
      <c r="P306" s="540">
        <v>45688</v>
      </c>
      <c r="Q306" s="539">
        <v>3.99</v>
      </c>
      <c r="R306" s="541">
        <v>6567300</v>
      </c>
      <c r="S306" s="536"/>
      <c r="T306" s="535"/>
      <c r="U306" s="508"/>
      <c r="V306" s="508"/>
      <c r="W306" s="508"/>
      <c r="X306" s="508"/>
      <c r="Y306" s="508"/>
      <c r="Z306" s="508"/>
      <c r="AA306" s="508"/>
      <c r="AB306" s="508"/>
      <c r="AC306" s="508"/>
      <c r="AD306" s="508"/>
      <c r="AE306" s="508"/>
      <c r="AF306" s="508"/>
    </row>
    <row r="307" spans="16:32" ht="16">
      <c r="P307" s="540">
        <v>45687</v>
      </c>
      <c r="Q307" s="539">
        <v>4.09</v>
      </c>
      <c r="R307" s="541">
        <v>15661300</v>
      </c>
      <c r="S307" s="536"/>
      <c r="T307" s="535"/>
      <c r="U307" s="508"/>
      <c r="V307" s="508"/>
      <c r="W307" s="508"/>
      <c r="X307" s="508"/>
      <c r="Y307" s="508"/>
      <c r="Z307" s="508"/>
      <c r="AA307" s="508"/>
      <c r="AB307" s="508"/>
      <c r="AC307" s="508"/>
      <c r="AD307" s="508"/>
      <c r="AE307" s="508"/>
      <c r="AF307" s="508"/>
    </row>
    <row r="308" spans="16:32" ht="16">
      <c r="P308" s="540">
        <v>45686</v>
      </c>
      <c r="Q308" s="539">
        <v>3.51</v>
      </c>
      <c r="R308" s="541">
        <v>2831400</v>
      </c>
      <c r="S308" s="536"/>
      <c r="T308" s="535"/>
      <c r="U308" s="508"/>
      <c r="V308" s="508"/>
      <c r="W308" s="508"/>
      <c r="X308" s="508"/>
      <c r="Y308" s="508"/>
      <c r="Z308" s="508"/>
      <c r="AA308" s="508"/>
      <c r="AB308" s="508"/>
      <c r="AC308" s="508"/>
      <c r="AD308" s="508"/>
      <c r="AE308" s="508"/>
      <c r="AF308" s="508"/>
    </row>
    <row r="309" spans="16:32" ht="16">
      <c r="P309" s="540">
        <v>45685</v>
      </c>
      <c r="Q309" s="539">
        <v>3.61</v>
      </c>
      <c r="R309" s="541">
        <v>2745100</v>
      </c>
      <c r="S309" s="536"/>
      <c r="T309" s="535"/>
      <c r="U309" s="508"/>
      <c r="V309" s="508"/>
      <c r="W309" s="508"/>
      <c r="X309" s="508"/>
      <c r="Y309" s="508"/>
      <c r="Z309" s="508"/>
      <c r="AA309" s="508"/>
      <c r="AB309" s="508"/>
      <c r="AC309" s="508"/>
      <c r="AD309" s="508"/>
      <c r="AE309" s="508"/>
      <c r="AF309" s="508"/>
    </row>
    <row r="310" spans="16:32" ht="16">
      <c r="P310" s="540">
        <v>45684</v>
      </c>
      <c r="Q310" s="539">
        <v>3.61</v>
      </c>
      <c r="R310" s="541">
        <v>3067400</v>
      </c>
      <c r="S310" s="536"/>
      <c r="T310" s="535"/>
      <c r="U310" s="508"/>
      <c r="V310" s="508"/>
      <c r="W310" s="508"/>
      <c r="X310" s="508"/>
      <c r="Y310" s="508"/>
      <c r="Z310" s="508"/>
      <c r="AA310" s="508"/>
      <c r="AB310" s="508"/>
      <c r="AC310" s="508"/>
      <c r="AD310" s="508"/>
      <c r="AE310" s="508"/>
      <c r="AF310" s="508"/>
    </row>
    <row r="311" spans="16:32" ht="16">
      <c r="P311" s="540">
        <v>45681</v>
      </c>
      <c r="Q311" s="539">
        <v>3.9</v>
      </c>
      <c r="R311" s="541">
        <v>3241300</v>
      </c>
      <c r="S311" s="536"/>
      <c r="T311" s="535"/>
      <c r="U311" s="508"/>
      <c r="V311" s="508"/>
      <c r="W311" s="508"/>
      <c r="X311" s="508"/>
      <c r="Y311" s="508"/>
      <c r="Z311" s="508"/>
      <c r="AA311" s="508"/>
      <c r="AB311" s="508"/>
      <c r="AC311" s="508"/>
      <c r="AD311" s="508"/>
      <c r="AE311" s="508"/>
      <c r="AF311" s="508"/>
    </row>
    <row r="312" spans="16:32" ht="16">
      <c r="P312" s="540">
        <v>45680</v>
      </c>
      <c r="Q312" s="539">
        <v>4.1399999999999997</v>
      </c>
      <c r="R312" s="541">
        <v>2359600</v>
      </c>
      <c r="S312" s="536"/>
      <c r="T312" s="535"/>
      <c r="U312" s="508"/>
      <c r="V312" s="508"/>
      <c r="W312" s="508"/>
      <c r="X312" s="508"/>
      <c r="Y312" s="508"/>
      <c r="Z312" s="508"/>
      <c r="AA312" s="508"/>
      <c r="AB312" s="508"/>
      <c r="AC312" s="508"/>
      <c r="AD312" s="508"/>
      <c r="AE312" s="508"/>
      <c r="AF312" s="508"/>
    </row>
    <row r="313" spans="16:32" ht="16">
      <c r="P313" s="540">
        <v>45679</v>
      </c>
      <c r="Q313" s="539">
        <v>3.93</v>
      </c>
      <c r="R313" s="541">
        <v>3323400</v>
      </c>
      <c r="S313" s="536"/>
      <c r="T313" s="535"/>
      <c r="U313" s="508"/>
      <c r="V313" s="508"/>
      <c r="W313" s="508"/>
      <c r="X313" s="508"/>
      <c r="Y313" s="508"/>
      <c r="Z313" s="508"/>
      <c r="AA313" s="508"/>
      <c r="AB313" s="508"/>
      <c r="AC313" s="508"/>
      <c r="AD313" s="508"/>
      <c r="AE313" s="508"/>
      <c r="AF313" s="508"/>
    </row>
    <row r="314" spans="16:32" ht="16">
      <c r="P314" s="540">
        <v>45678</v>
      </c>
      <c r="Q314" s="539">
        <v>3.91</v>
      </c>
      <c r="R314" s="541">
        <v>4155000</v>
      </c>
      <c r="S314" s="536"/>
      <c r="T314" s="535"/>
      <c r="U314" s="508"/>
      <c r="V314" s="508"/>
      <c r="W314" s="508"/>
      <c r="X314" s="508"/>
      <c r="Y314" s="508"/>
      <c r="Z314" s="508"/>
      <c r="AA314" s="508"/>
      <c r="AB314" s="508"/>
      <c r="AC314" s="508"/>
      <c r="AD314" s="508"/>
      <c r="AE314" s="508"/>
      <c r="AF314" s="508"/>
    </row>
    <row r="315" spans="16:32" ht="16">
      <c r="P315" s="540">
        <v>45674</v>
      </c>
      <c r="Q315" s="539">
        <v>3.67</v>
      </c>
      <c r="R315" s="541">
        <v>1982400</v>
      </c>
      <c r="S315" s="536"/>
      <c r="T315" s="535"/>
      <c r="U315" s="508"/>
      <c r="V315" s="508"/>
      <c r="W315" s="508"/>
      <c r="X315" s="508"/>
      <c r="Y315" s="508"/>
      <c r="Z315" s="508"/>
      <c r="AA315" s="508"/>
      <c r="AB315" s="508"/>
      <c r="AC315" s="508"/>
      <c r="AD315" s="508"/>
      <c r="AE315" s="508"/>
      <c r="AF315" s="508"/>
    </row>
    <row r="316" spans="16:32" ht="16">
      <c r="P316" s="540">
        <v>45673</v>
      </c>
      <c r="Q316" s="539">
        <v>3.88</v>
      </c>
      <c r="R316" s="541">
        <v>2959500</v>
      </c>
      <c r="S316" s="536"/>
      <c r="T316" s="535"/>
      <c r="U316" s="508"/>
      <c r="V316" s="508"/>
      <c r="W316" s="508"/>
      <c r="X316" s="508"/>
      <c r="Y316" s="508"/>
      <c r="Z316" s="508"/>
      <c r="AA316" s="508"/>
      <c r="AB316" s="508"/>
      <c r="AC316" s="508"/>
      <c r="AD316" s="508"/>
      <c r="AE316" s="508"/>
      <c r="AF316" s="508"/>
    </row>
    <row r="317" spans="16:32" ht="16">
      <c r="P317" s="540">
        <v>45672</v>
      </c>
      <c r="Q317" s="539">
        <v>3.94</v>
      </c>
      <c r="R317" s="541">
        <v>4287600</v>
      </c>
      <c r="S317" s="536"/>
      <c r="T317" s="535"/>
      <c r="U317" s="508"/>
      <c r="V317" s="508"/>
      <c r="W317" s="508"/>
      <c r="X317" s="508"/>
      <c r="Y317" s="508"/>
      <c r="Z317" s="508"/>
      <c r="AA317" s="508"/>
      <c r="AB317" s="508"/>
      <c r="AC317" s="508"/>
      <c r="AD317" s="508"/>
      <c r="AE317" s="508"/>
      <c r="AF317" s="508"/>
    </row>
    <row r="318" spans="16:32" ht="16">
      <c r="P318" s="540">
        <v>45671</v>
      </c>
      <c r="Q318" s="539">
        <v>3.37</v>
      </c>
      <c r="R318" s="541">
        <v>3742700</v>
      </c>
      <c r="S318" s="536"/>
      <c r="T318" s="535"/>
      <c r="U318" s="508"/>
      <c r="V318" s="508"/>
      <c r="W318" s="508"/>
      <c r="X318" s="508"/>
      <c r="Y318" s="508"/>
      <c r="Z318" s="508"/>
      <c r="AA318" s="508"/>
      <c r="AB318" s="508"/>
      <c r="AC318" s="508"/>
      <c r="AD318" s="508"/>
      <c r="AE318" s="508"/>
      <c r="AF318" s="508"/>
    </row>
    <row r="319" spans="16:32" ht="16">
      <c r="P319" s="540">
        <v>45670</v>
      </c>
      <c r="Q319" s="539">
        <v>3.35</v>
      </c>
      <c r="R319" s="541">
        <v>3311800</v>
      </c>
      <c r="S319" s="536"/>
      <c r="T319" s="535"/>
      <c r="U319" s="508"/>
      <c r="V319" s="508"/>
      <c r="W319" s="508"/>
      <c r="X319" s="508"/>
      <c r="Y319" s="508"/>
      <c r="Z319" s="508"/>
      <c r="AA319" s="508"/>
      <c r="AB319" s="508"/>
      <c r="AC319" s="508"/>
      <c r="AD319" s="508"/>
      <c r="AE319" s="508"/>
      <c r="AF319" s="508"/>
    </row>
    <row r="320" spans="16:32" ht="16">
      <c r="P320" s="540">
        <v>45667</v>
      </c>
      <c r="Q320" s="539">
        <v>3.59</v>
      </c>
      <c r="R320" s="541">
        <v>3772000</v>
      </c>
      <c r="S320" s="536"/>
      <c r="T320" s="535"/>
      <c r="U320" s="508"/>
      <c r="V320" s="508"/>
      <c r="W320" s="508"/>
      <c r="X320" s="508"/>
      <c r="Y320" s="508"/>
      <c r="Z320" s="508"/>
      <c r="AA320" s="508"/>
      <c r="AB320" s="508"/>
      <c r="AC320" s="508"/>
      <c r="AD320" s="508"/>
      <c r="AE320" s="508"/>
      <c r="AF320" s="508"/>
    </row>
    <row r="321" spans="16:32" ht="16">
      <c r="P321" s="540">
        <v>45665</v>
      </c>
      <c r="Q321" s="539">
        <v>4</v>
      </c>
      <c r="R321" s="541">
        <v>4239600</v>
      </c>
      <c r="S321" s="536"/>
      <c r="T321" s="535"/>
      <c r="U321" s="508"/>
      <c r="V321" s="508"/>
      <c r="W321" s="508"/>
      <c r="X321" s="508"/>
      <c r="Y321" s="508"/>
      <c r="Z321" s="508"/>
      <c r="AA321" s="508"/>
      <c r="AB321" s="508"/>
      <c r="AC321" s="508"/>
      <c r="AD321" s="508"/>
      <c r="AE321" s="508"/>
      <c r="AF321" s="508"/>
    </row>
    <row r="322" spans="16:32" ht="16">
      <c r="P322" s="540">
        <v>45664</v>
      </c>
      <c r="Q322" s="539">
        <v>4.04</v>
      </c>
      <c r="R322" s="541">
        <v>4144000</v>
      </c>
      <c r="S322" s="536"/>
      <c r="T322" s="535"/>
      <c r="U322" s="508"/>
      <c r="V322" s="508"/>
      <c r="W322" s="508"/>
      <c r="X322" s="508"/>
      <c r="Y322" s="508"/>
      <c r="Z322" s="508"/>
      <c r="AA322" s="508"/>
      <c r="AB322" s="508"/>
      <c r="AC322" s="508"/>
      <c r="AD322" s="508"/>
      <c r="AE322" s="508"/>
      <c r="AF322" s="508"/>
    </row>
    <row r="323" spans="16:32" ht="16">
      <c r="P323" s="540">
        <v>45663</v>
      </c>
      <c r="Q323" s="539">
        <v>4.2300000000000004</v>
      </c>
      <c r="R323" s="541">
        <v>4201900</v>
      </c>
      <c r="S323" s="536"/>
      <c r="T323" s="535"/>
      <c r="U323" s="508"/>
      <c r="V323" s="508"/>
      <c r="W323" s="508"/>
      <c r="X323" s="508"/>
      <c r="Y323" s="508"/>
      <c r="Z323" s="508"/>
      <c r="AA323" s="508"/>
      <c r="AB323" s="508"/>
      <c r="AC323" s="508"/>
      <c r="AD323" s="508"/>
      <c r="AE323" s="508"/>
      <c r="AF323" s="508"/>
    </row>
    <row r="324" spans="16:32" ht="16">
      <c r="P324" s="540">
        <v>45660</v>
      </c>
      <c r="Q324" s="539">
        <v>4.0599999999999996</v>
      </c>
      <c r="R324" s="541">
        <v>8797900</v>
      </c>
      <c r="S324" s="536"/>
      <c r="T324" s="535"/>
      <c r="U324" s="508"/>
      <c r="V324" s="508"/>
      <c r="W324" s="508"/>
      <c r="X324" s="508"/>
      <c r="Y324" s="508"/>
      <c r="Z324" s="508"/>
      <c r="AA324" s="508"/>
      <c r="AB324" s="508"/>
      <c r="AC324" s="508"/>
      <c r="AD324" s="508"/>
      <c r="AE324" s="508"/>
      <c r="AF324" s="508"/>
    </row>
    <row r="325" spans="16:32" ht="16">
      <c r="P325" s="540">
        <v>45659</v>
      </c>
      <c r="Q325" s="539">
        <v>3.97</v>
      </c>
      <c r="R325" s="541">
        <v>11433200</v>
      </c>
      <c r="S325" s="536"/>
      <c r="T325" s="535"/>
      <c r="U325" s="508"/>
      <c r="V325" s="508"/>
      <c r="W325" s="508"/>
      <c r="X325" s="508"/>
      <c r="Y325" s="508"/>
      <c r="Z325" s="508"/>
      <c r="AA325" s="508"/>
      <c r="AB325" s="508"/>
      <c r="AC325" s="508"/>
      <c r="AD325" s="508"/>
      <c r="AE325" s="508"/>
      <c r="AF325" s="508"/>
    </row>
    <row r="326" spans="16:32" ht="16">
      <c r="P326" s="540">
        <v>45657</v>
      </c>
      <c r="Q326" s="539">
        <v>3.12</v>
      </c>
      <c r="R326" s="541">
        <v>2664700</v>
      </c>
      <c r="S326" s="536"/>
      <c r="T326" s="535"/>
      <c r="U326" s="508"/>
      <c r="V326" s="508"/>
      <c r="W326" s="508"/>
      <c r="X326" s="508"/>
      <c r="Y326" s="508"/>
      <c r="Z326" s="508"/>
      <c r="AA326" s="508"/>
      <c r="AB326" s="508"/>
      <c r="AC326" s="508"/>
      <c r="AD326" s="508"/>
      <c r="AE326" s="508"/>
      <c r="AF326" s="508"/>
    </row>
    <row r="327" spans="16:32" ht="16">
      <c r="P327" s="540">
        <v>45656</v>
      </c>
      <c r="Q327" s="539">
        <v>3.23</v>
      </c>
      <c r="R327" s="541">
        <v>3020900</v>
      </c>
      <c r="S327" s="536"/>
      <c r="T327" s="535"/>
      <c r="U327" s="508"/>
      <c r="V327" s="508"/>
      <c r="W327" s="508"/>
      <c r="X327" s="508"/>
      <c r="Y327" s="508"/>
      <c r="Z327" s="508"/>
      <c r="AA327" s="508"/>
      <c r="AB327" s="508"/>
      <c r="AC327" s="508"/>
      <c r="AD327" s="508"/>
      <c r="AE327" s="508"/>
      <c r="AF327" s="508"/>
    </row>
    <row r="328" spans="16:32" ht="16">
      <c r="P328" s="540">
        <v>45653</v>
      </c>
      <c r="Q328" s="539">
        <v>3.46</v>
      </c>
      <c r="R328" s="541">
        <v>2795700</v>
      </c>
      <c r="S328" s="536"/>
      <c r="T328" s="535"/>
      <c r="U328" s="508"/>
      <c r="V328" s="508"/>
      <c r="W328" s="508"/>
      <c r="X328" s="508"/>
      <c r="Y328" s="508"/>
      <c r="Z328" s="508"/>
      <c r="AA328" s="508"/>
      <c r="AB328" s="508"/>
      <c r="AC328" s="508"/>
      <c r="AD328" s="508"/>
      <c r="AE328" s="508"/>
      <c r="AF328" s="508"/>
    </row>
    <row r="329" spans="16:32" ht="16">
      <c r="P329" s="540">
        <v>45652</v>
      </c>
      <c r="Q329" s="539">
        <v>3.4</v>
      </c>
      <c r="R329" s="541">
        <v>2525100</v>
      </c>
      <c r="S329" s="536"/>
      <c r="T329" s="535"/>
      <c r="U329" s="508"/>
      <c r="V329" s="508"/>
      <c r="W329" s="508"/>
      <c r="X329" s="508"/>
      <c r="Y329" s="508"/>
      <c r="Z329" s="508"/>
      <c r="AA329" s="508"/>
      <c r="AB329" s="508"/>
      <c r="AC329" s="508"/>
      <c r="AD329" s="508"/>
      <c r="AE329" s="508"/>
      <c r="AF329" s="508"/>
    </row>
    <row r="330" spans="16:32" ht="16">
      <c r="P330" s="540">
        <v>45650</v>
      </c>
      <c r="Q330" s="539">
        <v>3.11</v>
      </c>
      <c r="R330" s="541">
        <v>1013200</v>
      </c>
      <c r="S330" s="536"/>
      <c r="T330" s="535"/>
      <c r="U330" s="508"/>
      <c r="V330" s="508"/>
      <c r="W330" s="508"/>
      <c r="X330" s="508"/>
      <c r="Y330" s="508"/>
      <c r="Z330" s="508"/>
      <c r="AA330" s="508"/>
      <c r="AB330" s="508"/>
      <c r="AC330" s="508"/>
      <c r="AD330" s="508"/>
      <c r="AE330" s="508"/>
      <c r="AF330" s="508"/>
    </row>
    <row r="331" spans="16:32" ht="16">
      <c r="P331" s="540">
        <v>45649</v>
      </c>
      <c r="Q331" s="539">
        <v>3.02</v>
      </c>
      <c r="R331" s="541">
        <v>1631500</v>
      </c>
      <c r="S331" s="536"/>
      <c r="T331" s="535"/>
      <c r="U331" s="508"/>
      <c r="V331" s="508"/>
      <c r="W331" s="508"/>
      <c r="X331" s="508"/>
      <c r="Y331" s="508"/>
      <c r="Z331" s="508"/>
      <c r="AA331" s="508"/>
      <c r="AB331" s="508"/>
      <c r="AC331" s="508"/>
      <c r="AD331" s="508"/>
      <c r="AE331" s="508"/>
      <c r="AF331" s="508"/>
    </row>
    <row r="332" spans="16:32" ht="16">
      <c r="P332" s="540">
        <v>45646</v>
      </c>
      <c r="Q332" s="539">
        <v>3.09</v>
      </c>
      <c r="R332" s="541">
        <v>8899600</v>
      </c>
      <c r="S332" s="536"/>
      <c r="T332" s="535"/>
      <c r="U332" s="508"/>
      <c r="V332" s="508"/>
      <c r="W332" s="508"/>
      <c r="X332" s="508"/>
      <c r="Y332" s="508"/>
      <c r="Z332" s="508"/>
      <c r="AA332" s="508"/>
      <c r="AB332" s="508"/>
      <c r="AC332" s="508"/>
      <c r="AD332" s="508"/>
      <c r="AE332" s="508"/>
      <c r="AF332" s="508"/>
    </row>
    <row r="333" spans="16:32" ht="16">
      <c r="P333" s="540">
        <v>45645</v>
      </c>
      <c r="Q333" s="539">
        <v>2.97</v>
      </c>
      <c r="R333" s="541">
        <v>3331200</v>
      </c>
      <c r="S333" s="536"/>
      <c r="T333" s="535"/>
      <c r="U333" s="508"/>
      <c r="V333" s="508"/>
      <c r="W333" s="508"/>
      <c r="X333" s="508"/>
      <c r="Y333" s="508"/>
      <c r="Z333" s="508"/>
      <c r="AA333" s="508"/>
      <c r="AB333" s="508"/>
      <c r="AC333" s="508"/>
      <c r="AD333" s="508"/>
      <c r="AE333" s="508"/>
      <c r="AF333" s="508"/>
    </row>
    <row r="334" spans="16:32" ht="16">
      <c r="P334" s="540">
        <v>45644</v>
      </c>
      <c r="Q334" s="539">
        <v>3.12</v>
      </c>
      <c r="R334" s="541">
        <v>4235700</v>
      </c>
      <c r="S334" s="536"/>
      <c r="T334" s="535"/>
      <c r="U334" s="508"/>
      <c r="V334" s="508"/>
      <c r="W334" s="508"/>
      <c r="X334" s="508"/>
      <c r="Y334" s="508"/>
      <c r="Z334" s="508"/>
      <c r="AA334" s="508"/>
      <c r="AB334" s="508"/>
      <c r="AC334" s="508"/>
      <c r="AD334" s="508"/>
      <c r="AE334" s="508"/>
      <c r="AF334" s="508"/>
    </row>
    <row r="335" spans="16:32" ht="16">
      <c r="P335" s="540">
        <v>45643</v>
      </c>
      <c r="Q335" s="539">
        <v>3.52</v>
      </c>
      <c r="R335" s="541">
        <v>3710900</v>
      </c>
      <c r="S335" s="536"/>
      <c r="T335" s="535"/>
      <c r="U335" s="508"/>
      <c r="V335" s="508"/>
      <c r="W335" s="508"/>
      <c r="X335" s="508"/>
      <c r="Y335" s="508"/>
      <c r="Z335" s="508"/>
      <c r="AA335" s="508"/>
      <c r="AB335" s="508"/>
      <c r="AC335" s="508"/>
      <c r="AD335" s="508"/>
      <c r="AE335" s="508"/>
      <c r="AF335" s="508"/>
    </row>
    <row r="336" spans="16:32" ht="16">
      <c r="P336" s="540">
        <v>45642</v>
      </c>
      <c r="Q336" s="539">
        <v>3.6</v>
      </c>
      <c r="R336" s="541">
        <v>2980100</v>
      </c>
      <c r="S336" s="536"/>
      <c r="T336" s="535"/>
      <c r="U336" s="508"/>
      <c r="V336" s="508"/>
      <c r="W336" s="508"/>
      <c r="X336" s="508"/>
      <c r="Y336" s="508"/>
      <c r="Z336" s="508"/>
      <c r="AA336" s="508"/>
      <c r="AB336" s="508"/>
      <c r="AC336" s="508"/>
      <c r="AD336" s="508"/>
      <c r="AE336" s="508"/>
      <c r="AF336" s="508"/>
    </row>
    <row r="337" spans="16:32" ht="16">
      <c r="P337" s="540">
        <v>45639</v>
      </c>
      <c r="Q337" s="539">
        <v>3.39</v>
      </c>
      <c r="R337" s="541">
        <v>2335600</v>
      </c>
      <c r="S337" s="536"/>
      <c r="T337" s="535"/>
      <c r="U337" s="508"/>
      <c r="V337" s="508"/>
      <c r="W337" s="508"/>
      <c r="X337" s="508"/>
      <c r="Y337" s="508"/>
      <c r="Z337" s="508"/>
      <c r="AA337" s="508"/>
      <c r="AB337" s="508"/>
      <c r="AC337" s="508"/>
      <c r="AD337" s="508"/>
      <c r="AE337" s="508"/>
      <c r="AF337" s="508"/>
    </row>
    <row r="338" spans="16:32" ht="16">
      <c r="P338" s="540">
        <v>45638</v>
      </c>
      <c r="Q338" s="539">
        <v>3.54</v>
      </c>
      <c r="R338" s="541">
        <v>4026900</v>
      </c>
      <c r="S338" s="536"/>
      <c r="T338" s="535"/>
      <c r="U338" s="508"/>
      <c r="V338" s="508"/>
      <c r="W338" s="508"/>
      <c r="X338" s="508"/>
      <c r="Y338" s="508"/>
      <c r="Z338" s="508"/>
      <c r="AA338" s="508"/>
      <c r="AB338" s="508"/>
      <c r="AC338" s="508"/>
      <c r="AD338" s="508"/>
      <c r="AE338" s="508"/>
      <c r="AF338" s="508"/>
    </row>
    <row r="339" spans="16:32" ht="16">
      <c r="P339" s="540">
        <v>45637</v>
      </c>
      <c r="Q339" s="539">
        <v>3.61</v>
      </c>
      <c r="R339" s="541">
        <v>3697500</v>
      </c>
      <c r="S339" s="536"/>
      <c r="T339" s="535"/>
      <c r="U339" s="508"/>
      <c r="V339" s="508"/>
      <c r="W339" s="508"/>
      <c r="X339" s="508"/>
      <c r="Y339" s="508"/>
      <c r="Z339" s="508"/>
      <c r="AA339" s="508"/>
      <c r="AB339" s="508"/>
      <c r="AC339" s="508"/>
      <c r="AD339" s="508"/>
      <c r="AE339" s="508"/>
      <c r="AF339" s="508"/>
    </row>
    <row r="340" spans="16:32" ht="16">
      <c r="P340" s="540">
        <v>45636</v>
      </c>
      <c r="Q340" s="539">
        <v>3.67</v>
      </c>
      <c r="R340" s="541">
        <v>4450000</v>
      </c>
      <c r="S340" s="536"/>
      <c r="T340" s="535"/>
      <c r="U340" s="508"/>
      <c r="V340" s="508"/>
      <c r="W340" s="508"/>
      <c r="X340" s="508"/>
      <c r="Y340" s="508"/>
      <c r="Z340" s="508"/>
      <c r="AA340" s="508"/>
      <c r="AB340" s="508"/>
      <c r="AC340" s="508"/>
      <c r="AD340" s="508"/>
      <c r="AE340" s="508"/>
      <c r="AF340" s="508"/>
    </row>
    <row r="341" spans="16:32" ht="16">
      <c r="P341" s="540">
        <v>45635</v>
      </c>
      <c r="Q341" s="539">
        <v>3.3</v>
      </c>
      <c r="R341" s="541">
        <v>2403200</v>
      </c>
      <c r="S341" s="536"/>
      <c r="T341" s="535"/>
      <c r="U341" s="508"/>
      <c r="V341" s="508"/>
      <c r="W341" s="508"/>
      <c r="X341" s="508"/>
      <c r="Y341" s="508"/>
      <c r="Z341" s="508"/>
      <c r="AA341" s="508"/>
      <c r="AB341" s="508"/>
      <c r="AC341" s="508"/>
      <c r="AD341" s="508"/>
      <c r="AE341" s="508"/>
      <c r="AF341" s="508"/>
    </row>
    <row r="342" spans="16:32" ht="16">
      <c r="P342" s="540">
        <v>45632</v>
      </c>
      <c r="Q342" s="539">
        <v>3.26</v>
      </c>
      <c r="R342" s="541">
        <v>2475700</v>
      </c>
      <c r="S342" s="536"/>
      <c r="T342" s="535"/>
      <c r="U342" s="508"/>
      <c r="V342" s="508"/>
      <c r="W342" s="508"/>
      <c r="X342" s="508"/>
      <c r="Y342" s="508"/>
      <c r="Z342" s="508"/>
      <c r="AA342" s="508"/>
      <c r="AB342" s="508"/>
      <c r="AC342" s="508"/>
      <c r="AD342" s="508"/>
      <c r="AE342" s="508"/>
      <c r="AF342" s="508"/>
    </row>
    <row r="343" spans="16:32" ht="16">
      <c r="P343" s="540">
        <v>45631</v>
      </c>
      <c r="Q343" s="539">
        <v>3.31</v>
      </c>
      <c r="R343" s="541">
        <v>2096400</v>
      </c>
      <c r="S343" s="536"/>
      <c r="T343" s="535"/>
      <c r="U343" s="508"/>
      <c r="V343" s="508"/>
      <c r="W343" s="508"/>
      <c r="X343" s="508"/>
      <c r="Y343" s="508"/>
      <c r="Z343" s="508"/>
      <c r="AA343" s="508"/>
      <c r="AB343" s="508"/>
      <c r="AC343" s="508"/>
      <c r="AD343" s="508"/>
      <c r="AE343" s="508"/>
      <c r="AF343" s="508"/>
    </row>
    <row r="344" spans="16:32" ht="16">
      <c r="P344" s="540">
        <v>45630</v>
      </c>
      <c r="Q344" s="539">
        <v>3.31</v>
      </c>
      <c r="R344" s="541">
        <v>2406900</v>
      </c>
      <c r="S344" s="536"/>
      <c r="T344" s="535"/>
      <c r="U344" s="508"/>
      <c r="V344" s="508"/>
      <c r="W344" s="508"/>
      <c r="X344" s="508"/>
      <c r="Y344" s="508"/>
      <c r="Z344" s="508"/>
      <c r="AA344" s="508"/>
      <c r="AB344" s="508"/>
      <c r="AC344" s="508"/>
      <c r="AD344" s="508"/>
      <c r="AE344" s="508"/>
      <c r="AF344" s="508"/>
    </row>
    <row r="345" spans="16:32" ht="16">
      <c r="P345" s="540">
        <v>45629</v>
      </c>
      <c r="Q345" s="539">
        <v>3.31</v>
      </c>
      <c r="R345" s="541">
        <v>3378500</v>
      </c>
      <c r="S345" s="536"/>
      <c r="T345" s="535"/>
      <c r="U345" s="508"/>
      <c r="V345" s="508"/>
      <c r="W345" s="508"/>
      <c r="X345" s="508"/>
      <c r="Y345" s="508"/>
      <c r="Z345" s="508"/>
      <c r="AA345" s="508"/>
      <c r="AB345" s="508"/>
      <c r="AC345" s="508"/>
      <c r="AD345" s="508"/>
      <c r="AE345" s="508"/>
      <c r="AF345" s="508"/>
    </row>
    <row r="346" spans="16:32" ht="16">
      <c r="P346" s="540">
        <v>45628</v>
      </c>
      <c r="Q346" s="539">
        <v>3.37</v>
      </c>
      <c r="R346" s="541">
        <v>3684600</v>
      </c>
      <c r="S346" s="536"/>
      <c r="T346" s="535"/>
      <c r="U346" s="508"/>
      <c r="V346" s="508"/>
      <c r="W346" s="508"/>
      <c r="X346" s="508"/>
      <c r="Y346" s="508"/>
      <c r="Z346" s="508"/>
      <c r="AA346" s="508"/>
      <c r="AB346" s="508"/>
      <c r="AC346" s="508"/>
      <c r="AD346" s="508"/>
      <c r="AE346" s="508"/>
      <c r="AF346" s="508"/>
    </row>
    <row r="347" spans="16:32" ht="16">
      <c r="P347" s="540">
        <v>45625</v>
      </c>
      <c r="Q347" s="539">
        <v>3.29</v>
      </c>
      <c r="R347" s="541">
        <v>1525700</v>
      </c>
      <c r="S347" s="536"/>
      <c r="T347" s="535"/>
      <c r="U347" s="508"/>
      <c r="V347" s="508"/>
      <c r="W347" s="508"/>
      <c r="X347" s="508"/>
      <c r="Y347" s="508"/>
      <c r="Z347" s="508"/>
      <c r="AA347" s="508"/>
      <c r="AB347" s="508"/>
      <c r="AC347" s="508"/>
      <c r="AD347" s="508"/>
      <c r="AE347" s="508"/>
      <c r="AF347" s="508"/>
    </row>
    <row r="348" spans="16:32" ht="16">
      <c r="P348" s="540">
        <v>45623</v>
      </c>
      <c r="Q348" s="539">
        <v>3.29</v>
      </c>
      <c r="R348" s="541">
        <v>2227400</v>
      </c>
      <c r="S348" s="536"/>
      <c r="T348" s="535"/>
      <c r="U348" s="508"/>
      <c r="V348" s="508"/>
      <c r="W348" s="508"/>
      <c r="X348" s="508"/>
      <c r="Y348" s="508"/>
      <c r="Z348" s="508"/>
      <c r="AA348" s="508"/>
      <c r="AB348" s="508"/>
      <c r="AC348" s="508"/>
      <c r="AD348" s="508"/>
      <c r="AE348" s="508"/>
      <c r="AF348" s="508"/>
    </row>
    <row r="349" spans="16:32" ht="16">
      <c r="P349" s="540">
        <v>45622</v>
      </c>
      <c r="Q349" s="539">
        <v>3.16</v>
      </c>
      <c r="R349" s="541">
        <v>3427600</v>
      </c>
      <c r="S349" s="536"/>
      <c r="T349" s="535"/>
      <c r="U349" s="508"/>
      <c r="V349" s="508"/>
      <c r="W349" s="508"/>
      <c r="X349" s="508"/>
      <c r="Y349" s="508"/>
      <c r="Z349" s="508"/>
      <c r="AA349" s="508"/>
      <c r="AB349" s="508"/>
      <c r="AC349" s="508"/>
      <c r="AD349" s="508"/>
      <c r="AE349" s="508"/>
      <c r="AF349" s="508"/>
    </row>
    <row r="350" spans="16:32" ht="16">
      <c r="P350" s="540">
        <v>45621</v>
      </c>
      <c r="Q350" s="539">
        <v>3.28</v>
      </c>
      <c r="R350" s="541">
        <v>3311100</v>
      </c>
      <c r="S350" s="536"/>
      <c r="T350" s="535"/>
      <c r="U350" s="508"/>
      <c r="V350" s="508"/>
      <c r="W350" s="508"/>
      <c r="X350" s="508"/>
      <c r="Y350" s="508"/>
      <c r="Z350" s="508"/>
      <c r="AA350" s="508"/>
      <c r="AB350" s="508"/>
      <c r="AC350" s="508"/>
      <c r="AD350" s="508"/>
      <c r="AE350" s="508"/>
      <c r="AF350" s="508"/>
    </row>
    <row r="351" spans="16:32" ht="16">
      <c r="P351" s="540">
        <v>45618</v>
      </c>
      <c r="Q351" s="539">
        <v>3.24</v>
      </c>
      <c r="R351" s="541">
        <v>3342900</v>
      </c>
      <c r="S351" s="536"/>
      <c r="T351" s="535"/>
      <c r="U351" s="508"/>
      <c r="V351" s="508"/>
      <c r="W351" s="508"/>
      <c r="X351" s="508"/>
      <c r="Y351" s="508"/>
      <c r="Z351" s="508"/>
      <c r="AA351" s="508"/>
      <c r="AB351" s="508"/>
      <c r="AC351" s="508"/>
      <c r="AD351" s="508"/>
      <c r="AE351" s="508"/>
      <c r="AF351" s="508"/>
    </row>
    <row r="352" spans="16:32" ht="16">
      <c r="P352" s="540">
        <v>45617</v>
      </c>
      <c r="Q352" s="539">
        <v>3.29</v>
      </c>
      <c r="R352" s="541">
        <v>4091200</v>
      </c>
      <c r="S352" s="536"/>
      <c r="T352" s="535"/>
      <c r="U352" s="508"/>
      <c r="V352" s="508"/>
      <c r="W352" s="508"/>
      <c r="X352" s="508"/>
      <c r="Y352" s="508"/>
      <c r="Z352" s="508"/>
      <c r="AA352" s="508"/>
      <c r="AB352" s="508"/>
      <c r="AC352" s="508"/>
      <c r="AD352" s="508"/>
      <c r="AE352" s="508"/>
      <c r="AF352" s="508"/>
    </row>
    <row r="353" spans="16:33" ht="16">
      <c r="P353" s="540">
        <v>45616</v>
      </c>
      <c r="Q353" s="539">
        <v>3.32</v>
      </c>
      <c r="R353" s="541">
        <v>5230000</v>
      </c>
      <c r="S353" s="536"/>
      <c r="T353" s="535"/>
      <c r="U353" s="508"/>
      <c r="V353" s="508"/>
      <c r="W353" s="508"/>
      <c r="X353" s="508"/>
      <c r="Y353" s="508"/>
      <c r="Z353" s="508"/>
      <c r="AA353" s="508"/>
      <c r="AB353" s="508"/>
      <c r="AC353" s="508"/>
      <c r="AD353" s="508"/>
      <c r="AE353" s="508"/>
      <c r="AF353" s="508"/>
    </row>
    <row r="354" spans="16:33" ht="16">
      <c r="P354" s="540">
        <v>45615</v>
      </c>
      <c r="Q354" s="539">
        <v>3.05</v>
      </c>
      <c r="R354" s="541">
        <v>5586300</v>
      </c>
      <c r="S354" s="536"/>
      <c r="T354" s="535"/>
      <c r="U354" s="508"/>
      <c r="V354" s="508"/>
      <c r="W354" s="508"/>
      <c r="X354" s="508"/>
      <c r="Y354" s="508"/>
      <c r="Z354" s="508"/>
      <c r="AA354" s="508"/>
      <c r="AB354" s="508"/>
      <c r="AC354" s="508"/>
      <c r="AD354" s="508"/>
      <c r="AE354" s="508"/>
      <c r="AF354" s="508"/>
    </row>
    <row r="355" spans="16:33" ht="16">
      <c r="P355" s="540">
        <v>45614</v>
      </c>
      <c r="Q355" s="539">
        <v>2.64</v>
      </c>
      <c r="R355" s="541">
        <v>3901800</v>
      </c>
      <c r="S355" s="536"/>
      <c r="T355" s="535"/>
      <c r="U355" s="508"/>
      <c r="V355" s="508"/>
      <c r="W355" s="508"/>
      <c r="X355" s="508"/>
      <c r="Y355" s="508"/>
      <c r="Z355" s="508"/>
      <c r="AA355" s="508"/>
      <c r="AB355" s="508"/>
      <c r="AC355" s="508"/>
      <c r="AD355" s="508"/>
      <c r="AE355" s="508"/>
      <c r="AF355" s="508"/>
    </row>
    <row r="356" spans="16:33" ht="16">
      <c r="P356" s="540">
        <v>45611</v>
      </c>
      <c r="Q356" s="539">
        <v>2.35</v>
      </c>
      <c r="R356" s="541">
        <v>3007200</v>
      </c>
      <c r="S356" s="536"/>
      <c r="T356" s="535"/>
      <c r="U356" s="508"/>
      <c r="V356" s="508"/>
      <c r="W356" s="508"/>
      <c r="X356" s="508"/>
      <c r="Y356" s="508"/>
      <c r="Z356" s="508"/>
      <c r="AA356" s="508"/>
      <c r="AB356" s="508"/>
      <c r="AC356" s="508"/>
      <c r="AD356" s="508"/>
      <c r="AE356" s="508"/>
      <c r="AF356" s="508"/>
    </row>
    <row r="357" spans="16:33" ht="16">
      <c r="P357" s="540">
        <v>45610</v>
      </c>
      <c r="Q357" s="539">
        <v>2.56</v>
      </c>
      <c r="R357" s="541">
        <v>2125100</v>
      </c>
      <c r="S357" s="536"/>
      <c r="T357" s="535"/>
      <c r="U357" s="508"/>
      <c r="V357" s="508"/>
      <c r="W357" s="508"/>
      <c r="X357" s="508"/>
      <c r="Y357" s="508"/>
      <c r="Z357" s="508"/>
      <c r="AA357" s="508"/>
      <c r="AB357" s="508"/>
      <c r="AC357" s="508"/>
      <c r="AD357" s="508"/>
      <c r="AE357" s="508"/>
      <c r="AF357" s="508"/>
    </row>
    <row r="358" spans="16:33" ht="16">
      <c r="P358" s="540">
        <v>45609</v>
      </c>
      <c r="Q358" s="539">
        <v>2.66</v>
      </c>
      <c r="R358" s="541">
        <v>1986200</v>
      </c>
      <c r="S358" s="536"/>
      <c r="T358" s="535"/>
      <c r="U358" s="508"/>
      <c r="V358" s="508"/>
      <c r="W358" s="508"/>
      <c r="X358" s="508"/>
      <c r="Y358" s="508"/>
      <c r="Z358" s="508"/>
      <c r="AA358" s="508"/>
      <c r="AB358" s="508"/>
      <c r="AC358" s="508"/>
      <c r="AD358" s="508"/>
      <c r="AE358" s="508"/>
      <c r="AF358" s="508"/>
    </row>
    <row r="359" spans="16:33" ht="16">
      <c r="P359" s="540">
        <v>45608</v>
      </c>
      <c r="Q359" s="539">
        <v>2.68</v>
      </c>
      <c r="R359" s="541">
        <v>2420000</v>
      </c>
      <c r="S359" s="536"/>
      <c r="T359" s="535"/>
      <c r="U359" s="508"/>
      <c r="V359" s="508"/>
      <c r="W359" s="508"/>
      <c r="X359" s="508"/>
      <c r="Y359" s="508"/>
      <c r="Z359" s="508"/>
      <c r="AA359" s="508"/>
      <c r="AB359" s="508"/>
      <c r="AC359" s="508"/>
      <c r="AD359" s="508"/>
      <c r="AE359" s="508"/>
      <c r="AF359" s="508"/>
    </row>
    <row r="360" spans="16:33" ht="16">
      <c r="P360" s="540">
        <v>45607</v>
      </c>
      <c r="Q360" s="539">
        <v>2.73</v>
      </c>
      <c r="R360" s="541">
        <v>3638600</v>
      </c>
      <c r="S360" s="536"/>
      <c r="T360" s="535"/>
      <c r="U360" s="508"/>
      <c r="V360" s="508"/>
      <c r="W360" s="508"/>
      <c r="X360" s="508"/>
      <c r="Y360" s="508"/>
      <c r="Z360" s="508"/>
      <c r="AA360" s="508"/>
      <c r="AB360" s="508"/>
      <c r="AC360" s="508"/>
      <c r="AD360" s="508"/>
      <c r="AE360" s="508"/>
      <c r="AF360" s="508"/>
    </row>
    <row r="361" spans="16:33" ht="16">
      <c r="P361" s="540">
        <v>45604</v>
      </c>
      <c r="Q361" s="539">
        <v>2.62</v>
      </c>
      <c r="R361" s="541">
        <v>2944600</v>
      </c>
      <c r="S361" s="536"/>
      <c r="T361" s="535"/>
      <c r="U361" s="508"/>
      <c r="V361" s="508"/>
      <c r="W361" s="508"/>
      <c r="X361" s="508"/>
      <c r="Y361" s="508"/>
      <c r="Z361" s="508"/>
      <c r="AA361" s="508"/>
      <c r="AB361" s="508"/>
      <c r="AC361" s="508"/>
      <c r="AD361" s="508"/>
      <c r="AE361" s="508"/>
      <c r="AF361" s="508"/>
    </row>
    <row r="362" spans="16:33" ht="16">
      <c r="P362" s="540">
        <v>45603</v>
      </c>
      <c r="Q362" s="539">
        <v>2.4500000000000002</v>
      </c>
      <c r="R362" s="541">
        <v>3479000</v>
      </c>
      <c r="S362" s="536"/>
      <c r="T362" s="535"/>
      <c r="U362" s="508"/>
      <c r="V362" s="508"/>
      <c r="W362" s="508"/>
      <c r="X362" s="508"/>
      <c r="Y362" s="508"/>
      <c r="Z362" s="508"/>
      <c r="AA362" s="508"/>
      <c r="AB362" s="508"/>
      <c r="AC362" s="508"/>
      <c r="AD362" s="508"/>
      <c r="AE362" s="508"/>
      <c r="AF362" s="508"/>
    </row>
    <row r="363" spans="16:33" ht="16">
      <c r="P363" s="540">
        <v>45602</v>
      </c>
      <c r="Q363" s="539">
        <v>2.57</v>
      </c>
      <c r="R363" s="541">
        <v>7348000</v>
      </c>
      <c r="S363" s="536"/>
      <c r="T363" s="535"/>
      <c r="U363" s="508"/>
      <c r="V363" s="508"/>
      <c r="W363" s="508"/>
      <c r="X363" s="508"/>
      <c r="Y363" s="508"/>
      <c r="Z363" s="508"/>
      <c r="AA363" s="508"/>
      <c r="AB363" s="508"/>
      <c r="AC363" s="508"/>
      <c r="AD363" s="508"/>
      <c r="AE363" s="508"/>
      <c r="AF363" s="508"/>
    </row>
    <row r="364" spans="16:33" ht="16">
      <c r="P364" s="532"/>
      <c r="Q364" s="508"/>
      <c r="R364" s="508"/>
      <c r="S364" s="533"/>
      <c r="T364" s="536"/>
      <c r="U364" s="535"/>
      <c r="V364" s="508"/>
      <c r="W364" s="508"/>
      <c r="X364" s="508"/>
      <c r="Y364" s="508"/>
      <c r="Z364" s="508"/>
      <c r="AA364" s="508"/>
      <c r="AB364" s="508"/>
      <c r="AC364" s="508"/>
      <c r="AD364" s="508"/>
      <c r="AE364" s="508"/>
      <c r="AF364" s="508"/>
      <c r="AG364" s="508"/>
    </row>
    <row r="365" spans="16:33" ht="16">
      <c r="P365" s="532"/>
      <c r="Q365" s="508"/>
      <c r="R365" s="508"/>
      <c r="S365" s="533"/>
      <c r="T365" s="536"/>
      <c r="U365" s="535"/>
      <c r="V365" s="508"/>
      <c r="W365" s="508"/>
      <c r="X365" s="508"/>
      <c r="Y365" s="508"/>
      <c r="Z365" s="508"/>
      <c r="AA365" s="508"/>
      <c r="AB365" s="508"/>
      <c r="AC365" s="508"/>
      <c r="AD365" s="508"/>
      <c r="AE365" s="508"/>
      <c r="AF365" s="508"/>
      <c r="AG365" s="508"/>
    </row>
    <row r="366" spans="16:33">
      <c r="P366" s="532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F5293-0B87-4DF5-A881-CD972A894030}">
  <dimension ref="A2:M50"/>
  <sheetViews>
    <sheetView showGridLines="0" topLeftCell="A5" zoomScale="67" workbookViewId="0">
      <selection activeCell="I10" sqref="I10"/>
    </sheetView>
  </sheetViews>
  <sheetFormatPr defaultRowHeight="14.5"/>
  <cols>
    <col min="2" max="2" width="3.54296875" customWidth="1"/>
    <col min="3" max="3" width="41.453125" bestFit="1" customWidth="1"/>
    <col min="4" max="4" width="7.54296875" bestFit="1" customWidth="1"/>
    <col min="5" max="6" width="14.26953125" bestFit="1" customWidth="1"/>
    <col min="7" max="8" width="10" bestFit="1" customWidth="1"/>
    <col min="9" max="9" width="45.453125" bestFit="1" customWidth="1"/>
    <col min="10" max="13" width="28.81640625" bestFit="1" customWidth="1"/>
  </cols>
  <sheetData>
    <row r="2" spans="1:10" s="492" customFormat="1" ht="18.5">
      <c r="A2"/>
      <c r="B2" s="491" t="str">
        <f>Company_Name&amp;" - Q4 Financial Results"</f>
        <v>Butterfly Network, inc. - Q4 Financial Results</v>
      </c>
      <c r="C2" s="28"/>
      <c r="D2" s="146"/>
      <c r="E2" s="28"/>
      <c r="F2" s="28"/>
    </row>
    <row r="3" spans="1:10" s="492" customFormat="1" ht="16">
      <c r="A3"/>
      <c r="B3" s="480" t="s">
        <v>405</v>
      </c>
      <c r="C3" s="28"/>
      <c r="D3" s="146"/>
      <c r="E3" s="28"/>
      <c r="F3" s="28"/>
    </row>
    <row r="4" spans="1:10" ht="16">
      <c r="B4" s="2"/>
      <c r="C4" s="2"/>
      <c r="D4" s="493"/>
      <c r="E4" s="2"/>
      <c r="F4" s="2"/>
    </row>
    <row r="5" spans="1:10" ht="16">
      <c r="B5" s="494"/>
      <c r="C5" s="494"/>
      <c r="D5" s="495"/>
      <c r="E5" s="494"/>
      <c r="F5" s="494"/>
      <c r="G5" s="494"/>
      <c r="H5" s="494"/>
    </row>
    <row r="6" spans="1:10" ht="16">
      <c r="B6" s="7" t="s">
        <v>387</v>
      </c>
      <c r="C6" s="494"/>
      <c r="D6" s="495"/>
      <c r="E6" s="424" t="s">
        <v>520</v>
      </c>
      <c r="F6" s="424" t="s">
        <v>521</v>
      </c>
      <c r="G6" s="424" t="s">
        <v>522</v>
      </c>
      <c r="H6" s="424" t="s">
        <v>523</v>
      </c>
      <c r="I6" s="359"/>
      <c r="J6" s="359"/>
    </row>
    <row r="7" spans="1:10" ht="16">
      <c r="B7" s="45"/>
      <c r="C7" s="620"/>
      <c r="D7" s="621"/>
      <c r="E7" s="496"/>
      <c r="F7" s="496"/>
      <c r="I7" s="359"/>
      <c r="J7" s="359"/>
    </row>
    <row r="8" spans="1:10" ht="16">
      <c r="B8" s="45"/>
      <c r="C8" s="28" t="s">
        <v>0</v>
      </c>
      <c r="D8" s="2"/>
      <c r="E8" s="623">
        <v>14164</v>
      </c>
      <c r="F8" s="623">
        <v>16621</v>
      </c>
      <c r="G8" s="623">
        <v>14556</v>
      </c>
      <c r="H8" s="623">
        <v>18102</v>
      </c>
    </row>
    <row r="9" spans="1:10" ht="16">
      <c r="B9" s="45"/>
      <c r="C9" s="28" t="s">
        <v>1</v>
      </c>
      <c r="D9" s="2"/>
      <c r="E9" s="623">
        <v>7061</v>
      </c>
      <c r="F9" s="623">
        <v>6762</v>
      </c>
      <c r="G9" s="623">
        <v>6933</v>
      </c>
      <c r="H9" s="623">
        <v>13412</v>
      </c>
    </row>
    <row r="10" spans="1:10" ht="16">
      <c r="B10" s="45"/>
      <c r="C10" s="30" t="s">
        <v>526</v>
      </c>
      <c r="D10" s="2"/>
      <c r="E10" s="623">
        <v>0</v>
      </c>
      <c r="F10" s="623">
        <v>0</v>
      </c>
      <c r="G10" s="623">
        <v>0</v>
      </c>
      <c r="H10" s="623">
        <v>6800</v>
      </c>
    </row>
    <row r="11" spans="1:10" ht="16">
      <c r="B11" s="2"/>
      <c r="C11" s="32" t="s">
        <v>217</v>
      </c>
      <c r="D11" s="493"/>
      <c r="E11" s="497">
        <v>21225</v>
      </c>
      <c r="F11" s="497">
        <v>23383</v>
      </c>
      <c r="G11" s="497">
        <v>21489</v>
      </c>
      <c r="H11" s="497">
        <v>31514</v>
      </c>
      <c r="I11" s="359"/>
      <c r="J11" s="359"/>
    </row>
    <row r="12" spans="1:10" ht="16">
      <c r="B12" s="2"/>
      <c r="C12" s="146" t="s">
        <v>388</v>
      </c>
      <c r="D12" s="493"/>
      <c r="E12" s="34"/>
      <c r="F12" s="498">
        <f>F11/E11-1</f>
        <v>0.10167255594817437</v>
      </c>
      <c r="G12" s="498">
        <f t="shared" ref="G12:H12" si="0">G11/F11-1</f>
        <v>-8.0999016379420974E-2</v>
      </c>
      <c r="H12" s="498">
        <f t="shared" si="0"/>
        <v>0.46651775326911449</v>
      </c>
    </row>
    <row r="13" spans="1:10" ht="16">
      <c r="B13" s="2"/>
      <c r="C13" s="146"/>
      <c r="D13" s="493"/>
      <c r="E13" s="34"/>
      <c r="F13" s="498"/>
    </row>
    <row r="14" spans="1:10" ht="16">
      <c r="B14" s="2"/>
      <c r="C14" s="622" t="s">
        <v>525</v>
      </c>
      <c r="D14" s="493"/>
      <c r="E14" s="497">
        <v>13380</v>
      </c>
      <c r="F14" s="497">
        <v>14891</v>
      </c>
      <c r="G14" s="497">
        <v>13839</v>
      </c>
      <c r="H14" s="497">
        <v>21221</v>
      </c>
    </row>
    <row r="15" spans="1:10" ht="16">
      <c r="B15" s="2"/>
      <c r="C15" s="146" t="s">
        <v>519</v>
      </c>
      <c r="D15" s="493"/>
      <c r="E15" s="624">
        <f>E14/E11</f>
        <v>0.63038869257950525</v>
      </c>
      <c r="F15" s="624">
        <f t="shared" ref="F15:H15" si="1">F14/F11</f>
        <v>0.63683017576872092</v>
      </c>
      <c r="G15" s="624">
        <f t="shared" si="1"/>
        <v>0.6440039089766858</v>
      </c>
      <c r="H15" s="624">
        <f t="shared" si="1"/>
        <v>0.67338325823443546</v>
      </c>
    </row>
    <row r="16" spans="1:10" ht="16">
      <c r="B16" s="2"/>
      <c r="C16" s="146"/>
      <c r="D16" s="493"/>
      <c r="E16" s="34"/>
      <c r="F16" s="498"/>
    </row>
    <row r="17" spans="2:13" ht="16">
      <c r="B17" s="2"/>
      <c r="C17" s="32" t="s">
        <v>389</v>
      </c>
      <c r="D17" s="493"/>
      <c r="E17" s="497">
        <v>-18468</v>
      </c>
      <c r="F17" s="497">
        <v>-16100</v>
      </c>
      <c r="G17" s="497">
        <v>-35134</v>
      </c>
      <c r="H17" s="497">
        <v>-16711</v>
      </c>
    </row>
    <row r="18" spans="2:13" ht="16">
      <c r="B18" s="2"/>
      <c r="C18" s="146" t="s">
        <v>524</v>
      </c>
      <c r="D18" s="493"/>
      <c r="E18" s="34"/>
      <c r="F18" s="498">
        <f>+F17/F11</f>
        <v>-0.68853440533721078</v>
      </c>
      <c r="G18" s="498">
        <f t="shared" ref="G18:H18" si="2">+G17/G11</f>
        <v>-1.6349760342500814</v>
      </c>
      <c r="H18" s="498">
        <f t="shared" si="2"/>
        <v>-0.53027225994795968</v>
      </c>
      <c r="I18" s="359"/>
      <c r="J18" s="359"/>
    </row>
    <row r="19" spans="2:13" ht="16">
      <c r="B19" s="2"/>
      <c r="C19" s="2"/>
      <c r="D19" s="493"/>
      <c r="E19" s="499"/>
      <c r="F19" s="34"/>
    </row>
    <row r="20" spans="2:13" ht="16">
      <c r="B20" s="2"/>
      <c r="C20" s="28" t="s">
        <v>390</v>
      </c>
      <c r="D20" s="493"/>
      <c r="E20" s="29">
        <v>7</v>
      </c>
      <c r="F20" s="29">
        <v>20</v>
      </c>
      <c r="G20" s="29">
        <v>16</v>
      </c>
      <c r="H20" s="29">
        <v>66</v>
      </c>
    </row>
    <row r="21" spans="2:13" ht="16">
      <c r="B21" s="2"/>
      <c r="C21" s="2"/>
      <c r="D21" s="493"/>
      <c r="E21" s="34"/>
      <c r="F21" s="34"/>
    </row>
    <row r="22" spans="2:13" ht="16">
      <c r="B22" s="2"/>
      <c r="C22" s="32" t="s">
        <v>391</v>
      </c>
      <c r="D22" s="493"/>
      <c r="E22" s="500">
        <f>+E17+E20</f>
        <v>-18461</v>
      </c>
      <c r="F22" s="500">
        <f t="shared" ref="F22:H22" si="3">+F17+F20</f>
        <v>-16080</v>
      </c>
      <c r="G22" s="500">
        <f t="shared" si="3"/>
        <v>-35118</v>
      </c>
      <c r="H22" s="500">
        <f t="shared" si="3"/>
        <v>-16645</v>
      </c>
      <c r="I22" s="501"/>
      <c r="J22" s="501"/>
      <c r="K22" s="501"/>
      <c r="L22" s="501"/>
      <c r="M22" s="501"/>
    </row>
    <row r="23" spans="2:13" ht="16">
      <c r="B23" s="2"/>
      <c r="C23" s="2"/>
      <c r="D23" s="493"/>
      <c r="E23" s="34"/>
      <c r="F23" s="34"/>
      <c r="I23" s="502"/>
      <c r="J23" s="502"/>
      <c r="K23" s="502"/>
      <c r="L23" s="502"/>
      <c r="M23" s="502"/>
    </row>
    <row r="24" spans="2:13" ht="16">
      <c r="B24" s="2"/>
      <c r="C24" s="32" t="s">
        <v>392</v>
      </c>
      <c r="D24" s="493"/>
      <c r="E24" s="34"/>
      <c r="F24" s="34"/>
      <c r="I24" s="502"/>
      <c r="J24" s="502"/>
      <c r="K24" s="502"/>
      <c r="L24" s="502"/>
      <c r="M24" s="502"/>
    </row>
    <row r="25" spans="2:13" ht="16">
      <c r="B25" s="2"/>
      <c r="C25" s="28" t="s">
        <v>393</v>
      </c>
      <c r="D25" s="493"/>
      <c r="E25" s="29">
        <v>2360</v>
      </c>
      <c r="F25" s="29">
        <v>2082</v>
      </c>
      <c r="G25" s="29">
        <v>1885</v>
      </c>
      <c r="H25" s="29">
        <v>1754</v>
      </c>
      <c r="I25" s="502"/>
      <c r="J25" s="502"/>
      <c r="K25" s="502"/>
      <c r="L25" s="502"/>
      <c r="M25" s="502"/>
    </row>
    <row r="26" spans="2:13" ht="16">
      <c r="B26" s="2"/>
      <c r="C26" s="28" t="s">
        <v>394</v>
      </c>
      <c r="D26" s="493"/>
      <c r="E26" s="29">
        <v>0</v>
      </c>
      <c r="F26" s="29">
        <v>0</v>
      </c>
      <c r="G26" s="29">
        <v>0</v>
      </c>
      <c r="H26" s="29">
        <v>0</v>
      </c>
      <c r="I26" s="502"/>
      <c r="J26" s="502"/>
      <c r="K26" s="502"/>
      <c r="L26" s="502"/>
      <c r="M26" s="502"/>
    </row>
    <row r="27" spans="2:13" ht="16">
      <c r="B27" s="2"/>
      <c r="C27" s="28" t="s">
        <v>395</v>
      </c>
      <c r="D27" s="493"/>
      <c r="E27" s="31">
        <v>5912</v>
      </c>
      <c r="F27" s="31">
        <v>5741</v>
      </c>
      <c r="G27" s="31">
        <v>22766</v>
      </c>
      <c r="H27" s="31">
        <v>6629</v>
      </c>
      <c r="I27" s="502"/>
      <c r="J27" s="502"/>
      <c r="K27" s="502"/>
      <c r="L27" s="502"/>
      <c r="M27" s="502"/>
    </row>
    <row r="28" spans="2:13" ht="16">
      <c r="B28" s="2"/>
      <c r="C28" s="83" t="s">
        <v>396</v>
      </c>
      <c r="D28" s="503"/>
      <c r="E28" s="500">
        <f>SUM(E25:E27)</f>
        <v>8272</v>
      </c>
      <c r="F28" s="500">
        <f>SUM(F25:F27)</f>
        <v>7823</v>
      </c>
      <c r="G28" s="500">
        <f t="shared" ref="G28:H28" si="4">SUM(G25:G27)</f>
        <v>24651</v>
      </c>
      <c r="H28" s="500">
        <f t="shared" si="4"/>
        <v>8383</v>
      </c>
      <c r="I28" s="502"/>
      <c r="J28" s="502"/>
      <c r="K28" s="502"/>
      <c r="L28" s="502"/>
      <c r="M28" s="502"/>
    </row>
    <row r="29" spans="2:13" ht="16">
      <c r="B29" s="2"/>
      <c r="C29" s="2"/>
      <c r="D29" s="493"/>
      <c r="E29" s="34"/>
      <c r="F29" s="34"/>
      <c r="I29" s="502"/>
      <c r="J29" s="502"/>
      <c r="K29" s="502"/>
      <c r="L29" s="502"/>
      <c r="M29" s="502"/>
    </row>
    <row r="30" spans="2:13" ht="16">
      <c r="B30" s="2"/>
      <c r="C30" s="32" t="s">
        <v>397</v>
      </c>
      <c r="D30" s="493"/>
      <c r="E30" s="34"/>
      <c r="F30" s="34"/>
      <c r="I30" s="502"/>
      <c r="J30" s="502"/>
      <c r="K30" s="502"/>
      <c r="L30" s="502"/>
      <c r="M30" s="502"/>
    </row>
    <row r="31" spans="2:13" ht="16">
      <c r="B31" s="2"/>
      <c r="C31" s="28" t="s">
        <v>398</v>
      </c>
      <c r="D31" s="493"/>
      <c r="E31" s="29">
        <v>857</v>
      </c>
      <c r="F31" s="29">
        <v>-4766</v>
      </c>
      <c r="G31" s="29">
        <v>-63</v>
      </c>
      <c r="H31" s="29">
        <v>-2781</v>
      </c>
      <c r="I31" s="502"/>
      <c r="J31" s="502"/>
      <c r="K31" s="502"/>
      <c r="L31" s="502"/>
      <c r="M31" s="502"/>
    </row>
    <row r="32" spans="2:13" ht="16">
      <c r="B32" s="2"/>
      <c r="C32" s="28" t="s">
        <v>399</v>
      </c>
      <c r="D32" s="493"/>
      <c r="E32" s="29">
        <v>1423</v>
      </c>
      <c r="F32" s="29">
        <v>393</v>
      </c>
      <c r="G32" s="29">
        <v>-1190</v>
      </c>
      <c r="H32" s="29">
        <v>799</v>
      </c>
      <c r="I32" s="502"/>
      <c r="J32" s="502"/>
      <c r="K32" s="502"/>
      <c r="L32" s="502"/>
      <c r="M32" s="502"/>
    </row>
    <row r="33" spans="2:13" ht="16">
      <c r="B33" s="2"/>
      <c r="C33" s="28" t="s">
        <v>400</v>
      </c>
      <c r="D33" s="493"/>
      <c r="E33" s="29">
        <v>-1970</v>
      </c>
      <c r="F33" s="29">
        <v>1043</v>
      </c>
      <c r="G33" s="29">
        <v>-16</v>
      </c>
      <c r="H33" s="29">
        <v>2138</v>
      </c>
      <c r="I33" s="502"/>
      <c r="J33" s="502"/>
      <c r="K33" s="502"/>
      <c r="L33" s="502"/>
      <c r="M33" s="502"/>
    </row>
    <row r="34" spans="2:13" ht="16">
      <c r="B34" s="2"/>
      <c r="C34" s="28" t="s">
        <v>401</v>
      </c>
      <c r="D34" s="493"/>
      <c r="E34" s="31">
        <v>-6292</v>
      </c>
      <c r="F34" s="31">
        <v>2174</v>
      </c>
      <c r="G34" s="31">
        <v>7702</v>
      </c>
      <c r="H34" s="31">
        <v>15784</v>
      </c>
      <c r="I34" s="502"/>
      <c r="J34" s="502"/>
      <c r="K34" s="502"/>
      <c r="L34" s="502"/>
      <c r="M34" s="502"/>
    </row>
    <row r="35" spans="2:13" ht="16">
      <c r="B35" s="2"/>
      <c r="C35" s="83" t="s">
        <v>402</v>
      </c>
      <c r="D35" s="503"/>
      <c r="E35" s="504">
        <f>SUM(E31:E34)</f>
        <v>-5982</v>
      </c>
      <c r="F35" s="504">
        <f>SUM(F31:F34)</f>
        <v>-1156</v>
      </c>
      <c r="G35" s="504">
        <f t="shared" ref="G35:H35" si="5">SUM(G31:G34)</f>
        <v>6433</v>
      </c>
      <c r="H35" s="504">
        <f t="shared" si="5"/>
        <v>15940</v>
      </c>
      <c r="I35" s="502"/>
      <c r="J35" s="502"/>
      <c r="K35" s="502"/>
      <c r="L35" s="502"/>
      <c r="M35" s="502"/>
    </row>
    <row r="36" spans="2:13" ht="16">
      <c r="B36" s="2"/>
      <c r="C36" s="2"/>
      <c r="D36" s="493"/>
      <c r="E36" s="34"/>
      <c r="F36" s="34"/>
      <c r="I36" s="502"/>
      <c r="J36" s="502"/>
      <c r="K36" s="502"/>
      <c r="L36" s="502"/>
      <c r="M36" s="502"/>
    </row>
    <row r="37" spans="2:13" ht="16">
      <c r="B37" s="2"/>
      <c r="C37" s="32" t="s">
        <v>403</v>
      </c>
      <c r="D37" s="493"/>
      <c r="E37" s="29">
        <v>-353</v>
      </c>
      <c r="F37" s="29">
        <v>-896</v>
      </c>
      <c r="G37" s="29">
        <v>-1016</v>
      </c>
      <c r="H37" s="29">
        <v>-1083</v>
      </c>
    </row>
    <row r="38" spans="2:13" ht="16">
      <c r="B38" s="2"/>
      <c r="C38" s="2"/>
      <c r="D38" s="493"/>
      <c r="E38" s="34"/>
      <c r="F38" s="34"/>
    </row>
    <row r="39" spans="2:13" ht="16">
      <c r="B39" s="2"/>
      <c r="C39" s="32" t="s">
        <v>404</v>
      </c>
      <c r="D39" s="493"/>
      <c r="E39" s="505">
        <f>SUM(E22,E28,E35,E37)</f>
        <v>-16524</v>
      </c>
      <c r="F39" s="505">
        <f>SUM(F22,F28,F35,F37)</f>
        <v>-10309</v>
      </c>
      <c r="G39" s="505">
        <f t="shared" ref="G39:H39" si="6">SUM(G22,G28,G35,G37)</f>
        <v>-5050</v>
      </c>
      <c r="H39" s="505">
        <f t="shared" si="6"/>
        <v>6595</v>
      </c>
    </row>
    <row r="41" spans="2:13" ht="16">
      <c r="I41" s="502"/>
    </row>
    <row r="42" spans="2:13" ht="16">
      <c r="I42" s="502"/>
    </row>
    <row r="43" spans="2:13" ht="16">
      <c r="I43" s="502"/>
    </row>
    <row r="45" spans="2:13" ht="16">
      <c r="I45" s="502"/>
    </row>
    <row r="46" spans="2:13" ht="16">
      <c r="I46" s="502"/>
    </row>
    <row r="47" spans="2:13" ht="16">
      <c r="I47" s="502"/>
    </row>
    <row r="48" spans="2:13" ht="16">
      <c r="I48" s="502"/>
    </row>
    <row r="49" spans="9:9" ht="16">
      <c r="I49" s="502"/>
    </row>
    <row r="50" spans="9:9" ht="16">
      <c r="I50" s="50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FBE87-9950-4290-8945-5E1A92C35FA9}">
  <dimension ref="B4:W187"/>
  <sheetViews>
    <sheetView showGridLines="0" topLeftCell="A114" zoomScale="59" workbookViewId="0">
      <selection activeCell="F69" sqref="F69"/>
    </sheetView>
  </sheetViews>
  <sheetFormatPr defaultRowHeight="16"/>
  <cols>
    <col min="1" max="1" width="5.36328125" style="2" customWidth="1"/>
    <col min="2" max="2" width="3.7265625" style="2" customWidth="1"/>
    <col min="3" max="3" width="39.7265625" style="2" customWidth="1"/>
    <col min="4" max="4" width="10.90625" style="2" bestFit="1" customWidth="1"/>
    <col min="5" max="6" width="8.7265625" style="2"/>
    <col min="7" max="9" width="14.7265625" style="2" bestFit="1" customWidth="1"/>
    <col min="10" max="15" width="13.1796875" style="2" bestFit="1" customWidth="1"/>
    <col min="16" max="16" width="13.6328125" style="2" bestFit="1" customWidth="1"/>
    <col min="17" max="19" width="8.81640625" style="2" bestFit="1" customWidth="1"/>
    <col min="20" max="16384" width="8.7265625" style="2"/>
  </cols>
  <sheetData>
    <row r="4" spans="2:19">
      <c r="B4" s="3"/>
      <c r="C4" s="3"/>
      <c r="D4" s="3"/>
      <c r="E4" s="3"/>
      <c r="F4" s="3"/>
      <c r="G4" s="4"/>
      <c r="H4" s="5" t="s">
        <v>70</v>
      </c>
      <c r="I4" s="4"/>
      <c r="J4" s="6"/>
      <c r="K4" s="4"/>
      <c r="L4" s="4"/>
      <c r="M4" s="4"/>
      <c r="N4" s="5" t="s">
        <v>71</v>
      </c>
      <c r="O4" s="5"/>
    </row>
    <row r="5" spans="2:19">
      <c r="B5" s="7" t="str">
        <f>Company_Name</f>
        <v>Butterfly Network, inc.</v>
      </c>
      <c r="C5" s="3"/>
      <c r="D5" s="3"/>
      <c r="E5" s="8" t="s">
        <v>72</v>
      </c>
      <c r="F5" s="9"/>
      <c r="G5" s="10">
        <v>44926</v>
      </c>
      <c r="H5" s="10">
        <f t="shared" ref="H5:O5" si="0">EOMONTH(G5,12)</f>
        <v>45291</v>
      </c>
      <c r="I5" s="10">
        <f t="shared" si="0"/>
        <v>45657</v>
      </c>
      <c r="J5" s="11">
        <f t="shared" si="0"/>
        <v>46022</v>
      </c>
      <c r="K5" s="10">
        <f t="shared" si="0"/>
        <v>46387</v>
      </c>
      <c r="L5" s="10">
        <f t="shared" si="0"/>
        <v>46752</v>
      </c>
      <c r="M5" s="10">
        <f t="shared" si="0"/>
        <v>47118</v>
      </c>
      <c r="N5" s="10">
        <f t="shared" si="0"/>
        <v>47483</v>
      </c>
      <c r="O5" s="10">
        <f t="shared" si="0"/>
        <v>47848</v>
      </c>
      <c r="P5" s="46"/>
      <c r="Q5" s="46"/>
      <c r="R5" s="46"/>
      <c r="S5" s="46"/>
    </row>
    <row r="7" spans="2:19">
      <c r="C7" s="2" t="s">
        <v>73</v>
      </c>
      <c r="E7" s="12" t="s">
        <v>74</v>
      </c>
      <c r="G7" s="13" t="s">
        <v>495</v>
      </c>
      <c r="H7" s="14"/>
      <c r="K7" s="15" t="s">
        <v>75</v>
      </c>
      <c r="L7" s="16"/>
      <c r="M7" s="17"/>
      <c r="N7" s="18">
        <v>45657</v>
      </c>
    </row>
    <row r="8" spans="2:19">
      <c r="C8" s="2" t="s">
        <v>76</v>
      </c>
      <c r="E8" s="12" t="s">
        <v>74</v>
      </c>
      <c r="G8" s="19" t="s">
        <v>94</v>
      </c>
      <c r="K8" s="15" t="s">
        <v>77</v>
      </c>
      <c r="L8" s="16"/>
      <c r="M8" s="17"/>
      <c r="N8" s="18">
        <f>EOMONTH(N7,12)</f>
        <v>46022</v>
      </c>
    </row>
    <row r="9" spans="2:19">
      <c r="C9" s="2" t="s">
        <v>78</v>
      </c>
      <c r="E9" s="12" t="s">
        <v>79</v>
      </c>
      <c r="G9" s="20">
        <v>3.06</v>
      </c>
      <c r="K9" s="15" t="s">
        <v>80</v>
      </c>
      <c r="L9" s="16"/>
      <c r="M9" s="17"/>
      <c r="N9" s="18">
        <v>45608</v>
      </c>
    </row>
    <row r="10" spans="2:19">
      <c r="C10" s="21" t="s">
        <v>81</v>
      </c>
      <c r="E10" s="12" t="s">
        <v>82</v>
      </c>
      <c r="G10" s="22">
        <v>227.39</v>
      </c>
      <c r="K10" s="15" t="s">
        <v>83</v>
      </c>
      <c r="L10" s="16"/>
      <c r="M10" s="17"/>
      <c r="N10" s="18">
        <v>45966</v>
      </c>
    </row>
    <row r="11" spans="2:19">
      <c r="C11" s="21"/>
      <c r="E11" s="21"/>
      <c r="G11" s="21"/>
    </row>
    <row r="12" spans="2:19">
      <c r="C12" s="21" t="s">
        <v>84</v>
      </c>
      <c r="E12" s="12" t="s">
        <v>85</v>
      </c>
      <c r="G12" s="23">
        <v>0.12</v>
      </c>
    </row>
    <row r="13" spans="2:19">
      <c r="C13" s="21" t="s">
        <v>86</v>
      </c>
      <c r="E13" s="12" t="s">
        <v>85</v>
      </c>
      <c r="G13" s="24">
        <f>Discount_Rate</f>
        <v>0.10883791648500157</v>
      </c>
      <c r="K13" s="15" t="s">
        <v>87</v>
      </c>
      <c r="L13" s="16"/>
      <c r="M13" s="17"/>
      <c r="N13" s="18">
        <v>45930</v>
      </c>
    </row>
    <row r="14" spans="2:19">
      <c r="C14" s="21"/>
      <c r="E14" s="21"/>
      <c r="G14" s="21"/>
      <c r="K14" s="15" t="s">
        <v>88</v>
      </c>
      <c r="L14" s="16"/>
      <c r="M14" s="17"/>
      <c r="N14" s="18">
        <f>EOMONTH(N7,12)</f>
        <v>46022</v>
      </c>
    </row>
    <row r="15" spans="2:19">
      <c r="C15" s="21" t="s">
        <v>89</v>
      </c>
      <c r="E15" s="12" t="s">
        <v>90</v>
      </c>
      <c r="G15" s="25">
        <v>1000</v>
      </c>
      <c r="K15" s="15" t="s">
        <v>91</v>
      </c>
      <c r="L15" s="16"/>
      <c r="M15" s="17"/>
      <c r="N15" s="18">
        <f t="shared" ref="N15:N16" si="1">EOMONTH(N14,12)</f>
        <v>46387</v>
      </c>
    </row>
    <row r="16" spans="2:19">
      <c r="K16" s="15" t="s">
        <v>92</v>
      </c>
      <c r="L16" s="16"/>
      <c r="M16" s="16"/>
      <c r="N16" s="18">
        <f t="shared" si="1"/>
        <v>46752</v>
      </c>
    </row>
    <row r="18" spans="2:23">
      <c r="B18" s="3"/>
      <c r="C18" s="3"/>
      <c r="D18" s="3"/>
      <c r="E18" s="3"/>
      <c r="F18" s="3"/>
      <c r="G18" s="4"/>
      <c r="H18" s="5" t="s">
        <v>70</v>
      </c>
      <c r="I18" s="4"/>
      <c r="J18" s="6"/>
      <c r="K18" s="4"/>
      <c r="L18" s="4"/>
      <c r="M18" s="4"/>
      <c r="N18" s="5" t="s">
        <v>71</v>
      </c>
      <c r="O18" s="5"/>
    </row>
    <row r="19" spans="2:23">
      <c r="B19" s="7" t="str">
        <f>Company_Name&amp;" - Model Drivers and Assumptions"</f>
        <v>Butterfly Network, inc. - Model Drivers and Assumptions</v>
      </c>
      <c r="C19" s="3"/>
      <c r="D19" s="3"/>
      <c r="E19" s="8" t="s">
        <v>72</v>
      </c>
      <c r="F19" s="9"/>
      <c r="G19" s="10">
        <f t="shared" ref="G19:N19" si="2">G5</f>
        <v>44926</v>
      </c>
      <c r="H19" s="10">
        <f t="shared" si="2"/>
        <v>45291</v>
      </c>
      <c r="I19" s="10">
        <f t="shared" si="2"/>
        <v>45657</v>
      </c>
      <c r="J19" s="11">
        <f t="shared" si="2"/>
        <v>46022</v>
      </c>
      <c r="K19" s="10">
        <f t="shared" si="2"/>
        <v>46387</v>
      </c>
      <c r="L19" s="10">
        <f t="shared" si="2"/>
        <v>46752</v>
      </c>
      <c r="M19" s="10">
        <f t="shared" si="2"/>
        <v>47118</v>
      </c>
      <c r="N19" s="10">
        <f t="shared" si="2"/>
        <v>47483</v>
      </c>
      <c r="O19" s="10">
        <f t="shared" ref="O19" si="3">O5</f>
        <v>47848</v>
      </c>
      <c r="P19" s="46"/>
      <c r="Q19" s="46"/>
      <c r="R19" s="46"/>
      <c r="S19" s="46"/>
    </row>
    <row r="20" spans="2:23">
      <c r="C20" s="26" t="s">
        <v>93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</row>
    <row r="22" spans="2:23">
      <c r="C22" s="28" t="s">
        <v>106</v>
      </c>
      <c r="E22" s="56" t="s">
        <v>85</v>
      </c>
      <c r="G22" s="50">
        <f>G74/G68</f>
        <v>0.53327497363866061</v>
      </c>
      <c r="H22" s="50">
        <f>(H74-21000)/H68</f>
        <v>0.49093316015585975</v>
      </c>
      <c r="I22" s="50">
        <f t="shared" ref="I22" si="4">I74/I68</f>
        <v>0.44981549815498156</v>
      </c>
      <c r="J22" s="57">
        <v>0.4</v>
      </c>
      <c r="K22" s="57">
        <v>0.4</v>
      </c>
      <c r="L22" s="57">
        <v>0.4</v>
      </c>
      <c r="M22" s="57">
        <v>0.4</v>
      </c>
      <c r="N22" s="57">
        <v>0.4</v>
      </c>
      <c r="O22" s="57">
        <v>0.4</v>
      </c>
      <c r="P22" s="67"/>
      <c r="Q22" s="67"/>
      <c r="R22" s="67"/>
      <c r="S22" s="67"/>
    </row>
    <row r="23" spans="2:23">
      <c r="C23" s="28" t="s">
        <v>107</v>
      </c>
      <c r="E23" s="56" t="s">
        <v>85</v>
      </c>
      <c r="G23" s="50">
        <f>G75/G69</f>
        <v>0.30812470272841269</v>
      </c>
      <c r="H23" s="50">
        <f t="shared" ref="H23:I23" si="5">H75/H69</f>
        <v>0.32435044849984535</v>
      </c>
      <c r="I23" s="50">
        <f t="shared" si="5"/>
        <v>0.31752584721424471</v>
      </c>
      <c r="J23" s="57">
        <v>0.3</v>
      </c>
      <c r="K23" s="57">
        <v>0.3</v>
      </c>
      <c r="L23" s="57">
        <v>0.3</v>
      </c>
      <c r="M23" s="57">
        <v>0.3</v>
      </c>
      <c r="N23" s="57">
        <v>0.3</v>
      </c>
      <c r="O23" s="57">
        <v>0.3</v>
      </c>
      <c r="P23" s="67"/>
      <c r="Q23" s="67"/>
      <c r="R23" s="67"/>
      <c r="S23" s="67"/>
    </row>
    <row r="24" spans="2:23">
      <c r="C24" s="28"/>
      <c r="E24" s="56"/>
      <c r="G24" s="58"/>
      <c r="H24" s="58"/>
      <c r="I24" s="58"/>
      <c r="J24" s="58"/>
      <c r="K24" s="58"/>
      <c r="L24" s="58"/>
      <c r="M24" s="58"/>
      <c r="N24" s="58"/>
      <c r="O24" s="58"/>
      <c r="P24" s="67"/>
      <c r="Q24" s="67"/>
      <c r="R24" s="67"/>
      <c r="S24" s="67"/>
    </row>
    <row r="25" spans="2:23">
      <c r="C25" s="28" t="s">
        <v>7</v>
      </c>
      <c r="E25" s="56" t="s">
        <v>85</v>
      </c>
      <c r="G25" s="50">
        <f>G81/(SUM(G$68:G$69))</f>
        <v>1.1996729799700232</v>
      </c>
      <c r="H25" s="50">
        <f t="shared" ref="H25:I25" si="6">H81/(SUM(H$68:H$69))</f>
        <v>0.84394537177541729</v>
      </c>
      <c r="I25" s="50">
        <f t="shared" si="6"/>
        <v>0.46066101199181048</v>
      </c>
      <c r="J25" s="57">
        <v>0.32</v>
      </c>
      <c r="K25" s="57">
        <v>0.25</v>
      </c>
      <c r="L25" s="57">
        <f t="shared" ref="L25:O25" si="7">K25-3%</f>
        <v>0.22</v>
      </c>
      <c r="M25" s="57">
        <f t="shared" si="7"/>
        <v>0.19</v>
      </c>
      <c r="N25" s="57">
        <f t="shared" si="7"/>
        <v>0.16</v>
      </c>
      <c r="O25" s="57">
        <f t="shared" si="7"/>
        <v>0.13</v>
      </c>
    </row>
    <row r="26" spans="2:23">
      <c r="C26" s="28" t="s">
        <v>8</v>
      </c>
      <c r="E26" s="56" t="s">
        <v>85</v>
      </c>
      <c r="G26" s="50">
        <f t="shared" ref="G26:I26" si="8">G82/(SUM(G$68:G$69))</f>
        <v>0.81065540264341196</v>
      </c>
      <c r="H26" s="50">
        <f t="shared" si="8"/>
        <v>0.59291350531107734</v>
      </c>
      <c r="I26" s="50">
        <f t="shared" si="8"/>
        <v>0.506568684800624</v>
      </c>
      <c r="J26" s="57">
        <v>0.34</v>
      </c>
      <c r="K26" s="57">
        <v>0.28000000000000003</v>
      </c>
      <c r="L26" s="57">
        <v>0.22</v>
      </c>
      <c r="M26" s="57">
        <v>0.2</v>
      </c>
      <c r="N26" s="57">
        <v>0.15</v>
      </c>
      <c r="O26" s="57">
        <v>0.15</v>
      </c>
    </row>
    <row r="27" spans="2:23">
      <c r="C27" s="28" t="s">
        <v>9</v>
      </c>
      <c r="E27" s="56" t="s">
        <v>85</v>
      </c>
      <c r="G27" s="50">
        <f t="shared" ref="G27:I27" si="9">G83/(SUM(G$68:G$69))</f>
        <v>1.0573102602534405</v>
      </c>
      <c r="H27" s="50">
        <f t="shared" si="9"/>
        <v>0.75285280728376325</v>
      </c>
      <c r="I27" s="50">
        <f t="shared" si="9"/>
        <v>0.48515647850248611</v>
      </c>
      <c r="J27" s="57">
        <v>0.31</v>
      </c>
      <c r="K27" s="57">
        <v>0.25</v>
      </c>
      <c r="L27" s="57">
        <v>0.2</v>
      </c>
      <c r="M27" s="57">
        <v>0.15</v>
      </c>
      <c r="N27" s="57">
        <v>0.14000000000000001</v>
      </c>
      <c r="O27" s="57">
        <v>0.14000000000000001</v>
      </c>
    </row>
    <row r="28" spans="2:23">
      <c r="C28" s="28" t="s">
        <v>10</v>
      </c>
      <c r="E28" s="56" t="s">
        <v>85</v>
      </c>
      <c r="G28" s="50">
        <f t="shared" ref="G28:I28" si="10">G84/(SUM(G$68:G$69))</f>
        <v>0.10009538084207657</v>
      </c>
      <c r="H28" s="50">
        <f t="shared" si="10"/>
        <v>0.27562974203338392</v>
      </c>
      <c r="I28" s="50">
        <f t="shared" si="10"/>
        <v>4.9539338988008191E-2</v>
      </c>
      <c r="J28" s="57">
        <v>0.04</v>
      </c>
      <c r="K28" s="57">
        <v>0.02</v>
      </c>
      <c r="L28" s="57">
        <v>0.01</v>
      </c>
      <c r="M28" s="57">
        <v>0.01</v>
      </c>
      <c r="N28" s="57">
        <v>0.01</v>
      </c>
      <c r="O28" s="57">
        <v>0.01</v>
      </c>
    </row>
    <row r="29" spans="2:23">
      <c r="C29" s="28"/>
    </row>
    <row r="30" spans="2:23">
      <c r="C30" s="28" t="s">
        <v>12</v>
      </c>
      <c r="E30" s="56" t="s">
        <v>85</v>
      </c>
      <c r="I30" s="50">
        <f>I89/H108</f>
        <v>3.7340910612405812E-2</v>
      </c>
      <c r="J30" s="57">
        <f>I30</f>
        <v>3.7340910612405812E-2</v>
      </c>
      <c r="K30" s="57">
        <f t="shared" ref="K30:O30" si="11">J30</f>
        <v>3.7340910612405812E-2</v>
      </c>
      <c r="L30" s="57">
        <f t="shared" si="11"/>
        <v>3.7340910612405812E-2</v>
      </c>
      <c r="M30" s="57">
        <f t="shared" si="11"/>
        <v>3.7340910612405812E-2</v>
      </c>
      <c r="N30" s="57">
        <f t="shared" si="11"/>
        <v>3.7340910612405812E-2</v>
      </c>
      <c r="O30" s="57">
        <f t="shared" si="11"/>
        <v>3.7340910612405812E-2</v>
      </c>
    </row>
    <row r="31" spans="2:23">
      <c r="C31" s="28"/>
      <c r="G31" s="34"/>
    </row>
    <row r="32" spans="2:23">
      <c r="C32" s="32" t="s">
        <v>108</v>
      </c>
      <c r="D32" s="32"/>
      <c r="E32" s="66" t="s">
        <v>109</v>
      </c>
      <c r="F32" s="32"/>
      <c r="G32" s="35">
        <v>0</v>
      </c>
      <c r="H32" s="35">
        <f t="shared" ref="H32:O32" si="12">G35</f>
        <v>461681</v>
      </c>
      <c r="I32" s="35">
        <f t="shared" si="12"/>
        <v>595299</v>
      </c>
      <c r="J32" s="65">
        <f t="shared" si="12"/>
        <v>667823</v>
      </c>
      <c r="K32" s="65">
        <f t="shared" si="12"/>
        <v>717286.49066038372</v>
      </c>
      <c r="L32" s="65">
        <f t="shared" si="12"/>
        <v>725788.46145181707</v>
      </c>
      <c r="M32" s="65">
        <f t="shared" si="12"/>
        <v>717351.75619717105</v>
      </c>
      <c r="N32" s="65">
        <f t="shared" si="12"/>
        <v>685555.13251372415</v>
      </c>
      <c r="O32" s="65">
        <f t="shared" si="12"/>
        <v>631339.62051962037</v>
      </c>
      <c r="P32" s="35"/>
      <c r="Q32" s="35"/>
      <c r="R32" s="35"/>
      <c r="S32" s="35"/>
      <c r="T32" s="35"/>
      <c r="U32" s="35"/>
      <c r="V32" s="35"/>
      <c r="W32" s="35"/>
    </row>
    <row r="33" spans="3:23">
      <c r="C33" s="28" t="s">
        <v>110</v>
      </c>
      <c r="E33" s="56" t="s">
        <v>109</v>
      </c>
      <c r="G33" s="34">
        <v>461681</v>
      </c>
      <c r="H33" s="34">
        <f>IF(H94&lt;0,H94*-1,0)</f>
        <v>133618</v>
      </c>
      <c r="I33" s="34">
        <f t="shared" ref="I33:N33" si="13">IF(I94&lt;0,I94*-1,0)</f>
        <v>72524</v>
      </c>
      <c r="J33" s="64">
        <f t="shared" si="13"/>
        <v>49463.490660383679</v>
      </c>
      <c r="K33" s="64">
        <f t="shared" si="13"/>
        <v>8501.9707914333667</v>
      </c>
      <c r="L33" s="64">
        <f t="shared" si="13"/>
        <v>0</v>
      </c>
      <c r="M33" s="64">
        <f t="shared" si="13"/>
        <v>0</v>
      </c>
      <c r="N33" s="64">
        <f t="shared" si="13"/>
        <v>0</v>
      </c>
      <c r="O33" s="64">
        <f t="shared" ref="O33" si="14">IF(O94&lt;0,O94*-1,0)</f>
        <v>0</v>
      </c>
      <c r="P33" s="34"/>
      <c r="Q33" s="34"/>
      <c r="R33" s="34"/>
      <c r="S33" s="34"/>
      <c r="T33" s="34"/>
      <c r="U33" s="34"/>
      <c r="V33" s="34"/>
      <c r="W33" s="34"/>
    </row>
    <row r="34" spans="3:23">
      <c r="C34" s="30" t="s">
        <v>111</v>
      </c>
      <c r="E34" s="56" t="s">
        <v>109</v>
      </c>
      <c r="G34" s="62">
        <v>0</v>
      </c>
      <c r="H34" s="62">
        <f>IF(H94&gt;0,H94*-1,0)</f>
        <v>0</v>
      </c>
      <c r="I34" s="62">
        <v>0</v>
      </c>
      <c r="J34" s="63">
        <f>-MIN(+J32+J33,MAX(J94*J39,0))</f>
        <v>0</v>
      </c>
      <c r="K34" s="63">
        <f>-MIN(+K32+K33,MAX(K94*K39,0))</f>
        <v>0</v>
      </c>
      <c r="L34" s="63">
        <f>-MIN(+L32+L33,MAX(L94*L39,0))</f>
        <v>-8436.7052546459909</v>
      </c>
      <c r="M34" s="63">
        <f t="shared" ref="M34:N34" si="15">-MIN(+M32+M33,MAX(M94*M39,0))</f>
        <v>-31796.623683446869</v>
      </c>
      <c r="N34" s="63">
        <f t="shared" si="15"/>
        <v>-54215.511994103843</v>
      </c>
      <c r="O34" s="63">
        <f t="shared" ref="O34" si="16">-MIN(+O32+O33,MAX(O94*O39,0))</f>
        <v>-77532.617325619722</v>
      </c>
      <c r="P34" s="34"/>
      <c r="Q34" s="34"/>
      <c r="R34" s="34"/>
      <c r="S34" s="34"/>
      <c r="T34" s="34"/>
      <c r="U34" s="34"/>
      <c r="V34" s="34"/>
      <c r="W34" s="34"/>
    </row>
    <row r="35" spans="3:23">
      <c r="C35" s="32" t="s">
        <v>112</v>
      </c>
      <c r="D35" s="32"/>
      <c r="E35" s="66" t="s">
        <v>109</v>
      </c>
      <c r="F35" s="32"/>
      <c r="G35" s="35">
        <f t="shared" ref="G35:N35" si="17">SUM(G32:G34)</f>
        <v>461681</v>
      </c>
      <c r="H35" s="35">
        <f t="shared" si="17"/>
        <v>595299</v>
      </c>
      <c r="I35" s="35">
        <f t="shared" si="17"/>
        <v>667823</v>
      </c>
      <c r="J35" s="65">
        <f t="shared" si="17"/>
        <v>717286.49066038372</v>
      </c>
      <c r="K35" s="65">
        <f t="shared" si="17"/>
        <v>725788.46145181707</v>
      </c>
      <c r="L35" s="65">
        <f t="shared" si="17"/>
        <v>717351.75619717105</v>
      </c>
      <c r="M35" s="65">
        <f t="shared" si="17"/>
        <v>685555.13251372415</v>
      </c>
      <c r="N35" s="65">
        <f t="shared" si="17"/>
        <v>631339.62051962037</v>
      </c>
      <c r="O35" s="65">
        <f t="shared" ref="O35" si="18">SUM(O32:O34)</f>
        <v>553807.00319400069</v>
      </c>
      <c r="P35" s="35"/>
      <c r="Q35" s="35"/>
      <c r="R35" s="35"/>
      <c r="S35" s="35"/>
      <c r="T35" s="35"/>
      <c r="U35" s="35"/>
      <c r="V35" s="35"/>
      <c r="W35" s="35"/>
    </row>
    <row r="36" spans="3:23">
      <c r="E36" s="56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</row>
    <row r="37" spans="3:23">
      <c r="C37" s="2" t="s">
        <v>113</v>
      </c>
      <c r="E37" s="56" t="s">
        <v>109</v>
      </c>
      <c r="G37" s="34">
        <v>0</v>
      </c>
      <c r="H37" s="34">
        <v>0</v>
      </c>
      <c r="I37" s="34">
        <v>0</v>
      </c>
      <c r="J37" s="64">
        <f>SUM(J94,J34)</f>
        <v>-49463.490660383679</v>
      </c>
      <c r="K37" s="64">
        <f t="shared" ref="K37:N37" si="19">SUM(K94,K34)</f>
        <v>-8501.9707914333667</v>
      </c>
      <c r="L37" s="64">
        <f t="shared" si="19"/>
        <v>2109.1763136614973</v>
      </c>
      <c r="M37" s="64">
        <f t="shared" si="19"/>
        <v>7949.1559208617145</v>
      </c>
      <c r="N37" s="64">
        <f t="shared" si="19"/>
        <v>13553.877998525961</v>
      </c>
      <c r="O37" s="64">
        <f t="shared" ref="O37" si="20">SUM(O94,O34)</f>
        <v>19383.15433140492</v>
      </c>
      <c r="P37" s="34"/>
      <c r="Q37" s="34"/>
      <c r="R37" s="34"/>
      <c r="S37" s="34"/>
      <c r="T37" s="34"/>
      <c r="U37" s="34"/>
      <c r="V37" s="34"/>
      <c r="W37" s="34"/>
    </row>
    <row r="38" spans="3:23">
      <c r="C38" s="32" t="s">
        <v>114</v>
      </c>
      <c r="D38" s="32"/>
      <c r="E38" s="66" t="s">
        <v>109</v>
      </c>
      <c r="F38" s="32"/>
      <c r="G38" s="35">
        <v>0</v>
      </c>
      <c r="H38" s="35">
        <v>0</v>
      </c>
      <c r="I38" s="35">
        <v>0</v>
      </c>
      <c r="J38" s="65">
        <f t="shared" ref="J38:O38" si="21">IF(J37&lt;0,0,J37*Tax_Rate)</f>
        <v>0</v>
      </c>
      <c r="K38" s="65">
        <f t="shared" si="21"/>
        <v>0</v>
      </c>
      <c r="L38" s="65">
        <f t="shared" si="21"/>
        <v>253.10115763937966</v>
      </c>
      <c r="M38" s="65">
        <f t="shared" si="21"/>
        <v>953.89871050340571</v>
      </c>
      <c r="N38" s="65">
        <f t="shared" si="21"/>
        <v>1626.4653598231153</v>
      </c>
      <c r="O38" s="65">
        <f t="shared" si="21"/>
        <v>2325.9785197685901</v>
      </c>
      <c r="P38" s="35"/>
      <c r="Q38" s="35"/>
      <c r="R38" s="35"/>
      <c r="S38" s="35"/>
      <c r="T38" s="35"/>
      <c r="U38" s="35"/>
      <c r="V38" s="35"/>
      <c r="W38" s="35"/>
    </row>
    <row r="39" spans="3:23">
      <c r="C39" s="2" t="s">
        <v>115</v>
      </c>
      <c r="E39" s="56" t="s">
        <v>109</v>
      </c>
      <c r="G39" s="50">
        <v>1</v>
      </c>
      <c r="H39" s="50">
        <v>1</v>
      </c>
      <c r="I39" s="50">
        <v>1</v>
      </c>
      <c r="J39" s="57">
        <v>0.8</v>
      </c>
      <c r="K39" s="57">
        <v>0.8</v>
      </c>
      <c r="L39" s="57">
        <v>0.8</v>
      </c>
      <c r="M39" s="57">
        <v>0.8</v>
      </c>
      <c r="N39" s="57">
        <v>0.8</v>
      </c>
      <c r="O39" s="57">
        <v>0.8</v>
      </c>
      <c r="P39" s="67"/>
      <c r="Q39" s="67"/>
      <c r="R39" s="67"/>
      <c r="S39" s="67"/>
      <c r="T39" s="67"/>
      <c r="U39" s="67"/>
      <c r="V39" s="67"/>
      <c r="W39" s="67"/>
    </row>
    <row r="40" spans="3:23">
      <c r="C40" s="28"/>
    </row>
    <row r="41" spans="3:23">
      <c r="C41" s="26" t="s">
        <v>116</v>
      </c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</row>
    <row r="42" spans="3:23">
      <c r="C42" s="28"/>
    </row>
    <row r="43" spans="3:23">
      <c r="C43" s="28" t="s">
        <v>117</v>
      </c>
      <c r="E43" s="56" t="s">
        <v>85</v>
      </c>
      <c r="G43" s="69"/>
      <c r="H43" s="69">
        <f>H109*(H105-EOMONTH(H105,-12))/H72</f>
        <v>74.318209408194235</v>
      </c>
      <c r="I43" s="69">
        <f>I109*(I105-EOMONTH(I105,-12))/I72</f>
        <v>92.74444281953788</v>
      </c>
      <c r="J43" s="14">
        <v>85</v>
      </c>
      <c r="K43" s="14">
        <v>80</v>
      </c>
      <c r="L43" s="14">
        <v>75</v>
      </c>
      <c r="M43" s="14">
        <v>70</v>
      </c>
      <c r="N43" s="14">
        <v>70</v>
      </c>
      <c r="O43" s="14">
        <v>70</v>
      </c>
    </row>
    <row r="44" spans="3:23">
      <c r="C44" s="28" t="s">
        <v>118</v>
      </c>
      <c r="E44" s="56" t="s">
        <v>85</v>
      </c>
      <c r="G44" s="69"/>
      <c r="H44" s="69">
        <f>H110*(H105-EOMONTH(H105,-12))/H72</f>
        <v>404.44658573596359</v>
      </c>
      <c r="I44" s="69">
        <f>I110*(I105-EOMONTH(I105,-12))/I72</f>
        <v>315.74502778590232</v>
      </c>
      <c r="J44" s="14">
        <v>240</v>
      </c>
      <c r="K44" s="14">
        <v>210</v>
      </c>
      <c r="L44" s="14">
        <v>160</v>
      </c>
      <c r="M44" s="14">
        <v>140</v>
      </c>
      <c r="N44" s="14">
        <v>140</v>
      </c>
      <c r="O44" s="14">
        <v>140</v>
      </c>
    </row>
    <row r="45" spans="3:23">
      <c r="C45" s="28" t="s">
        <v>134</v>
      </c>
      <c r="E45" s="56" t="s">
        <v>85</v>
      </c>
      <c r="G45" s="69"/>
      <c r="H45" s="50">
        <f>-H76/H72</f>
        <v>0.74421851289833085</v>
      </c>
      <c r="I45" s="50">
        <f>-I76/I72</f>
        <v>0.40490640538169054</v>
      </c>
      <c r="J45" s="70">
        <v>0.06</v>
      </c>
      <c r="K45" s="70">
        <v>0.05</v>
      </c>
      <c r="L45" s="70">
        <v>0.04</v>
      </c>
      <c r="M45" s="70">
        <v>0.03</v>
      </c>
      <c r="N45" s="70">
        <v>0.03</v>
      </c>
      <c r="O45" s="70">
        <v>0.03</v>
      </c>
      <c r="P45" s="59"/>
      <c r="Q45" s="59"/>
      <c r="R45" s="59"/>
      <c r="S45" s="59"/>
      <c r="T45" s="59"/>
      <c r="U45" s="59"/>
      <c r="V45" s="59"/>
      <c r="W45" s="59"/>
    </row>
    <row r="46" spans="3:23">
      <c r="C46" s="28" t="s">
        <v>119</v>
      </c>
      <c r="E46" s="56" t="s">
        <v>85</v>
      </c>
      <c r="G46" s="69"/>
      <c r="H46" s="50">
        <f>H111/-H85</f>
        <v>4.6600519493309372E-2</v>
      </c>
      <c r="I46" s="50">
        <f>I111/-I85</f>
        <v>5.4437610554843315E-2</v>
      </c>
      <c r="J46" s="70">
        <v>0.05</v>
      </c>
      <c r="K46" s="70">
        <v>0.04</v>
      </c>
      <c r="L46" s="70">
        <v>0.04</v>
      </c>
      <c r="M46" s="70">
        <v>0.03</v>
      </c>
      <c r="N46" s="70">
        <v>0.03</v>
      </c>
      <c r="O46" s="70">
        <v>0.03</v>
      </c>
      <c r="P46" s="59"/>
      <c r="Q46" s="59"/>
      <c r="R46" s="59"/>
      <c r="S46" s="59"/>
      <c r="T46" s="59"/>
      <c r="U46" s="59"/>
      <c r="V46" s="59"/>
      <c r="W46" s="59"/>
    </row>
    <row r="47" spans="3:23">
      <c r="C47" s="28"/>
    </row>
    <row r="48" spans="3:23">
      <c r="C48" s="28" t="s">
        <v>25</v>
      </c>
      <c r="E48" s="56" t="s">
        <v>85</v>
      </c>
      <c r="H48" s="50">
        <f>H115/-H76</f>
        <v>0.36887284887040211</v>
      </c>
      <c r="I48" s="50">
        <f>I115/-I76</f>
        <v>0.61968397291196387</v>
      </c>
      <c r="J48" s="70">
        <v>0.2</v>
      </c>
      <c r="K48" s="70">
        <v>0.18</v>
      </c>
      <c r="L48" s="70">
        <v>0.16</v>
      </c>
      <c r="M48" s="70">
        <v>0.15</v>
      </c>
      <c r="N48" s="70">
        <v>0.14000000000000001</v>
      </c>
      <c r="O48" s="70">
        <v>0.14000000000000001</v>
      </c>
      <c r="P48" s="59"/>
      <c r="Q48" s="59"/>
      <c r="R48" s="59"/>
      <c r="S48" s="59"/>
      <c r="T48" s="59"/>
      <c r="U48" s="59"/>
      <c r="V48" s="59"/>
      <c r="W48" s="59"/>
    </row>
    <row r="49" spans="3:23">
      <c r="C49" s="28" t="s">
        <v>135</v>
      </c>
      <c r="E49" s="56" t="s">
        <v>85</v>
      </c>
      <c r="H49" s="50">
        <f>H117/H72</f>
        <v>9.745068285280728E-2</v>
      </c>
      <c r="I49" s="50">
        <f>I117/I72</f>
        <v>7.0195963732085406E-2</v>
      </c>
      <c r="J49" s="70">
        <v>0.06</v>
      </c>
      <c r="K49" s="70">
        <v>0.06</v>
      </c>
      <c r="L49" s="70">
        <v>0.05</v>
      </c>
      <c r="M49" s="70">
        <v>0.05</v>
      </c>
      <c r="N49" s="70">
        <v>0.04</v>
      </c>
      <c r="O49" s="70">
        <v>0.04</v>
      </c>
      <c r="P49" s="59"/>
      <c r="Q49" s="59"/>
      <c r="R49" s="59"/>
      <c r="S49" s="59"/>
      <c r="T49" s="59"/>
      <c r="U49" s="59"/>
      <c r="V49" s="59"/>
      <c r="W49" s="59"/>
    </row>
    <row r="50" spans="3:23">
      <c r="C50" s="28"/>
    </row>
    <row r="51" spans="3:23">
      <c r="C51" s="28" t="s">
        <v>136</v>
      </c>
      <c r="E51" s="56" t="s">
        <v>85</v>
      </c>
      <c r="H51" s="69">
        <f>H122*(H105-EOMONTH(H105,-12))/H72</f>
        <v>28.191957511380881</v>
      </c>
      <c r="I51" s="69">
        <f>I122*(I105-EOMONTH(I105,-12))/I72</f>
        <v>18.956566247440772</v>
      </c>
      <c r="J51" s="84">
        <f>AVERAGE(H51:I51)</f>
        <v>23.574261879410827</v>
      </c>
      <c r="K51" s="14">
        <v>20</v>
      </c>
      <c r="L51" s="14">
        <v>18</v>
      </c>
      <c r="M51" s="14">
        <v>16</v>
      </c>
      <c r="N51" s="14">
        <v>16</v>
      </c>
      <c r="O51" s="14">
        <v>16</v>
      </c>
    </row>
    <row r="52" spans="3:23">
      <c r="C52" s="28" t="s">
        <v>137</v>
      </c>
      <c r="E52" s="56" t="s">
        <v>85</v>
      </c>
      <c r="H52" s="50">
        <f>H127/H72</f>
        <v>0.3493019726858877</v>
      </c>
      <c r="I52" s="50">
        <f>I127/I72</f>
        <v>0.28582918982158528</v>
      </c>
      <c r="J52" s="70">
        <v>0.19</v>
      </c>
      <c r="K52" s="70">
        <v>0.17</v>
      </c>
      <c r="L52" s="70">
        <v>0.15</v>
      </c>
      <c r="M52" s="70">
        <v>0.13</v>
      </c>
      <c r="N52" s="70">
        <v>0.11</v>
      </c>
      <c r="O52" s="70">
        <v>0.11</v>
      </c>
      <c r="P52" s="59"/>
      <c r="Q52" s="59"/>
      <c r="R52" s="59"/>
      <c r="S52" s="59"/>
      <c r="T52" s="59"/>
      <c r="U52" s="59"/>
      <c r="V52" s="59"/>
      <c r="W52" s="59"/>
    </row>
    <row r="53" spans="3:23">
      <c r="C53" s="28" t="s">
        <v>138</v>
      </c>
      <c r="E53" s="56" t="s">
        <v>85</v>
      </c>
      <c r="H53" s="50">
        <f>H124/-H85</f>
        <v>0.14418401388598229</v>
      </c>
      <c r="I53" s="50">
        <f>I124/-I85</f>
        <v>0.2247204686713945</v>
      </c>
      <c r="J53" s="70">
        <v>0.2</v>
      </c>
      <c r="K53" s="70">
        <v>0.18</v>
      </c>
      <c r="L53" s="70">
        <v>0.17</v>
      </c>
      <c r="M53" s="70">
        <v>0.16</v>
      </c>
      <c r="N53" s="70">
        <v>0.15</v>
      </c>
      <c r="O53" s="70">
        <v>0.15</v>
      </c>
      <c r="P53" s="59"/>
      <c r="Q53" s="59"/>
      <c r="R53" s="59"/>
      <c r="S53" s="59"/>
      <c r="T53" s="59"/>
      <c r="U53" s="59"/>
      <c r="V53" s="59"/>
      <c r="W53" s="59"/>
    </row>
    <row r="54" spans="3:23">
      <c r="C54" s="28"/>
    </row>
    <row r="55" spans="3:23">
      <c r="C55" s="28" t="s">
        <v>33</v>
      </c>
      <c r="E55" s="56" t="s">
        <v>85</v>
      </c>
      <c r="H55" s="50">
        <f>H127/H72</f>
        <v>0.3493019726858877</v>
      </c>
      <c r="I55" s="50">
        <f>I127/I72</f>
        <v>0.28582918982158528</v>
      </c>
      <c r="J55" s="70">
        <v>0.08</v>
      </c>
      <c r="K55" s="70">
        <v>7.0000000000000007E-2</v>
      </c>
      <c r="L55" s="70">
        <v>7.0000000000000007E-2</v>
      </c>
      <c r="M55" s="70">
        <v>0.06</v>
      </c>
      <c r="N55" s="70">
        <v>0.06</v>
      </c>
      <c r="O55" s="70">
        <v>0.06</v>
      </c>
      <c r="P55" s="59"/>
      <c r="Q55" s="59"/>
      <c r="R55" s="59"/>
      <c r="S55" s="59"/>
      <c r="T55" s="59"/>
      <c r="U55" s="59"/>
      <c r="V55" s="59"/>
      <c r="W55" s="59"/>
    </row>
    <row r="56" spans="3:23">
      <c r="C56" s="28" t="s">
        <v>35</v>
      </c>
      <c r="E56" s="56" t="s">
        <v>85</v>
      </c>
      <c r="H56" s="50"/>
      <c r="I56" s="50"/>
      <c r="J56" s="70"/>
      <c r="K56" s="70"/>
      <c r="L56" s="70"/>
      <c r="M56" s="70"/>
      <c r="N56" s="70"/>
      <c r="O56" s="70"/>
      <c r="P56" s="59"/>
      <c r="Q56" s="59"/>
      <c r="R56" s="59"/>
      <c r="S56" s="59"/>
      <c r="T56" s="59"/>
      <c r="U56" s="59"/>
      <c r="V56" s="59"/>
      <c r="W56" s="59"/>
    </row>
    <row r="57" spans="3:23">
      <c r="C57" s="28" t="s">
        <v>36</v>
      </c>
      <c r="E57" s="56" t="s">
        <v>85</v>
      </c>
      <c r="H57" s="50"/>
      <c r="I57" s="50"/>
      <c r="J57" s="70"/>
      <c r="K57" s="70"/>
      <c r="L57" s="70"/>
      <c r="M57" s="70"/>
      <c r="N57" s="70"/>
      <c r="O57" s="70"/>
      <c r="P57" s="59"/>
      <c r="Q57" s="59"/>
      <c r="R57" s="59"/>
      <c r="S57" s="59"/>
      <c r="T57" s="59"/>
      <c r="U57" s="59"/>
      <c r="V57" s="59"/>
      <c r="W57" s="59"/>
    </row>
    <row r="58" spans="3:23">
      <c r="C58" s="28"/>
    </row>
    <row r="59" spans="3:23">
      <c r="C59" s="26" t="s">
        <v>139</v>
      </c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</row>
    <row r="60" spans="3:23">
      <c r="C60" s="45"/>
    </row>
    <row r="61" spans="3:23">
      <c r="C61" s="28" t="s">
        <v>50</v>
      </c>
      <c r="E61" s="56" t="s">
        <v>85</v>
      </c>
      <c r="G61" s="50">
        <f>G149/G72</f>
        <v>0.57952037062270068</v>
      </c>
      <c r="H61" s="50">
        <f>H149/H72</f>
        <v>0.41699544764795143</v>
      </c>
      <c r="I61" s="50">
        <f>I149/I72</f>
        <v>0.25631276201618408</v>
      </c>
      <c r="J61" s="57">
        <v>0.23</v>
      </c>
      <c r="K61" s="57">
        <f>J61-2%</f>
        <v>0.21000000000000002</v>
      </c>
      <c r="L61" s="57">
        <f t="shared" ref="L61:O61" si="22">K61-2%</f>
        <v>0.19000000000000003</v>
      </c>
      <c r="M61" s="57">
        <f t="shared" si="22"/>
        <v>0.17000000000000004</v>
      </c>
      <c r="N61" s="57">
        <f t="shared" si="22"/>
        <v>0.15000000000000005</v>
      </c>
      <c r="O61" s="57">
        <f t="shared" si="22"/>
        <v>0.13000000000000006</v>
      </c>
      <c r="P61" s="67"/>
      <c r="Q61" s="67"/>
      <c r="R61" s="67"/>
      <c r="S61" s="67"/>
      <c r="T61" s="67"/>
      <c r="U61" s="67"/>
      <c r="V61" s="67"/>
      <c r="W61" s="67"/>
    </row>
    <row r="62" spans="3:23">
      <c r="C62" s="28"/>
    </row>
    <row r="63" spans="3:23">
      <c r="C63" s="28"/>
    </row>
    <row r="64" spans="3:23">
      <c r="C64" s="28"/>
    </row>
    <row r="65" spans="2:23">
      <c r="B65" s="3"/>
      <c r="C65" s="3"/>
      <c r="D65" s="3"/>
      <c r="E65" s="3"/>
      <c r="F65" s="3"/>
      <c r="G65" s="4"/>
      <c r="H65" s="5" t="s">
        <v>70</v>
      </c>
      <c r="I65" s="4"/>
      <c r="J65" s="6"/>
      <c r="K65" s="4"/>
      <c r="L65" s="4"/>
      <c r="M65" s="4"/>
      <c r="N65" s="5" t="s">
        <v>71</v>
      </c>
      <c r="O65" s="5"/>
      <c r="P65" s="45"/>
      <c r="Q65" s="45"/>
      <c r="R65" s="45"/>
      <c r="S65" s="45"/>
      <c r="T65" s="45"/>
      <c r="U65" s="45"/>
      <c r="V65" s="45"/>
      <c r="W65" s="45"/>
    </row>
    <row r="66" spans="2:23">
      <c r="B66" s="7" t="str">
        <f>Company_Name&amp;" - Income Statement"</f>
        <v>Butterfly Network, inc. - Income Statement</v>
      </c>
      <c r="C66" s="3"/>
      <c r="D66" s="3"/>
      <c r="E66" s="8" t="s">
        <v>72</v>
      </c>
      <c r="F66" s="9"/>
      <c r="G66" s="10">
        <f t="shared" ref="G66:N66" si="23">G19</f>
        <v>44926</v>
      </c>
      <c r="H66" s="10">
        <f t="shared" si="23"/>
        <v>45291</v>
      </c>
      <c r="I66" s="10">
        <f t="shared" si="23"/>
        <v>45657</v>
      </c>
      <c r="J66" s="11">
        <f t="shared" si="23"/>
        <v>46022</v>
      </c>
      <c r="K66" s="10">
        <f t="shared" si="23"/>
        <v>46387</v>
      </c>
      <c r="L66" s="10">
        <f t="shared" si="23"/>
        <v>46752</v>
      </c>
      <c r="M66" s="10">
        <f t="shared" si="23"/>
        <v>47118</v>
      </c>
      <c r="N66" s="10">
        <f t="shared" si="23"/>
        <v>47483</v>
      </c>
      <c r="O66" s="10">
        <f t="shared" ref="O66" si="24">O19</f>
        <v>47848</v>
      </c>
      <c r="P66" s="46"/>
      <c r="Q66" s="46"/>
      <c r="R66" s="46"/>
      <c r="S66" s="46"/>
      <c r="T66" s="46"/>
      <c r="U66" s="46"/>
      <c r="V66" s="46"/>
      <c r="W66" s="46"/>
    </row>
    <row r="67" spans="2:23">
      <c r="H67" s="50"/>
      <c r="I67" s="50"/>
    </row>
    <row r="68" spans="2:23">
      <c r="C68" s="28" t="s">
        <v>0</v>
      </c>
      <c r="E68" s="56" t="s">
        <v>109</v>
      </c>
      <c r="G68" s="29">
        <v>50263</v>
      </c>
      <c r="H68" s="29">
        <v>40036</v>
      </c>
      <c r="I68" s="29">
        <v>54200</v>
      </c>
      <c r="J68" s="53">
        <f>Drivers!J12</f>
        <v>63443</v>
      </c>
      <c r="K68" s="53">
        <f>Drivers!K12</f>
        <v>56950</v>
      </c>
      <c r="L68" s="53">
        <f>Drivers!L12</f>
        <v>77000</v>
      </c>
      <c r="M68" s="53">
        <f>Drivers!M12</f>
        <v>84000</v>
      </c>
      <c r="N68" s="53">
        <f>Drivers!N12</f>
        <v>105000</v>
      </c>
      <c r="O68" s="53">
        <f>Drivers!O12</f>
        <v>120000</v>
      </c>
      <c r="P68" s="53"/>
      <c r="Q68" s="53"/>
      <c r="R68" s="53"/>
      <c r="S68" s="53"/>
      <c r="T68" s="53"/>
      <c r="U68" s="53"/>
      <c r="V68" s="53"/>
      <c r="W68" s="53"/>
    </row>
    <row r="69" spans="2:23">
      <c r="C69" s="28" t="s">
        <v>1</v>
      </c>
      <c r="E69" s="56" t="s">
        <v>109</v>
      </c>
      <c r="G69" s="29">
        <v>23127</v>
      </c>
      <c r="H69" s="29">
        <v>25864</v>
      </c>
      <c r="I69" s="29">
        <v>27856</v>
      </c>
      <c r="J69" s="53">
        <f>Drivers!J21</f>
        <v>27400</v>
      </c>
      <c r="K69" s="53">
        <f>Drivers!K21</f>
        <v>30000</v>
      </c>
      <c r="L69" s="53">
        <f>Drivers!L21</f>
        <v>36000</v>
      </c>
      <c r="M69" s="53">
        <f>Drivers!M21</f>
        <v>51000</v>
      </c>
      <c r="N69" s="53">
        <f>Drivers!N21</f>
        <v>63000</v>
      </c>
      <c r="O69" s="53">
        <f>Drivers!O21</f>
        <v>72000</v>
      </c>
      <c r="P69" s="53"/>
      <c r="Q69" s="53"/>
      <c r="R69" s="53"/>
      <c r="S69" s="53"/>
      <c r="T69" s="53"/>
      <c r="U69" s="53"/>
      <c r="V69" s="53"/>
      <c r="W69" s="53"/>
    </row>
    <row r="70" spans="2:23">
      <c r="C70" s="28" t="s">
        <v>492</v>
      </c>
      <c r="E70" s="56" t="s">
        <v>109</v>
      </c>
      <c r="G70" s="29">
        <f>Drivers!G23</f>
        <v>0</v>
      </c>
      <c r="H70" s="29">
        <f>Drivers!H23</f>
        <v>0</v>
      </c>
      <c r="I70" s="29">
        <f>Drivers!I23</f>
        <v>0</v>
      </c>
      <c r="J70" s="53">
        <f>Drivers!J23</f>
        <v>6800</v>
      </c>
      <c r="K70" s="53">
        <f>Drivers!K23</f>
        <v>25000</v>
      </c>
      <c r="L70" s="53">
        <f>Drivers!L23</f>
        <v>25000</v>
      </c>
      <c r="M70" s="53">
        <f>Drivers!M23</f>
        <v>40000</v>
      </c>
      <c r="N70" s="53">
        <f>Drivers!N23</f>
        <v>40000</v>
      </c>
      <c r="O70" s="53">
        <f>Drivers!O23</f>
        <v>60000</v>
      </c>
      <c r="P70" s="53"/>
      <c r="Q70" s="53"/>
      <c r="R70" s="53"/>
      <c r="S70" s="53"/>
      <c r="T70" s="53"/>
      <c r="U70" s="53"/>
      <c r="V70" s="53"/>
      <c r="W70" s="53"/>
    </row>
    <row r="71" spans="2:23">
      <c r="C71" s="30" t="s">
        <v>493</v>
      </c>
      <c r="E71" s="56" t="s">
        <v>109</v>
      </c>
      <c r="G71" s="31">
        <f>Drivers!G24</f>
        <v>0</v>
      </c>
      <c r="H71" s="31">
        <f>Drivers!H24</f>
        <v>0</v>
      </c>
      <c r="I71" s="31">
        <f>Drivers!I24</f>
        <v>0</v>
      </c>
      <c r="J71" s="54">
        <f>Drivers!J28</f>
        <v>0</v>
      </c>
      <c r="K71" s="54">
        <f>Drivers!K28</f>
        <v>1000</v>
      </c>
      <c r="L71" s="54">
        <f>Drivers!L28</f>
        <v>5000</v>
      </c>
      <c r="M71" s="54">
        <f>Drivers!M28</f>
        <v>15000</v>
      </c>
      <c r="N71" s="54">
        <f>Drivers!N28</f>
        <v>20000</v>
      </c>
      <c r="O71" s="54">
        <f>Drivers!O28</f>
        <v>25000</v>
      </c>
      <c r="P71" s="53"/>
      <c r="Q71" s="53"/>
      <c r="R71" s="53"/>
      <c r="S71" s="53"/>
      <c r="T71" s="53"/>
      <c r="U71" s="53"/>
      <c r="V71" s="53"/>
      <c r="W71" s="53"/>
    </row>
    <row r="72" spans="2:23">
      <c r="C72" s="32" t="s">
        <v>2</v>
      </c>
      <c r="E72" s="66" t="s">
        <v>109</v>
      </c>
      <c r="G72" s="33">
        <f t="shared" ref="G72:N72" si="25">SUM(G68:G71)</f>
        <v>73390</v>
      </c>
      <c r="H72" s="33">
        <f t="shared" si="25"/>
        <v>65900</v>
      </c>
      <c r="I72" s="33">
        <f t="shared" si="25"/>
        <v>82056</v>
      </c>
      <c r="J72" s="33">
        <f t="shared" si="25"/>
        <v>97643</v>
      </c>
      <c r="K72" s="33">
        <f t="shared" si="25"/>
        <v>112950</v>
      </c>
      <c r="L72" s="33">
        <f t="shared" si="25"/>
        <v>143000</v>
      </c>
      <c r="M72" s="33">
        <f t="shared" si="25"/>
        <v>190000</v>
      </c>
      <c r="N72" s="33">
        <f t="shared" si="25"/>
        <v>228000</v>
      </c>
      <c r="O72" s="33">
        <f t="shared" ref="O72" si="26">SUM(O68:O71)</f>
        <v>277000</v>
      </c>
      <c r="P72" s="33"/>
      <c r="Q72" s="33"/>
      <c r="R72" s="33"/>
      <c r="S72" s="33"/>
      <c r="T72" s="33"/>
      <c r="U72" s="33"/>
      <c r="V72" s="33"/>
      <c r="W72" s="33"/>
    </row>
    <row r="73" spans="2:23">
      <c r="G73" s="34"/>
      <c r="H73" s="34"/>
      <c r="I73" s="34"/>
    </row>
    <row r="74" spans="2:23">
      <c r="C74" s="28" t="s">
        <v>3</v>
      </c>
      <c r="E74" s="56" t="s">
        <v>109</v>
      </c>
      <c r="G74" s="29">
        <v>26804</v>
      </c>
      <c r="H74" s="29">
        <v>40655</v>
      </c>
      <c r="I74" s="29">
        <v>24380</v>
      </c>
      <c r="J74" s="53">
        <v>44065</v>
      </c>
      <c r="K74" s="53">
        <f t="shared" ref="K74:N74" si="27">K22*K68</f>
        <v>22780</v>
      </c>
      <c r="L74" s="53">
        <f t="shared" si="27"/>
        <v>30800</v>
      </c>
      <c r="M74" s="53">
        <f t="shared" si="27"/>
        <v>33600</v>
      </c>
      <c r="N74" s="53">
        <f t="shared" si="27"/>
        <v>42000</v>
      </c>
      <c r="O74" s="53">
        <f t="shared" ref="O74" si="28">O22*O68</f>
        <v>48000</v>
      </c>
      <c r="P74" s="53"/>
      <c r="Q74" s="53"/>
      <c r="R74" s="53"/>
      <c r="S74" s="53"/>
      <c r="T74" s="53"/>
      <c r="U74" s="53"/>
      <c r="V74" s="53"/>
      <c r="W74" s="53"/>
    </row>
    <row r="75" spans="2:23">
      <c r="C75" s="30" t="s">
        <v>4</v>
      </c>
      <c r="E75" s="56" t="s">
        <v>109</v>
      </c>
      <c r="G75" s="31">
        <v>7126</v>
      </c>
      <c r="H75" s="31">
        <v>8389</v>
      </c>
      <c r="I75" s="31">
        <v>8845</v>
      </c>
      <c r="J75" s="54">
        <v>7811</v>
      </c>
      <c r="K75" s="54">
        <f t="shared" ref="K75:N75" si="29">K23*K69</f>
        <v>9000</v>
      </c>
      <c r="L75" s="54">
        <f t="shared" si="29"/>
        <v>10800</v>
      </c>
      <c r="M75" s="54">
        <f t="shared" si="29"/>
        <v>15300</v>
      </c>
      <c r="N75" s="54">
        <f t="shared" si="29"/>
        <v>18900</v>
      </c>
      <c r="O75" s="54">
        <f t="shared" ref="O75" si="30">O23*O69</f>
        <v>21600</v>
      </c>
      <c r="P75" s="53"/>
      <c r="Q75" s="53"/>
      <c r="R75" s="53"/>
      <c r="S75" s="53"/>
      <c r="T75" s="53"/>
      <c r="U75" s="53"/>
      <c r="V75" s="53"/>
      <c r="W75" s="53"/>
    </row>
    <row r="76" spans="2:23">
      <c r="C76" s="32" t="s">
        <v>5</v>
      </c>
      <c r="E76" s="66" t="s">
        <v>109</v>
      </c>
      <c r="G76" s="33">
        <f>-SUM(G74:G75)</f>
        <v>-33930</v>
      </c>
      <c r="H76" s="33">
        <f t="shared" ref="H76:I76" si="31">-SUM(H74:H75)</f>
        <v>-49044</v>
      </c>
      <c r="I76" s="33">
        <f t="shared" si="31"/>
        <v>-33225</v>
      </c>
      <c r="J76" s="33">
        <f t="shared" ref="J76" si="32">-SUM(J74:J75)</f>
        <v>-51876</v>
      </c>
      <c r="K76" s="33">
        <f t="shared" ref="K76" si="33">-SUM(K74:K75)</f>
        <v>-31780</v>
      </c>
      <c r="L76" s="33">
        <f t="shared" ref="L76" si="34">-SUM(L74:L75)</f>
        <v>-41600</v>
      </c>
      <c r="M76" s="33">
        <f t="shared" ref="M76" si="35">-SUM(M74:M75)</f>
        <v>-48900</v>
      </c>
      <c r="N76" s="33">
        <f t="shared" ref="N76:O76" si="36">-SUM(N74:N75)</f>
        <v>-60900</v>
      </c>
      <c r="O76" s="33">
        <f t="shared" si="36"/>
        <v>-69600</v>
      </c>
      <c r="P76" s="33"/>
      <c r="Q76" s="33"/>
      <c r="R76" s="33"/>
      <c r="S76" s="33"/>
      <c r="T76" s="33"/>
      <c r="U76" s="33"/>
      <c r="V76" s="33"/>
      <c r="W76" s="33"/>
    </row>
    <row r="77" spans="2:23">
      <c r="G77" s="34"/>
      <c r="H77" s="34"/>
      <c r="I77" s="34"/>
    </row>
    <row r="78" spans="2:23">
      <c r="C78" s="32" t="s">
        <v>6</v>
      </c>
      <c r="E78" s="66" t="s">
        <v>109</v>
      </c>
      <c r="G78" s="33">
        <f>SUM(G72,G76)</f>
        <v>39460</v>
      </c>
      <c r="H78" s="33">
        <f t="shared" ref="H78:N78" si="37">SUM(H72,H76)</f>
        <v>16856</v>
      </c>
      <c r="I78" s="33">
        <f t="shared" si="37"/>
        <v>48831</v>
      </c>
      <c r="J78" s="33">
        <f t="shared" si="37"/>
        <v>45767</v>
      </c>
      <c r="K78" s="33">
        <f t="shared" si="37"/>
        <v>81170</v>
      </c>
      <c r="L78" s="33">
        <f t="shared" si="37"/>
        <v>101400</v>
      </c>
      <c r="M78" s="33">
        <f t="shared" si="37"/>
        <v>141100</v>
      </c>
      <c r="N78" s="33">
        <f t="shared" si="37"/>
        <v>167100</v>
      </c>
      <c r="O78" s="33">
        <f t="shared" ref="O78" si="38">SUM(O72,O76)</f>
        <v>207400</v>
      </c>
      <c r="P78" s="33"/>
      <c r="Q78" s="33"/>
      <c r="R78" s="33"/>
      <c r="S78" s="33"/>
      <c r="T78" s="33"/>
      <c r="U78" s="33"/>
      <c r="V78" s="33"/>
      <c r="W78" s="33"/>
    </row>
    <row r="79" spans="2:23">
      <c r="C79" s="146" t="s">
        <v>519</v>
      </c>
      <c r="E79" s="66" t="s">
        <v>85</v>
      </c>
      <c r="G79" s="149">
        <f>G78/G72</f>
        <v>0.53767543262024797</v>
      </c>
      <c r="H79" s="149">
        <f t="shared" ref="H79:O79" si="39">H78/H72</f>
        <v>0.2557814871016692</v>
      </c>
      <c r="I79" s="149">
        <f t="shared" si="39"/>
        <v>0.59509359461830946</v>
      </c>
      <c r="J79" s="149">
        <f t="shared" si="39"/>
        <v>0.46871767561422734</v>
      </c>
      <c r="K79" s="149">
        <f t="shared" si="39"/>
        <v>0.71863656485170424</v>
      </c>
      <c r="L79" s="149">
        <f t="shared" si="39"/>
        <v>0.70909090909090911</v>
      </c>
      <c r="M79" s="149">
        <f t="shared" si="39"/>
        <v>0.74263157894736842</v>
      </c>
      <c r="N79" s="149">
        <f t="shared" si="39"/>
        <v>0.73289473684210527</v>
      </c>
      <c r="O79" s="149">
        <f t="shared" si="39"/>
        <v>0.7487364620938628</v>
      </c>
      <c r="P79" s="33"/>
      <c r="Q79" s="33"/>
      <c r="R79" s="33"/>
      <c r="S79" s="33"/>
      <c r="T79" s="33"/>
      <c r="U79" s="33"/>
      <c r="V79" s="33"/>
      <c r="W79" s="33"/>
    </row>
    <row r="80" spans="2:23">
      <c r="G80" s="34"/>
      <c r="H80" s="34"/>
      <c r="I80" s="34"/>
    </row>
    <row r="81" spans="3:23">
      <c r="C81" s="28" t="s">
        <v>7</v>
      </c>
      <c r="E81" s="56" t="s">
        <v>109</v>
      </c>
      <c r="G81" s="29">
        <v>88044</v>
      </c>
      <c r="H81" s="29">
        <v>55616</v>
      </c>
      <c r="I81" s="29">
        <v>37800</v>
      </c>
      <c r="J81" s="53">
        <f t="shared" ref="J81:N84" si="40">J25*J$72</f>
        <v>31245.760000000002</v>
      </c>
      <c r="K81" s="53">
        <f t="shared" si="40"/>
        <v>28237.5</v>
      </c>
      <c r="L81" s="53">
        <f t="shared" si="40"/>
        <v>31460</v>
      </c>
      <c r="M81" s="53">
        <f t="shared" si="40"/>
        <v>36100</v>
      </c>
      <c r="N81" s="53">
        <f t="shared" si="40"/>
        <v>36480</v>
      </c>
      <c r="O81" s="53">
        <f t="shared" ref="O81" si="41">O25*O$72</f>
        <v>36010</v>
      </c>
      <c r="P81" s="53"/>
      <c r="Q81" s="53"/>
      <c r="R81" s="53"/>
      <c r="S81" s="53"/>
      <c r="T81" s="53"/>
      <c r="U81" s="53"/>
      <c r="V81" s="53"/>
      <c r="W81" s="53"/>
    </row>
    <row r="82" spans="3:23">
      <c r="C82" s="28" t="s">
        <v>8</v>
      </c>
      <c r="E82" s="56" t="s">
        <v>109</v>
      </c>
      <c r="G82" s="29">
        <v>59494</v>
      </c>
      <c r="H82" s="29">
        <v>39073</v>
      </c>
      <c r="I82" s="29">
        <v>41567</v>
      </c>
      <c r="J82" s="53">
        <f t="shared" si="40"/>
        <v>33198.620000000003</v>
      </c>
      <c r="K82" s="53">
        <f t="shared" si="40"/>
        <v>31626.000000000004</v>
      </c>
      <c r="L82" s="53">
        <f t="shared" si="40"/>
        <v>31460</v>
      </c>
      <c r="M82" s="53">
        <f t="shared" si="40"/>
        <v>38000</v>
      </c>
      <c r="N82" s="53">
        <f t="shared" si="40"/>
        <v>34200</v>
      </c>
      <c r="O82" s="53">
        <f t="shared" ref="O82" si="42">O26*O$72</f>
        <v>41550</v>
      </c>
      <c r="P82" s="53"/>
      <c r="Q82" s="53"/>
      <c r="R82" s="53"/>
      <c r="S82" s="53"/>
      <c r="T82" s="53"/>
      <c r="U82" s="53"/>
      <c r="V82" s="53"/>
      <c r="W82" s="53"/>
    </row>
    <row r="83" spans="3:23">
      <c r="C83" s="28" t="s">
        <v>9</v>
      </c>
      <c r="E83" s="56" t="s">
        <v>109</v>
      </c>
      <c r="G83" s="29">
        <v>77596</v>
      </c>
      <c r="H83" s="29">
        <v>49613</v>
      </c>
      <c r="I83" s="29">
        <v>39810</v>
      </c>
      <c r="J83" s="53">
        <f t="shared" si="40"/>
        <v>30269.329999999998</v>
      </c>
      <c r="K83" s="53">
        <f t="shared" si="40"/>
        <v>28237.5</v>
      </c>
      <c r="L83" s="53">
        <f t="shared" si="40"/>
        <v>28600</v>
      </c>
      <c r="M83" s="53">
        <f t="shared" si="40"/>
        <v>28500</v>
      </c>
      <c r="N83" s="53">
        <f t="shared" si="40"/>
        <v>31920.000000000004</v>
      </c>
      <c r="O83" s="53">
        <f t="shared" ref="O83" si="43">O27*O$72</f>
        <v>38780.000000000007</v>
      </c>
      <c r="P83" s="53"/>
      <c r="Q83" s="53"/>
      <c r="R83" s="53"/>
      <c r="S83" s="53"/>
      <c r="T83" s="53"/>
      <c r="U83" s="53"/>
      <c r="V83" s="53"/>
      <c r="W83" s="53"/>
    </row>
    <row r="84" spans="3:23">
      <c r="C84" s="30" t="s">
        <v>10</v>
      </c>
      <c r="E84" s="56" t="s">
        <v>109</v>
      </c>
      <c r="G84" s="31">
        <v>7346</v>
      </c>
      <c r="H84" s="31">
        <v>18164</v>
      </c>
      <c r="I84" s="31">
        <v>4065</v>
      </c>
      <c r="J84" s="54">
        <f t="shared" si="40"/>
        <v>3905.7200000000003</v>
      </c>
      <c r="K84" s="54">
        <f t="shared" si="40"/>
        <v>2259</v>
      </c>
      <c r="L84" s="54">
        <f t="shared" si="40"/>
        <v>1430</v>
      </c>
      <c r="M84" s="54">
        <f t="shared" si="40"/>
        <v>1900</v>
      </c>
      <c r="N84" s="54">
        <f t="shared" si="40"/>
        <v>2280</v>
      </c>
      <c r="O84" s="54">
        <f t="shared" ref="O84" si="44">O28*O$72</f>
        <v>2770</v>
      </c>
      <c r="P84" s="53"/>
      <c r="Q84" s="53"/>
      <c r="R84" s="53"/>
      <c r="S84" s="53"/>
      <c r="T84" s="53"/>
      <c r="U84" s="53"/>
      <c r="V84" s="53"/>
      <c r="W84" s="53"/>
    </row>
    <row r="85" spans="3:23">
      <c r="C85" s="32" t="s">
        <v>11</v>
      </c>
      <c r="E85" s="66" t="s">
        <v>109</v>
      </c>
      <c r="G85" s="33">
        <f>-SUM(G81:G84)</f>
        <v>-232480</v>
      </c>
      <c r="H85" s="33">
        <f t="shared" ref="H85:I85" si="45">-SUM(H81:H84)</f>
        <v>-162466</v>
      </c>
      <c r="I85" s="33">
        <f t="shared" si="45"/>
        <v>-123242</v>
      </c>
      <c r="J85" s="33">
        <f t="shared" ref="J85" si="46">-SUM(J81:J84)</f>
        <v>-98619.430000000008</v>
      </c>
      <c r="K85" s="33">
        <f t="shared" ref="K85" si="47">-SUM(K81:K84)</f>
        <v>-90360</v>
      </c>
      <c r="L85" s="33">
        <f t="shared" ref="L85" si="48">-SUM(L81:L84)</f>
        <v>-92950</v>
      </c>
      <c r="M85" s="33">
        <f t="shared" ref="M85" si="49">-SUM(M81:M84)</f>
        <v>-104500</v>
      </c>
      <c r="N85" s="33">
        <f t="shared" ref="N85:O85" si="50">-SUM(N81:N84)</f>
        <v>-104880</v>
      </c>
      <c r="O85" s="33">
        <f t="shared" si="50"/>
        <v>-119110</v>
      </c>
      <c r="P85" s="33"/>
      <c r="Q85" s="33"/>
      <c r="R85" s="33"/>
      <c r="S85" s="33"/>
      <c r="T85" s="33"/>
      <c r="U85" s="33"/>
      <c r="V85" s="33"/>
      <c r="W85" s="33"/>
    </row>
    <row r="86" spans="3:23">
      <c r="G86" s="34"/>
      <c r="H86" s="34"/>
      <c r="I86" s="34"/>
    </row>
    <row r="87" spans="3:23">
      <c r="C87" s="32" t="s">
        <v>497</v>
      </c>
      <c r="E87" s="66" t="s">
        <v>109</v>
      </c>
      <c r="G87" s="33">
        <f>SUM(G78,G85)</f>
        <v>-193020</v>
      </c>
      <c r="H87" s="33">
        <f t="shared" ref="H87:N87" si="51">SUM(H78,H85)</f>
        <v>-145610</v>
      </c>
      <c r="I87" s="33">
        <f t="shared" si="51"/>
        <v>-74411</v>
      </c>
      <c r="J87" s="33">
        <f t="shared" si="51"/>
        <v>-52852.430000000008</v>
      </c>
      <c r="K87" s="33">
        <f t="shared" si="51"/>
        <v>-9190</v>
      </c>
      <c r="L87" s="33">
        <f t="shared" si="51"/>
        <v>8450</v>
      </c>
      <c r="M87" s="33">
        <f t="shared" si="51"/>
        <v>36600</v>
      </c>
      <c r="N87" s="33">
        <f t="shared" si="51"/>
        <v>62220</v>
      </c>
      <c r="O87" s="33">
        <f t="shared" ref="O87" si="52">SUM(O78,O85)</f>
        <v>88290</v>
      </c>
      <c r="P87" s="33"/>
      <c r="Q87" s="33"/>
      <c r="R87" s="33"/>
      <c r="S87" s="33"/>
      <c r="T87" s="33"/>
      <c r="U87" s="33"/>
      <c r="V87" s="33"/>
      <c r="W87" s="33"/>
    </row>
    <row r="88" spans="3:23">
      <c r="G88" s="34"/>
      <c r="H88" s="34"/>
      <c r="I88" s="34"/>
    </row>
    <row r="89" spans="3:23">
      <c r="C89" s="28" t="s">
        <v>12</v>
      </c>
      <c r="E89" s="56" t="s">
        <v>109</v>
      </c>
      <c r="G89" s="29">
        <v>3384</v>
      </c>
      <c r="H89" s="29">
        <v>7450</v>
      </c>
      <c r="I89" s="29">
        <v>5020</v>
      </c>
      <c r="J89" s="53">
        <f t="shared" ref="J89:O89" si="53">I108*J30</f>
        <v>3314.9393396163259</v>
      </c>
      <c r="K89" s="53">
        <f t="shared" si="53"/>
        <v>2217.5292085666333</v>
      </c>
      <c r="L89" s="53">
        <f t="shared" si="53"/>
        <v>2823.6315683074877</v>
      </c>
      <c r="M89" s="53">
        <f t="shared" si="53"/>
        <v>4274.4046043085837</v>
      </c>
      <c r="N89" s="53">
        <f t="shared" si="53"/>
        <v>6477.5774926297991</v>
      </c>
      <c r="O89" s="53">
        <f t="shared" si="53"/>
        <v>9654.1779070246394</v>
      </c>
      <c r="P89" s="53"/>
      <c r="Q89" s="53"/>
      <c r="R89" s="53"/>
      <c r="S89" s="53"/>
      <c r="T89" s="53"/>
      <c r="U89" s="53"/>
      <c r="V89" s="53"/>
      <c r="W89" s="53"/>
    </row>
    <row r="90" spans="3:23">
      <c r="C90" s="28" t="s">
        <v>13</v>
      </c>
      <c r="E90" s="56" t="s">
        <v>109</v>
      </c>
      <c r="G90" s="29">
        <v>-2</v>
      </c>
      <c r="H90" s="29">
        <v>0</v>
      </c>
      <c r="I90" s="29">
        <v>-1261</v>
      </c>
      <c r="J90" s="61">
        <v>-1261</v>
      </c>
      <c r="K90" s="61">
        <v>-1261</v>
      </c>
      <c r="L90" s="61">
        <v>-1261</v>
      </c>
      <c r="M90" s="61">
        <v>-1261</v>
      </c>
      <c r="N90" s="61">
        <v>-1261</v>
      </c>
      <c r="O90" s="61">
        <v>-1261</v>
      </c>
      <c r="P90" s="29"/>
      <c r="Q90" s="29"/>
      <c r="R90" s="29"/>
      <c r="S90" s="29"/>
      <c r="T90" s="29"/>
      <c r="U90" s="29"/>
      <c r="V90" s="29"/>
      <c r="W90" s="29"/>
    </row>
    <row r="91" spans="3:23">
      <c r="C91" s="30" t="s">
        <v>14</v>
      </c>
      <c r="E91" s="56" t="s">
        <v>109</v>
      </c>
      <c r="G91" s="31">
        <v>20957</v>
      </c>
      <c r="H91" s="31">
        <v>4542</v>
      </c>
      <c r="I91" s="31">
        <v>-1872</v>
      </c>
      <c r="J91" s="63">
        <f>AVERAGE(H91:I91)</f>
        <v>1335</v>
      </c>
      <c r="K91" s="63">
        <f t="shared" ref="K91:O91" si="54">AVERAGE(I91:J91)</f>
        <v>-268.5</v>
      </c>
      <c r="L91" s="63">
        <f t="shared" si="54"/>
        <v>533.25</v>
      </c>
      <c r="M91" s="63">
        <f t="shared" si="54"/>
        <v>132.375</v>
      </c>
      <c r="N91" s="63">
        <f t="shared" si="54"/>
        <v>332.8125</v>
      </c>
      <c r="O91" s="63">
        <f t="shared" si="54"/>
        <v>232.59375</v>
      </c>
      <c r="P91" s="34"/>
      <c r="Q91" s="34"/>
      <c r="R91" s="34"/>
      <c r="S91" s="34"/>
      <c r="T91" s="34"/>
      <c r="U91" s="34"/>
      <c r="V91" s="34"/>
      <c r="W91" s="34"/>
    </row>
    <row r="92" spans="3:23">
      <c r="C92" s="32" t="s">
        <v>68</v>
      </c>
      <c r="E92" s="66" t="s">
        <v>109</v>
      </c>
      <c r="G92" s="33">
        <f>SUM(G89:G91)</f>
        <v>24339</v>
      </c>
      <c r="H92" s="33">
        <f>SUM(H89:H91)</f>
        <v>11992</v>
      </c>
      <c r="I92" s="33">
        <f>SUM(I89:I91)</f>
        <v>1887</v>
      </c>
      <c r="J92" s="33">
        <f t="shared" ref="J92:N92" si="55">SUM(J89:J91)</f>
        <v>3388.9393396163259</v>
      </c>
      <c r="K92" s="33">
        <f t="shared" si="55"/>
        <v>688.02920856663332</v>
      </c>
      <c r="L92" s="33">
        <f t="shared" si="55"/>
        <v>2095.8815683074877</v>
      </c>
      <c r="M92" s="33">
        <f t="shared" si="55"/>
        <v>3145.7796043085837</v>
      </c>
      <c r="N92" s="33">
        <f t="shared" si="55"/>
        <v>5549.3899926297991</v>
      </c>
      <c r="O92" s="33">
        <f t="shared" ref="O92" si="56">SUM(O89:O91)</f>
        <v>8625.7716570246394</v>
      </c>
      <c r="P92" s="33"/>
      <c r="Q92" s="33"/>
      <c r="R92" s="33"/>
      <c r="S92" s="33"/>
      <c r="T92" s="33"/>
      <c r="U92" s="33"/>
      <c r="V92" s="33"/>
      <c r="W92" s="33"/>
    </row>
    <row r="93" spans="3:23">
      <c r="C93" s="32"/>
      <c r="G93" s="34"/>
      <c r="H93" s="34"/>
      <c r="I93" s="34"/>
    </row>
    <row r="94" spans="3:23">
      <c r="C94" s="32" t="s">
        <v>15</v>
      </c>
      <c r="E94" s="66" t="s">
        <v>109</v>
      </c>
      <c r="G94" s="33">
        <f>SUM(G87,G92)</f>
        <v>-168681</v>
      </c>
      <c r="H94" s="33">
        <f>SUM(H87,H92)</f>
        <v>-133618</v>
      </c>
      <c r="I94" s="33">
        <f>SUM(I87,I92)</f>
        <v>-72524</v>
      </c>
      <c r="J94" s="33">
        <f t="shared" ref="J94:N94" si="57">SUM(J87,J92)</f>
        <v>-49463.490660383679</v>
      </c>
      <c r="K94" s="33">
        <f t="shared" si="57"/>
        <v>-8501.9707914333667</v>
      </c>
      <c r="L94" s="33">
        <f t="shared" si="57"/>
        <v>10545.881568307488</v>
      </c>
      <c r="M94" s="33">
        <f t="shared" si="57"/>
        <v>39745.779604308584</v>
      </c>
      <c r="N94" s="33">
        <f t="shared" si="57"/>
        <v>67769.389992629804</v>
      </c>
      <c r="O94" s="33">
        <f t="shared" ref="O94" si="58">SUM(O87,O92)</f>
        <v>96915.771657024641</v>
      </c>
      <c r="P94" s="33"/>
      <c r="Q94" s="33"/>
      <c r="R94" s="33"/>
      <c r="S94" s="33"/>
      <c r="T94" s="33"/>
      <c r="U94" s="33"/>
      <c r="V94" s="33"/>
      <c r="W94" s="33"/>
    </row>
    <row r="95" spans="3:23">
      <c r="G95" s="34"/>
      <c r="H95" s="34"/>
      <c r="I95" s="34"/>
    </row>
    <row r="96" spans="3:23">
      <c r="C96" s="30" t="s">
        <v>16</v>
      </c>
      <c r="E96" s="56" t="s">
        <v>109</v>
      </c>
      <c r="G96" s="31">
        <v>-42</v>
      </c>
      <c r="H96" s="31">
        <v>-82</v>
      </c>
      <c r="I96" s="31">
        <v>32</v>
      </c>
      <c r="J96" s="62">
        <f t="shared" ref="J96:O96" si="59">J38</f>
        <v>0</v>
      </c>
      <c r="K96" s="62">
        <f t="shared" si="59"/>
        <v>0</v>
      </c>
      <c r="L96" s="62">
        <f t="shared" si="59"/>
        <v>253.10115763937966</v>
      </c>
      <c r="M96" s="62">
        <f t="shared" si="59"/>
        <v>953.89871050340571</v>
      </c>
      <c r="N96" s="62">
        <f t="shared" si="59"/>
        <v>1626.4653598231153</v>
      </c>
      <c r="O96" s="62">
        <f t="shared" si="59"/>
        <v>2325.9785197685901</v>
      </c>
      <c r="P96" s="34"/>
      <c r="Q96" s="34"/>
      <c r="R96" s="34"/>
      <c r="S96" s="34"/>
      <c r="T96" s="34"/>
      <c r="U96" s="34"/>
      <c r="V96" s="34"/>
      <c r="W96" s="34"/>
    </row>
    <row r="97" spans="2:23">
      <c r="C97" s="32" t="s">
        <v>17</v>
      </c>
      <c r="E97" s="66" t="s">
        <v>109</v>
      </c>
      <c r="G97" s="33">
        <f>SUM(G94,G96)</f>
        <v>-168723</v>
      </c>
      <c r="H97" s="33">
        <f>SUM(H94,H96)</f>
        <v>-133700</v>
      </c>
      <c r="I97" s="33">
        <f>SUM(I94,I96)</f>
        <v>-72492</v>
      </c>
      <c r="J97" s="33">
        <f t="shared" ref="J97:N97" si="60">SUM(J94,J96)</f>
        <v>-49463.490660383679</v>
      </c>
      <c r="K97" s="33">
        <f t="shared" si="60"/>
        <v>-8501.9707914333667</v>
      </c>
      <c r="L97" s="33">
        <f t="shared" si="60"/>
        <v>10798.982725946868</v>
      </c>
      <c r="M97" s="33">
        <f t="shared" si="60"/>
        <v>40699.678314811987</v>
      </c>
      <c r="N97" s="33">
        <f t="shared" si="60"/>
        <v>69395.855352452912</v>
      </c>
      <c r="O97" s="33">
        <f t="shared" ref="O97" si="61">SUM(O94,O96)</f>
        <v>99241.750176793226</v>
      </c>
      <c r="P97" s="33"/>
      <c r="Q97" s="33"/>
      <c r="R97" s="33"/>
      <c r="S97" s="33"/>
      <c r="T97" s="33"/>
      <c r="U97" s="33"/>
      <c r="V97" s="33"/>
      <c r="W97" s="33"/>
    </row>
    <row r="98" spans="2:23">
      <c r="G98" s="34"/>
      <c r="H98" s="34"/>
      <c r="I98" s="34"/>
    </row>
    <row r="99" spans="2:23">
      <c r="C99" s="32" t="s">
        <v>191</v>
      </c>
      <c r="E99" s="66" t="s">
        <v>109</v>
      </c>
      <c r="G99" s="33">
        <f>G87+G148</f>
        <v>-187085</v>
      </c>
      <c r="H99" s="33">
        <f t="shared" ref="H99:N99" si="62">H87+H148</f>
        <v>-135036</v>
      </c>
      <c r="I99" s="33">
        <f t="shared" si="62"/>
        <v>-64069</v>
      </c>
      <c r="J99" s="33">
        <f t="shared" si="62"/>
        <v>-48217.507137500012</v>
      </c>
      <c r="K99" s="33">
        <f t="shared" si="62"/>
        <v>-4736.5183332500001</v>
      </c>
      <c r="L99" s="33">
        <f t="shared" si="62"/>
        <v>12832.562421197499</v>
      </c>
      <c r="M99" s="33">
        <f t="shared" si="62"/>
        <v>41016.3061184463</v>
      </c>
      <c r="N99" s="33">
        <f t="shared" si="62"/>
        <v>66266.08425742168</v>
      </c>
      <c r="O99" s="33">
        <f t="shared" ref="O99" si="63">O87+O148</f>
        <v>92029.650704868458</v>
      </c>
      <c r="P99" s="33"/>
      <c r="Q99" s="33"/>
      <c r="R99" s="33"/>
      <c r="S99" s="33"/>
      <c r="T99" s="33"/>
      <c r="U99" s="33"/>
      <c r="V99" s="33"/>
      <c r="W99" s="33"/>
    </row>
    <row r="100" spans="2:23">
      <c r="G100" s="34"/>
      <c r="H100" s="34"/>
      <c r="I100" s="34"/>
    </row>
    <row r="101" spans="2:23">
      <c r="C101" s="2" t="s">
        <v>18</v>
      </c>
      <c r="E101" s="56" t="s">
        <v>278</v>
      </c>
      <c r="G101" s="29">
        <v>-0.84</v>
      </c>
      <c r="H101" s="29">
        <v>-0.65</v>
      </c>
      <c r="I101" s="29">
        <v>-0.34</v>
      </c>
      <c r="J101" s="599">
        <f t="shared" ref="J101:O101" si="64">J97/Units/Diluted</f>
        <v>-0.21752711491439236</v>
      </c>
      <c r="K101" s="599">
        <f t="shared" si="64"/>
        <v>-3.7389378562968326E-2</v>
      </c>
      <c r="L101" s="599">
        <f t="shared" si="64"/>
        <v>4.7491018628553885E-2</v>
      </c>
      <c r="M101" s="599">
        <f t="shared" si="64"/>
        <v>0.17898622769168382</v>
      </c>
      <c r="N101" s="599">
        <f t="shared" si="64"/>
        <v>0.30518428845794854</v>
      </c>
      <c r="O101" s="599">
        <f t="shared" si="64"/>
        <v>0.4364384985126577</v>
      </c>
      <c r="P101" s="599"/>
      <c r="Q101" s="599"/>
      <c r="R101" s="599"/>
      <c r="S101" s="599"/>
      <c r="T101" s="599"/>
      <c r="U101" s="599"/>
      <c r="V101" s="599"/>
      <c r="W101" s="599"/>
    </row>
    <row r="102" spans="2:23">
      <c r="C102" s="2" t="s">
        <v>19</v>
      </c>
      <c r="E102" s="56" t="s">
        <v>90</v>
      </c>
      <c r="G102" s="29">
        <v>199848386</v>
      </c>
      <c r="H102" s="29">
        <v>205385544</v>
      </c>
      <c r="I102" s="29">
        <v>211682760</v>
      </c>
      <c r="J102" s="61">
        <v>211682760</v>
      </c>
      <c r="K102" s="61">
        <v>211682760</v>
      </c>
      <c r="L102" s="61">
        <v>211682760</v>
      </c>
      <c r="M102" s="61">
        <v>211682760</v>
      </c>
      <c r="N102" s="61">
        <v>211682760</v>
      </c>
      <c r="O102" s="61">
        <v>211682760</v>
      </c>
      <c r="P102" s="29"/>
      <c r="Q102" s="29"/>
      <c r="R102" s="29"/>
      <c r="S102" s="29"/>
      <c r="T102" s="29"/>
      <c r="U102" s="29"/>
      <c r="V102" s="29"/>
      <c r="W102" s="29"/>
    </row>
    <row r="103" spans="2:23">
      <c r="G103" s="34"/>
      <c r="H103" s="34"/>
      <c r="I103" s="34"/>
    </row>
    <row r="104" spans="2:23">
      <c r="B104" s="3"/>
      <c r="C104" s="3"/>
      <c r="D104" s="3"/>
      <c r="E104" s="3"/>
      <c r="F104" s="3"/>
      <c r="G104" s="4"/>
      <c r="H104" s="5" t="s">
        <v>70</v>
      </c>
      <c r="I104" s="4"/>
      <c r="J104" s="6"/>
      <c r="K104" s="4"/>
      <c r="L104" s="4"/>
      <c r="M104" s="4"/>
      <c r="N104" s="5" t="s">
        <v>71</v>
      </c>
      <c r="O104" s="5" t="s">
        <v>71</v>
      </c>
    </row>
    <row r="105" spans="2:23">
      <c r="B105" s="7" t="str">
        <f>Company_Name&amp;" - Balance Sheet"</f>
        <v>Butterfly Network, inc. - Balance Sheet</v>
      </c>
      <c r="C105" s="3"/>
      <c r="D105" s="3"/>
      <c r="E105" s="8" t="s">
        <v>72</v>
      </c>
      <c r="F105" s="9"/>
      <c r="G105" s="10">
        <f t="shared" ref="G105:N105" si="65">G66</f>
        <v>44926</v>
      </c>
      <c r="H105" s="10">
        <f t="shared" si="65"/>
        <v>45291</v>
      </c>
      <c r="I105" s="10">
        <f t="shared" si="65"/>
        <v>45657</v>
      </c>
      <c r="J105" s="11">
        <f t="shared" si="65"/>
        <v>46022</v>
      </c>
      <c r="K105" s="10">
        <f t="shared" si="65"/>
        <v>46387</v>
      </c>
      <c r="L105" s="10">
        <f t="shared" si="65"/>
        <v>46752</v>
      </c>
      <c r="M105" s="10">
        <f t="shared" si="65"/>
        <v>47118</v>
      </c>
      <c r="N105" s="10">
        <f t="shared" si="65"/>
        <v>47483</v>
      </c>
      <c r="O105" s="10">
        <f t="shared" ref="O105" si="66">O66</f>
        <v>47848</v>
      </c>
      <c r="P105" s="46"/>
      <c r="Q105" s="46"/>
      <c r="R105" s="46"/>
      <c r="S105" s="46"/>
    </row>
    <row r="106" spans="2:23">
      <c r="C106" s="39" t="s">
        <v>95</v>
      </c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</row>
    <row r="107" spans="2:23">
      <c r="G107" s="34"/>
      <c r="H107" s="34"/>
      <c r="I107" s="34"/>
    </row>
    <row r="108" spans="2:23">
      <c r="C108" s="28" t="s">
        <v>20</v>
      </c>
      <c r="E108" s="56" t="s">
        <v>109</v>
      </c>
      <c r="G108" s="34"/>
      <c r="H108" s="29">
        <v>134437</v>
      </c>
      <c r="I108" s="29">
        <v>88775</v>
      </c>
      <c r="J108" s="53">
        <f>J185</f>
        <v>59386.050639855079</v>
      </c>
      <c r="K108" s="53">
        <f t="shared" ref="K108:N108" si="67">K185</f>
        <v>75617.640866245754</v>
      </c>
      <c r="L108" s="53">
        <f t="shared" si="67"/>
        <v>114469.74736841297</v>
      </c>
      <c r="M108" s="53">
        <f t="shared" si="67"/>
        <v>173471.33174834109</v>
      </c>
      <c r="N108" s="53">
        <f t="shared" si="67"/>
        <v>258541.57675033296</v>
      </c>
      <c r="O108" s="53">
        <f t="shared" ref="O108" si="68">O185</f>
        <v>369989.52900606673</v>
      </c>
    </row>
    <row r="109" spans="2:23">
      <c r="C109" s="28" t="s">
        <v>21</v>
      </c>
      <c r="E109" s="56" t="s">
        <v>109</v>
      </c>
      <c r="G109" s="34"/>
      <c r="H109" s="29">
        <v>13418</v>
      </c>
      <c r="I109" s="29">
        <v>20793</v>
      </c>
      <c r="J109" s="53">
        <f t="shared" ref="J109:N110" si="69">J43/(J$66-EOMONTH(J$66,-12))*J$72</f>
        <v>22738.780821917808</v>
      </c>
      <c r="K109" s="53">
        <f t="shared" si="69"/>
        <v>24756.164383561641</v>
      </c>
      <c r="L109" s="53">
        <f t="shared" si="69"/>
        <v>29383.561643835616</v>
      </c>
      <c r="M109" s="53">
        <f t="shared" si="69"/>
        <v>36338.797814207646</v>
      </c>
      <c r="N109" s="53">
        <f t="shared" si="69"/>
        <v>43726.027397260274</v>
      </c>
      <c r="O109" s="53">
        <f t="shared" ref="O109" si="70">O43/(O$66-EOMONTH(O$66,-12))*O$72</f>
        <v>53123.287671232873</v>
      </c>
    </row>
    <row r="110" spans="2:23">
      <c r="C110" s="28" t="s">
        <v>22</v>
      </c>
      <c r="E110" s="56" t="s">
        <v>109</v>
      </c>
      <c r="G110" s="34"/>
      <c r="H110" s="29">
        <v>73022</v>
      </c>
      <c r="I110" s="29">
        <v>70789</v>
      </c>
      <c r="J110" s="53">
        <f t="shared" si="69"/>
        <v>64203.616438356163</v>
      </c>
      <c r="K110" s="53">
        <f t="shared" si="69"/>
        <v>64984.931506849309</v>
      </c>
      <c r="L110" s="53">
        <f t="shared" si="69"/>
        <v>62684.931506849309</v>
      </c>
      <c r="M110" s="53">
        <f t="shared" si="69"/>
        <v>72677.595628415293</v>
      </c>
      <c r="N110" s="53">
        <f t="shared" si="69"/>
        <v>87452.054794520547</v>
      </c>
      <c r="O110" s="53">
        <f t="shared" ref="O110" si="71">O44/(O$66-EOMONTH(O$66,-12))*O$72</f>
        <v>106246.57534246575</v>
      </c>
    </row>
    <row r="111" spans="2:23">
      <c r="C111" s="30" t="s">
        <v>23</v>
      </c>
      <c r="E111" s="56" t="s">
        <v>109</v>
      </c>
      <c r="G111" s="34"/>
      <c r="H111" s="31">
        <v>7571</v>
      </c>
      <c r="I111" s="31">
        <v>6709</v>
      </c>
      <c r="J111" s="54">
        <f t="shared" ref="J111:O111" si="72">J46*-J85</f>
        <v>4930.9715000000006</v>
      </c>
      <c r="K111" s="54">
        <f t="shared" si="72"/>
        <v>3614.4</v>
      </c>
      <c r="L111" s="54">
        <f t="shared" si="72"/>
        <v>3718</v>
      </c>
      <c r="M111" s="54">
        <f t="shared" si="72"/>
        <v>3135</v>
      </c>
      <c r="N111" s="54">
        <f t="shared" si="72"/>
        <v>3146.4</v>
      </c>
      <c r="O111" s="54">
        <f t="shared" si="72"/>
        <v>3573.2999999999997</v>
      </c>
    </row>
    <row r="112" spans="2:23">
      <c r="C112" s="32" t="s">
        <v>24</v>
      </c>
      <c r="E112" s="66" t="s">
        <v>109</v>
      </c>
      <c r="G112" s="34"/>
      <c r="H112" s="33">
        <f t="shared" ref="H112:N112" si="73">SUM(H108:H111)</f>
        <v>228448</v>
      </c>
      <c r="I112" s="33">
        <f t="shared" si="73"/>
        <v>187066</v>
      </c>
      <c r="J112" s="33">
        <f t="shared" si="73"/>
        <v>151259.41940012906</v>
      </c>
      <c r="K112" s="33">
        <f t="shared" si="73"/>
        <v>168973.13675665669</v>
      </c>
      <c r="L112" s="33">
        <f t="shared" si="73"/>
        <v>210256.24051909789</v>
      </c>
      <c r="M112" s="33">
        <f t="shared" si="73"/>
        <v>285622.72519096406</v>
      </c>
      <c r="N112" s="33">
        <f t="shared" si="73"/>
        <v>392866.05894211383</v>
      </c>
      <c r="O112" s="33">
        <f t="shared" ref="O112" si="74">SUM(O108:O111)</f>
        <v>532932.69201976538</v>
      </c>
    </row>
    <row r="113" spans="3:16">
      <c r="G113" s="34"/>
      <c r="H113" s="34"/>
      <c r="I113" s="34"/>
    </row>
    <row r="114" spans="3:16">
      <c r="C114" s="28" t="s">
        <v>120</v>
      </c>
      <c r="E114" s="56" t="s">
        <v>109</v>
      </c>
      <c r="G114" s="34"/>
      <c r="H114" s="29">
        <v>35638</v>
      </c>
      <c r="I114" s="29">
        <v>28434</v>
      </c>
      <c r="J114" s="34">
        <f>Drivers!J43</f>
        <v>26264.5628875</v>
      </c>
      <c r="K114" s="34">
        <f>Drivers!K43</f>
        <v>24521.881220750001</v>
      </c>
      <c r="L114" s="34">
        <f>Drivers!L43</f>
        <v>22927.8187995525</v>
      </c>
      <c r="M114" s="34">
        <f>Drivers!M43</f>
        <v>21646.5126811062</v>
      </c>
      <c r="N114" s="34">
        <f>Drivers!N43</f>
        <v>20746.828423684521</v>
      </c>
      <c r="O114" s="34">
        <f>Drivers!O43</f>
        <v>20580.47771881607</v>
      </c>
    </row>
    <row r="115" spans="3:16">
      <c r="C115" s="28" t="s">
        <v>496</v>
      </c>
      <c r="E115" s="56" t="s">
        <v>109</v>
      </c>
      <c r="G115" s="34"/>
      <c r="H115" s="29">
        <v>18091</v>
      </c>
      <c r="I115" s="29">
        <v>20589</v>
      </c>
      <c r="J115" s="34">
        <f t="shared" ref="J115:O115" si="75">-J76*J48</f>
        <v>10375.200000000001</v>
      </c>
      <c r="K115" s="34">
        <f t="shared" si="75"/>
        <v>5720.4</v>
      </c>
      <c r="L115" s="34">
        <f t="shared" si="75"/>
        <v>6656</v>
      </c>
      <c r="M115" s="34">
        <f t="shared" si="75"/>
        <v>7335</v>
      </c>
      <c r="N115" s="34">
        <f t="shared" si="75"/>
        <v>8526</v>
      </c>
      <c r="O115" s="34">
        <f t="shared" si="75"/>
        <v>9744.0000000000018</v>
      </c>
    </row>
    <row r="116" spans="3:16">
      <c r="C116" s="28" t="s">
        <v>26</v>
      </c>
      <c r="E116" s="56" t="s">
        <v>109</v>
      </c>
      <c r="G116" s="34"/>
      <c r="H116" s="29">
        <v>15675</v>
      </c>
      <c r="I116" s="29">
        <v>14233</v>
      </c>
      <c r="J116" s="64">
        <f>I116*0.9</f>
        <v>12809.7</v>
      </c>
      <c r="K116" s="64">
        <f t="shared" ref="K116:O116" si="76">J116*0.9</f>
        <v>11528.730000000001</v>
      </c>
      <c r="L116" s="64">
        <f t="shared" si="76"/>
        <v>10375.857000000002</v>
      </c>
      <c r="M116" s="64">
        <f t="shared" si="76"/>
        <v>9338.2713000000022</v>
      </c>
      <c r="N116" s="64">
        <f t="shared" si="76"/>
        <v>8404.4441700000025</v>
      </c>
      <c r="O116" s="64">
        <f t="shared" si="76"/>
        <v>7563.9997530000028</v>
      </c>
      <c r="P116" s="34"/>
    </row>
    <row r="117" spans="3:16">
      <c r="C117" s="30" t="s">
        <v>27</v>
      </c>
      <c r="E117" s="56" t="s">
        <v>109</v>
      </c>
      <c r="G117" s="34"/>
      <c r="H117" s="31">
        <v>6422</v>
      </c>
      <c r="I117" s="31">
        <v>5760</v>
      </c>
      <c r="J117" s="62">
        <f t="shared" ref="J117:O117" si="77">J49*J72</f>
        <v>5858.58</v>
      </c>
      <c r="K117" s="62">
        <f t="shared" si="77"/>
        <v>6777</v>
      </c>
      <c r="L117" s="62">
        <f t="shared" si="77"/>
        <v>7150</v>
      </c>
      <c r="M117" s="62">
        <f t="shared" si="77"/>
        <v>9500</v>
      </c>
      <c r="N117" s="62">
        <f t="shared" si="77"/>
        <v>9120</v>
      </c>
      <c r="O117" s="62">
        <f t="shared" si="77"/>
        <v>11080</v>
      </c>
    </row>
    <row r="118" spans="3:16">
      <c r="C118" s="32" t="s">
        <v>28</v>
      </c>
      <c r="E118" s="66" t="s">
        <v>109</v>
      </c>
      <c r="G118" s="35"/>
      <c r="H118" s="33">
        <f t="shared" ref="H118:N118" si="78">SUM(H112,H114:H117)</f>
        <v>304274</v>
      </c>
      <c r="I118" s="33">
        <f t="shared" si="78"/>
        <v>256082</v>
      </c>
      <c r="J118" s="33">
        <f t="shared" si="78"/>
        <v>206567.46228762908</v>
      </c>
      <c r="K118" s="33">
        <f t="shared" si="78"/>
        <v>217521.14797740668</v>
      </c>
      <c r="L118" s="33">
        <f t="shared" si="78"/>
        <v>257365.91631865039</v>
      </c>
      <c r="M118" s="33">
        <f t="shared" si="78"/>
        <v>333442.50917207031</v>
      </c>
      <c r="N118" s="33">
        <f t="shared" si="78"/>
        <v>439663.33153579838</v>
      </c>
      <c r="O118" s="33">
        <f t="shared" ref="O118" si="79">SUM(O112,O114:O117)</f>
        <v>581901.16949158139</v>
      </c>
    </row>
    <row r="119" spans="3:16">
      <c r="C119" s="32"/>
      <c r="G119" s="35"/>
      <c r="H119" s="33"/>
      <c r="I119" s="33"/>
    </row>
    <row r="120" spans="3:16">
      <c r="C120" s="39" t="s">
        <v>96</v>
      </c>
      <c r="D120" s="40"/>
      <c r="E120" s="27"/>
      <c r="F120" s="41"/>
      <c r="G120" s="41"/>
      <c r="H120" s="41"/>
      <c r="I120" s="41"/>
      <c r="J120" s="27"/>
      <c r="K120" s="27"/>
      <c r="L120" s="27"/>
      <c r="M120" s="27"/>
      <c r="N120" s="27"/>
      <c r="O120" s="27"/>
    </row>
    <row r="121" spans="3:16">
      <c r="C121" s="42"/>
      <c r="D121" s="43"/>
      <c r="F121" s="44"/>
      <c r="G121" s="44"/>
      <c r="H121" s="44"/>
      <c r="I121" s="44"/>
    </row>
    <row r="122" spans="3:16">
      <c r="C122" s="28" t="s">
        <v>29</v>
      </c>
      <c r="E122" s="56" t="s">
        <v>109</v>
      </c>
      <c r="G122" s="34"/>
      <c r="H122" s="29">
        <v>5090</v>
      </c>
      <c r="I122" s="29">
        <v>4250</v>
      </c>
      <c r="J122" s="34">
        <f t="shared" ref="J122:O122" si="80">J51/(J66-EOMONTH(J66,-12))*J72</f>
        <v>6306.4702813460581</v>
      </c>
      <c r="K122" s="34">
        <f t="shared" si="80"/>
        <v>6189.0410958904104</v>
      </c>
      <c r="L122" s="34">
        <f t="shared" si="80"/>
        <v>7052.0547945205481</v>
      </c>
      <c r="M122" s="34">
        <f t="shared" si="80"/>
        <v>8306.0109289617485</v>
      </c>
      <c r="N122" s="34">
        <f t="shared" si="80"/>
        <v>9994.5205479452052</v>
      </c>
      <c r="O122" s="34">
        <f t="shared" si="80"/>
        <v>12142.465753424658</v>
      </c>
    </row>
    <row r="123" spans="3:16">
      <c r="C123" s="28" t="s">
        <v>30</v>
      </c>
      <c r="E123" s="56" t="s">
        <v>109</v>
      </c>
      <c r="G123" s="34"/>
      <c r="H123" s="29">
        <v>131</v>
      </c>
      <c r="I123" s="29">
        <v>131</v>
      </c>
      <c r="J123" s="61">
        <v>131</v>
      </c>
      <c r="K123" s="61">
        <v>131</v>
      </c>
      <c r="L123" s="61">
        <v>131</v>
      </c>
      <c r="M123" s="61">
        <v>131</v>
      </c>
      <c r="N123" s="61">
        <v>131</v>
      </c>
      <c r="O123" s="61">
        <v>131</v>
      </c>
    </row>
    <row r="124" spans="3:16">
      <c r="C124" s="30" t="s">
        <v>31</v>
      </c>
      <c r="E124" s="56" t="s">
        <v>109</v>
      </c>
      <c r="G124" s="34"/>
      <c r="H124" s="31">
        <v>23425</v>
      </c>
      <c r="I124" s="31">
        <v>27695</v>
      </c>
      <c r="J124" s="62">
        <f t="shared" ref="J124:O124" si="81">-J85*J53</f>
        <v>19723.886000000002</v>
      </c>
      <c r="K124" s="62">
        <f t="shared" si="81"/>
        <v>16264.8</v>
      </c>
      <c r="L124" s="62">
        <f t="shared" si="81"/>
        <v>15801.500000000002</v>
      </c>
      <c r="M124" s="62">
        <f t="shared" si="81"/>
        <v>16720</v>
      </c>
      <c r="N124" s="62">
        <f t="shared" si="81"/>
        <v>15732</v>
      </c>
      <c r="O124" s="62">
        <f t="shared" si="81"/>
        <v>17866.5</v>
      </c>
    </row>
    <row r="125" spans="3:16">
      <c r="C125" s="32" t="s">
        <v>32</v>
      </c>
      <c r="E125" s="66" t="s">
        <v>109</v>
      </c>
      <c r="G125" s="35"/>
      <c r="H125" s="33">
        <f t="shared" ref="H125:N125" si="82">SUM(H122:H124)</f>
        <v>28646</v>
      </c>
      <c r="I125" s="33">
        <f t="shared" si="82"/>
        <v>32076</v>
      </c>
      <c r="J125" s="33">
        <f t="shared" si="82"/>
        <v>26161.356281346059</v>
      </c>
      <c r="K125" s="33">
        <f t="shared" si="82"/>
        <v>22584.84109589041</v>
      </c>
      <c r="L125" s="33">
        <f t="shared" si="82"/>
        <v>22984.554794520551</v>
      </c>
      <c r="M125" s="33">
        <f t="shared" si="82"/>
        <v>25157.010928961747</v>
      </c>
      <c r="N125" s="33">
        <f t="shared" si="82"/>
        <v>25857.520547945205</v>
      </c>
      <c r="O125" s="33">
        <f t="shared" ref="O125" si="83">SUM(O122:O124)</f>
        <v>30139.965753424658</v>
      </c>
    </row>
    <row r="126" spans="3:16">
      <c r="G126" s="34"/>
      <c r="H126" s="34"/>
      <c r="I126" s="34"/>
    </row>
    <row r="127" spans="3:16">
      <c r="C127" s="28" t="s">
        <v>33</v>
      </c>
      <c r="E127" s="56" t="s">
        <v>109</v>
      </c>
      <c r="G127" s="34"/>
      <c r="H127" s="29">
        <v>23019</v>
      </c>
      <c r="I127" s="29">
        <v>23454</v>
      </c>
      <c r="J127" s="34">
        <f t="shared" ref="J127:O127" si="84">J72*J55</f>
        <v>7811.4400000000005</v>
      </c>
      <c r="K127" s="34">
        <f t="shared" si="84"/>
        <v>7906.5000000000009</v>
      </c>
      <c r="L127" s="34">
        <f t="shared" si="84"/>
        <v>10010.000000000002</v>
      </c>
      <c r="M127" s="34">
        <f t="shared" si="84"/>
        <v>11400</v>
      </c>
      <c r="N127" s="34">
        <f t="shared" si="84"/>
        <v>13680</v>
      </c>
      <c r="O127" s="34">
        <f t="shared" si="84"/>
        <v>16620</v>
      </c>
    </row>
    <row r="128" spans="3:16">
      <c r="C128" s="28" t="s">
        <v>34</v>
      </c>
      <c r="E128" s="56" t="s">
        <v>109</v>
      </c>
      <c r="G128" s="34"/>
      <c r="H128" s="29">
        <v>826</v>
      </c>
      <c r="I128" s="29">
        <v>2685</v>
      </c>
      <c r="J128" s="61">
        <v>2685</v>
      </c>
      <c r="K128" s="61">
        <v>2685</v>
      </c>
      <c r="L128" s="61">
        <v>2685</v>
      </c>
      <c r="M128" s="61">
        <v>2685</v>
      </c>
      <c r="N128" s="61">
        <v>2685</v>
      </c>
      <c r="O128" s="61">
        <v>2685</v>
      </c>
    </row>
    <row r="129" spans="2:19">
      <c r="C129" s="28" t="s">
        <v>35</v>
      </c>
      <c r="E129" s="56" t="s">
        <v>109</v>
      </c>
      <c r="G129" s="34"/>
      <c r="H129" s="29">
        <v>22835</v>
      </c>
      <c r="I129" s="29">
        <v>20398</v>
      </c>
      <c r="J129" s="64">
        <f>I129*0.95</f>
        <v>19378.099999999999</v>
      </c>
      <c r="K129" s="64">
        <f t="shared" ref="K129:O129" si="85">J129*0.95</f>
        <v>18409.194999999996</v>
      </c>
      <c r="L129" s="64">
        <f t="shared" si="85"/>
        <v>17488.735249999994</v>
      </c>
      <c r="M129" s="64">
        <f t="shared" si="85"/>
        <v>16614.298487499993</v>
      </c>
      <c r="N129" s="64">
        <f t="shared" si="85"/>
        <v>15783.583563124992</v>
      </c>
      <c r="O129" s="64">
        <f t="shared" si="85"/>
        <v>14994.404384968742</v>
      </c>
    </row>
    <row r="130" spans="2:19">
      <c r="C130" s="30" t="s">
        <v>36</v>
      </c>
      <c r="E130" s="56" t="s">
        <v>109</v>
      </c>
      <c r="G130" s="34"/>
      <c r="H130" s="31">
        <v>8895</v>
      </c>
      <c r="I130" s="31">
        <v>8637</v>
      </c>
      <c r="J130" s="85">
        <v>8637</v>
      </c>
      <c r="K130" s="85">
        <v>8637</v>
      </c>
      <c r="L130" s="85">
        <v>8637</v>
      </c>
      <c r="M130" s="85">
        <v>8637</v>
      </c>
      <c r="N130" s="85">
        <v>8637</v>
      </c>
      <c r="O130" s="85">
        <v>8637</v>
      </c>
    </row>
    <row r="131" spans="2:19">
      <c r="C131" s="32" t="s">
        <v>37</v>
      </c>
      <c r="E131" s="66" t="s">
        <v>109</v>
      </c>
      <c r="G131" s="35"/>
      <c r="H131" s="33">
        <f t="shared" ref="H131:N131" si="86">SUM(H125,H127:H130)</f>
        <v>84221</v>
      </c>
      <c r="I131" s="33">
        <f t="shared" si="86"/>
        <v>87250</v>
      </c>
      <c r="J131" s="33">
        <f t="shared" si="86"/>
        <v>64672.89628134606</v>
      </c>
      <c r="K131" s="33">
        <f t="shared" si="86"/>
        <v>60222.536095890406</v>
      </c>
      <c r="L131" s="33">
        <f t="shared" si="86"/>
        <v>61805.290044520545</v>
      </c>
      <c r="M131" s="33">
        <f t="shared" si="86"/>
        <v>64493.309416461736</v>
      </c>
      <c r="N131" s="33">
        <f t="shared" si="86"/>
        <v>66643.104111070192</v>
      </c>
      <c r="O131" s="33">
        <f t="shared" ref="O131" si="87">SUM(O125,O127:O130)</f>
        <v>73076.370138393395</v>
      </c>
    </row>
    <row r="132" spans="2:19">
      <c r="G132" s="34"/>
      <c r="H132" s="34"/>
      <c r="I132" s="34"/>
    </row>
    <row r="133" spans="2:19">
      <c r="C133" s="28" t="s">
        <v>38</v>
      </c>
      <c r="E133" s="56" t="s">
        <v>109</v>
      </c>
      <c r="G133" s="34"/>
      <c r="H133" s="29">
        <v>18</v>
      </c>
      <c r="I133" s="29">
        <v>19</v>
      </c>
      <c r="J133" s="61">
        <v>19</v>
      </c>
      <c r="K133" s="61">
        <v>19</v>
      </c>
      <c r="L133" s="61">
        <v>19</v>
      </c>
      <c r="M133" s="61">
        <v>19</v>
      </c>
      <c r="N133" s="61">
        <v>19</v>
      </c>
      <c r="O133" s="61">
        <v>19</v>
      </c>
    </row>
    <row r="134" spans="2:19">
      <c r="C134" s="28" t="s">
        <v>39</v>
      </c>
      <c r="E134" s="56" t="s">
        <v>109</v>
      </c>
      <c r="G134" s="34"/>
      <c r="H134" s="29">
        <v>3</v>
      </c>
      <c r="I134" s="29">
        <v>3</v>
      </c>
      <c r="J134" s="61">
        <v>3</v>
      </c>
      <c r="K134" s="61">
        <v>3</v>
      </c>
      <c r="L134" s="61">
        <v>3</v>
      </c>
      <c r="M134" s="61">
        <v>3</v>
      </c>
      <c r="N134" s="61">
        <v>3</v>
      </c>
      <c r="O134" s="61">
        <v>3</v>
      </c>
    </row>
    <row r="135" spans="2:19">
      <c r="C135" s="28" t="s">
        <v>40</v>
      </c>
      <c r="E135" s="56" t="s">
        <v>109</v>
      </c>
      <c r="G135" s="34"/>
      <c r="H135" s="29">
        <v>949670</v>
      </c>
      <c r="I135" s="29">
        <v>970940</v>
      </c>
      <c r="J135" s="34">
        <f>I135+J149</f>
        <v>993397.89</v>
      </c>
      <c r="K135" s="34">
        <f t="shared" ref="K135:O135" si="88">J135+K149</f>
        <v>1017117.39</v>
      </c>
      <c r="L135" s="34">
        <f t="shared" si="88"/>
        <v>1044287.39</v>
      </c>
      <c r="M135" s="34">
        <f t="shared" si="88"/>
        <v>1076587.3900000001</v>
      </c>
      <c r="N135" s="34">
        <f t="shared" si="88"/>
        <v>1110787.3900000001</v>
      </c>
      <c r="O135" s="34">
        <f t="shared" si="88"/>
        <v>1146797.3900000001</v>
      </c>
    </row>
    <row r="136" spans="2:19">
      <c r="C136" s="30" t="s">
        <v>41</v>
      </c>
      <c r="E136" s="56" t="s">
        <v>109</v>
      </c>
      <c r="G136" s="34"/>
      <c r="H136" s="31">
        <v>-729638</v>
      </c>
      <c r="I136" s="31">
        <v>-802130</v>
      </c>
      <c r="J136" s="62">
        <f>I136+J147+J151+J171+J180</f>
        <v>-851525.32399371697</v>
      </c>
      <c r="K136" s="62">
        <f t="shared" ref="K136:O136" si="89">J136+K147+K151+K171+K180</f>
        <v>-859840.77811848361</v>
      </c>
      <c r="L136" s="62">
        <f t="shared" si="89"/>
        <v>-848748.76372587006</v>
      </c>
      <c r="M136" s="62">
        <f t="shared" si="89"/>
        <v>-807660.19024439133</v>
      </c>
      <c r="N136" s="62">
        <f t="shared" si="89"/>
        <v>-737789.16257527168</v>
      </c>
      <c r="O136" s="62">
        <f t="shared" si="89"/>
        <v>-637994.59064681176</v>
      </c>
    </row>
    <row r="137" spans="2:19">
      <c r="C137" s="32" t="s">
        <v>42</v>
      </c>
      <c r="E137" s="66" t="s">
        <v>109</v>
      </c>
      <c r="G137" s="35"/>
      <c r="H137" s="33">
        <f>SUM(H133:H136)</f>
        <v>220053</v>
      </c>
      <c r="I137" s="33">
        <f>SUM(I133:I136)</f>
        <v>168832</v>
      </c>
      <c r="J137" s="33">
        <f t="shared" ref="J137:N137" si="90">SUM(J133:J136)</f>
        <v>141894.56600628304</v>
      </c>
      <c r="K137" s="33">
        <f t="shared" si="90"/>
        <v>157298.61188151641</v>
      </c>
      <c r="L137" s="33">
        <f t="shared" si="90"/>
        <v>195560.62627412996</v>
      </c>
      <c r="M137" s="33">
        <f t="shared" si="90"/>
        <v>268949.1997556088</v>
      </c>
      <c r="N137" s="33">
        <f t="shared" si="90"/>
        <v>373020.22742472845</v>
      </c>
      <c r="O137" s="33">
        <f t="shared" ref="O137" si="91">SUM(O133:O136)</f>
        <v>508824.79935318837</v>
      </c>
      <c r="P137" s="599"/>
    </row>
    <row r="138" spans="2:19">
      <c r="G138" s="34"/>
      <c r="H138" s="34"/>
      <c r="I138" s="34"/>
      <c r="P138" s="599"/>
    </row>
    <row r="139" spans="2:19">
      <c r="C139" s="32" t="s">
        <v>43</v>
      </c>
      <c r="E139" s="66" t="s">
        <v>109</v>
      </c>
      <c r="G139" s="35"/>
      <c r="H139" s="33">
        <f>SUM(H131,H137)</f>
        <v>304274</v>
      </c>
      <c r="I139" s="33">
        <f>SUM(I131,I137)</f>
        <v>256082</v>
      </c>
      <c r="J139" s="33">
        <f t="shared" ref="J139:N139" si="92">SUM(J131,J137)</f>
        <v>206567.46228762911</v>
      </c>
      <c r="K139" s="33">
        <f t="shared" si="92"/>
        <v>217521.1479774068</v>
      </c>
      <c r="L139" s="33">
        <f t="shared" si="92"/>
        <v>257365.9163186505</v>
      </c>
      <c r="M139" s="33">
        <f t="shared" si="92"/>
        <v>333442.50917207054</v>
      </c>
      <c r="N139" s="33">
        <f t="shared" si="92"/>
        <v>439663.33153579861</v>
      </c>
      <c r="O139" s="33">
        <f t="shared" ref="O139" si="93">SUM(O131,O137)</f>
        <v>581901.16949158174</v>
      </c>
      <c r="P139" s="599"/>
    </row>
    <row r="140" spans="2:19">
      <c r="H140" s="36"/>
      <c r="I140" s="36"/>
    </row>
    <row r="141" spans="2:19">
      <c r="C141" s="32" t="s">
        <v>69</v>
      </c>
      <c r="E141" s="66" t="s">
        <v>498</v>
      </c>
      <c r="H141" s="1">
        <f t="shared" ref="H141:N141" si="94">H118-H139</f>
        <v>0</v>
      </c>
      <c r="I141" s="1">
        <f t="shared" si="94"/>
        <v>0</v>
      </c>
      <c r="J141" s="1">
        <f t="shared" si="94"/>
        <v>0</v>
      </c>
      <c r="K141" s="1">
        <f t="shared" si="94"/>
        <v>0</v>
      </c>
      <c r="L141" s="1">
        <f t="shared" si="94"/>
        <v>0</v>
      </c>
      <c r="M141" s="1">
        <f t="shared" si="94"/>
        <v>0</v>
      </c>
      <c r="N141" s="1">
        <f t="shared" si="94"/>
        <v>0</v>
      </c>
      <c r="O141" s="1">
        <f t="shared" ref="O141" si="95">O118-O139</f>
        <v>0</v>
      </c>
    </row>
    <row r="142" spans="2:19">
      <c r="O142" s="34"/>
    </row>
    <row r="143" spans="2:19">
      <c r="B143" s="3"/>
      <c r="C143" s="3"/>
      <c r="D143" s="3"/>
      <c r="E143" s="3"/>
      <c r="F143" s="3"/>
      <c r="G143" s="4"/>
      <c r="H143" s="5" t="s">
        <v>70</v>
      </c>
      <c r="I143" s="4"/>
      <c r="J143" s="6"/>
      <c r="K143" s="4"/>
      <c r="L143" s="4"/>
      <c r="M143" s="4"/>
      <c r="N143" s="5" t="s">
        <v>71</v>
      </c>
      <c r="O143" s="5" t="s">
        <v>71</v>
      </c>
    </row>
    <row r="144" spans="2:19">
      <c r="B144" s="7" t="str">
        <f>Company_Name&amp;" - Cash Flow Statement"</f>
        <v>Butterfly Network, inc. - Cash Flow Statement</v>
      </c>
      <c r="C144" s="3"/>
      <c r="D144" s="3"/>
      <c r="E144" s="8" t="s">
        <v>72</v>
      </c>
      <c r="F144" s="9"/>
      <c r="G144" s="10">
        <f t="shared" ref="G144:N144" si="96">G105</f>
        <v>44926</v>
      </c>
      <c r="H144" s="10">
        <f t="shared" si="96"/>
        <v>45291</v>
      </c>
      <c r="I144" s="10">
        <f t="shared" si="96"/>
        <v>45657</v>
      </c>
      <c r="J144" s="11">
        <f t="shared" si="96"/>
        <v>46022</v>
      </c>
      <c r="K144" s="10">
        <f t="shared" si="96"/>
        <v>46387</v>
      </c>
      <c r="L144" s="10">
        <f t="shared" si="96"/>
        <v>46752</v>
      </c>
      <c r="M144" s="10">
        <f t="shared" si="96"/>
        <v>47118</v>
      </c>
      <c r="N144" s="10">
        <f t="shared" si="96"/>
        <v>47483</v>
      </c>
      <c r="O144" s="10">
        <f t="shared" ref="O144" si="97">O105</f>
        <v>47848</v>
      </c>
      <c r="P144" s="46"/>
      <c r="Q144" s="46"/>
      <c r="R144" s="46"/>
      <c r="S144" s="46"/>
    </row>
    <row r="145" spans="3:16">
      <c r="C145" s="26" t="s">
        <v>97</v>
      </c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</row>
    <row r="146" spans="3:16">
      <c r="C146" s="45"/>
    </row>
    <row r="147" spans="3:16">
      <c r="C147" s="32" t="s">
        <v>44</v>
      </c>
      <c r="E147" s="66" t="s">
        <v>109</v>
      </c>
      <c r="G147" s="37">
        <f t="shared" ref="G147:N147" si="98">G97</f>
        <v>-168723</v>
      </c>
      <c r="H147" s="37">
        <f t="shared" si="98"/>
        <v>-133700</v>
      </c>
      <c r="I147" s="37">
        <f t="shared" si="98"/>
        <v>-72492</v>
      </c>
      <c r="J147" s="37">
        <f t="shared" si="98"/>
        <v>-49463.490660383679</v>
      </c>
      <c r="K147" s="37">
        <f t="shared" si="98"/>
        <v>-8501.9707914333667</v>
      </c>
      <c r="L147" s="37">
        <f t="shared" si="98"/>
        <v>10798.982725946868</v>
      </c>
      <c r="M147" s="37">
        <f t="shared" si="98"/>
        <v>40699.678314811987</v>
      </c>
      <c r="N147" s="37">
        <f t="shared" si="98"/>
        <v>69395.855352452912</v>
      </c>
      <c r="O147" s="37">
        <f t="shared" ref="O147" si="99">O97</f>
        <v>99241.750176793226</v>
      </c>
    </row>
    <row r="148" spans="3:16">
      <c r="C148" s="28" t="s">
        <v>49</v>
      </c>
      <c r="E148" s="56" t="s">
        <v>109</v>
      </c>
      <c r="G148" s="29">
        <v>5935</v>
      </c>
      <c r="H148" s="29">
        <v>10574</v>
      </c>
      <c r="I148" s="29">
        <v>10342</v>
      </c>
      <c r="J148" s="53">
        <f>Drivers!J55</f>
        <v>4634.9228624999996</v>
      </c>
      <c r="K148" s="53">
        <f>Drivers!K55</f>
        <v>4453.4816667499999</v>
      </c>
      <c r="L148" s="53">
        <f>Drivers!L55</f>
        <v>4382.5624211974991</v>
      </c>
      <c r="M148" s="53">
        <f>Drivers!M55</f>
        <v>4416.3061184463004</v>
      </c>
      <c r="N148" s="53">
        <f>Drivers!N55</f>
        <v>4046.0842574216817</v>
      </c>
      <c r="O148" s="53">
        <f>Drivers!O55</f>
        <v>3739.6507048684521</v>
      </c>
      <c r="P148" s="34"/>
    </row>
    <row r="149" spans="3:16">
      <c r="C149" s="28" t="s">
        <v>50</v>
      </c>
      <c r="E149" s="56" t="s">
        <v>109</v>
      </c>
      <c r="G149" s="29">
        <v>42531</v>
      </c>
      <c r="H149" s="29">
        <v>27480</v>
      </c>
      <c r="I149" s="29">
        <v>21032</v>
      </c>
      <c r="J149" s="53">
        <f t="shared" ref="J149:O149" si="100">J61*J72</f>
        <v>22457.89</v>
      </c>
      <c r="K149" s="53">
        <f t="shared" si="100"/>
        <v>23719.500000000004</v>
      </c>
      <c r="L149" s="53">
        <f t="shared" si="100"/>
        <v>27170.000000000004</v>
      </c>
      <c r="M149" s="53">
        <f t="shared" si="100"/>
        <v>32300.000000000007</v>
      </c>
      <c r="N149" s="53">
        <f t="shared" si="100"/>
        <v>34200.000000000015</v>
      </c>
      <c r="O149" s="53">
        <f t="shared" si="100"/>
        <v>36010.000000000015</v>
      </c>
    </row>
    <row r="150" spans="3:16">
      <c r="J150" s="53"/>
      <c r="K150" s="53"/>
      <c r="L150" s="53"/>
      <c r="M150" s="53"/>
      <c r="N150" s="53"/>
      <c r="O150" s="53"/>
    </row>
    <row r="151" spans="3:16">
      <c r="C151" s="28" t="s">
        <v>51</v>
      </c>
      <c r="E151" s="56" t="s">
        <v>109</v>
      </c>
      <c r="G151" s="29">
        <v>-19461</v>
      </c>
      <c r="H151" s="29">
        <v>16958</v>
      </c>
      <c r="I151" s="29">
        <v>4232</v>
      </c>
      <c r="J151" s="86">
        <f>AVERAGE(G151:I151)</f>
        <v>576.33333333333337</v>
      </c>
      <c r="K151" s="86">
        <v>576.33333333333337</v>
      </c>
      <c r="L151" s="86">
        <v>576.33333333333337</v>
      </c>
      <c r="M151" s="86">
        <v>576.33333333333337</v>
      </c>
      <c r="N151" s="86">
        <v>576.33333333333337</v>
      </c>
      <c r="O151" s="86">
        <v>576.33333333333337</v>
      </c>
    </row>
    <row r="152" spans="3:16">
      <c r="C152" s="28"/>
      <c r="G152" s="29"/>
      <c r="H152" s="29"/>
      <c r="I152" s="29"/>
      <c r="J152" s="53"/>
      <c r="K152" s="53"/>
      <c r="L152" s="53"/>
      <c r="M152" s="53"/>
      <c r="N152" s="53"/>
      <c r="O152" s="53"/>
    </row>
    <row r="153" spans="3:16">
      <c r="C153" s="28" t="s">
        <v>52</v>
      </c>
      <c r="E153" s="56" t="s">
        <v>109</v>
      </c>
      <c r="G153" s="29">
        <v>-3063</v>
      </c>
      <c r="H153" s="29">
        <v>-162</v>
      </c>
      <c r="I153" s="29">
        <v>-8503</v>
      </c>
      <c r="J153" s="53">
        <f t="shared" ref="J153:O155" si="101">I109-J109</f>
        <v>-1945.7808219178078</v>
      </c>
      <c r="K153" s="53">
        <f t="shared" si="101"/>
        <v>-2017.3835616438337</v>
      </c>
      <c r="L153" s="53">
        <f t="shared" si="101"/>
        <v>-4627.3972602739741</v>
      </c>
      <c r="M153" s="53">
        <f t="shared" si="101"/>
        <v>-6955.2361703720308</v>
      </c>
      <c r="N153" s="53">
        <f t="shared" si="101"/>
        <v>-7387.2295830526273</v>
      </c>
      <c r="O153" s="53">
        <f t="shared" si="101"/>
        <v>-9397.260273972599</v>
      </c>
    </row>
    <row r="154" spans="3:16">
      <c r="C154" s="28" t="s">
        <v>22</v>
      </c>
      <c r="E154" s="56" t="s">
        <v>109</v>
      </c>
      <c r="G154" s="29">
        <v>-24510</v>
      </c>
      <c r="H154" s="29">
        <v>-34135</v>
      </c>
      <c r="I154" s="29">
        <v>2218</v>
      </c>
      <c r="J154" s="53">
        <f t="shared" si="101"/>
        <v>6585.3835616438373</v>
      </c>
      <c r="K154" s="53">
        <f t="shared" si="101"/>
        <v>-781.3150684931461</v>
      </c>
      <c r="L154" s="53">
        <f t="shared" si="101"/>
        <v>2300</v>
      </c>
      <c r="M154" s="53">
        <f t="shared" si="101"/>
        <v>-9992.6641215659838</v>
      </c>
      <c r="N154" s="53">
        <f t="shared" si="101"/>
        <v>-14774.459166105255</v>
      </c>
      <c r="O154" s="53">
        <f t="shared" si="101"/>
        <v>-18794.520547945198</v>
      </c>
    </row>
    <row r="155" spans="3:16">
      <c r="C155" s="28" t="s">
        <v>53</v>
      </c>
      <c r="E155" s="56" t="s">
        <v>109</v>
      </c>
      <c r="G155" s="29">
        <v>3819</v>
      </c>
      <c r="H155" s="29">
        <v>2979</v>
      </c>
      <c r="I155" s="29">
        <v>1304</v>
      </c>
      <c r="J155" s="53">
        <f t="shared" si="101"/>
        <v>1778.0284999999994</v>
      </c>
      <c r="K155" s="53">
        <f t="shared" si="101"/>
        <v>1316.5715000000005</v>
      </c>
      <c r="L155" s="53">
        <f t="shared" si="101"/>
        <v>-103.59999999999991</v>
      </c>
      <c r="M155" s="53">
        <f t="shared" si="101"/>
        <v>583</v>
      </c>
      <c r="N155" s="53">
        <f t="shared" si="101"/>
        <v>-11.400000000000091</v>
      </c>
      <c r="O155" s="53">
        <f t="shared" si="101"/>
        <v>-426.89999999999964</v>
      </c>
    </row>
    <row r="156" spans="3:16">
      <c r="C156" s="28" t="s">
        <v>140</v>
      </c>
      <c r="E156" s="56" t="s">
        <v>109</v>
      </c>
      <c r="G156" s="29">
        <v>5100</v>
      </c>
      <c r="H156" s="29">
        <v>17091</v>
      </c>
      <c r="I156" s="29">
        <v>-2498</v>
      </c>
      <c r="J156" s="53">
        <f t="shared" ref="J156:O156" si="102">I115-J115</f>
        <v>10213.799999999999</v>
      </c>
      <c r="K156" s="53">
        <f t="shared" si="102"/>
        <v>4654.8000000000011</v>
      </c>
      <c r="L156" s="53">
        <f t="shared" si="102"/>
        <v>-935.60000000000036</v>
      </c>
      <c r="M156" s="53">
        <f t="shared" si="102"/>
        <v>-679</v>
      </c>
      <c r="N156" s="53">
        <f t="shared" si="102"/>
        <v>-1191</v>
      </c>
      <c r="O156" s="53">
        <f t="shared" si="102"/>
        <v>-1218.0000000000018</v>
      </c>
    </row>
    <row r="157" spans="3:16">
      <c r="C157" s="28" t="s">
        <v>141</v>
      </c>
      <c r="G157" s="29"/>
      <c r="H157" s="29"/>
      <c r="I157" s="29"/>
      <c r="J157" s="53">
        <f t="shared" ref="J157:O157" si="103">I117-J117</f>
        <v>-98.579999999999927</v>
      </c>
      <c r="K157" s="53">
        <f t="shared" si="103"/>
        <v>-918.42000000000007</v>
      </c>
      <c r="L157" s="53">
        <f t="shared" si="103"/>
        <v>-373</v>
      </c>
      <c r="M157" s="53">
        <f t="shared" si="103"/>
        <v>-2350</v>
      </c>
      <c r="N157" s="53">
        <f t="shared" si="103"/>
        <v>380</v>
      </c>
      <c r="O157" s="53">
        <f t="shared" si="103"/>
        <v>-1960</v>
      </c>
    </row>
    <row r="158" spans="3:16">
      <c r="C158" s="28"/>
      <c r="G158" s="29"/>
      <c r="H158" s="29"/>
      <c r="I158" s="29"/>
      <c r="J158" s="53"/>
      <c r="K158" s="53"/>
      <c r="L158" s="53"/>
      <c r="M158" s="53"/>
      <c r="N158" s="53"/>
      <c r="O158" s="53"/>
    </row>
    <row r="159" spans="3:16">
      <c r="C159" s="28" t="s">
        <v>29</v>
      </c>
      <c r="E159" s="56" t="s">
        <v>109</v>
      </c>
      <c r="G159" s="29">
        <v>1216</v>
      </c>
      <c r="H159" s="29">
        <v>-1875</v>
      </c>
      <c r="I159" s="29">
        <v>-841</v>
      </c>
      <c r="J159" s="53">
        <f t="shared" ref="J159:O159" si="104">J122-I122</f>
        <v>2056.4702813460581</v>
      </c>
      <c r="K159" s="53">
        <f t="shared" si="104"/>
        <v>-117.42918545564771</v>
      </c>
      <c r="L159" s="53">
        <f t="shared" si="104"/>
        <v>863.0136986301377</v>
      </c>
      <c r="M159" s="53">
        <f t="shared" si="104"/>
        <v>1253.9561344412004</v>
      </c>
      <c r="N159" s="53">
        <f t="shared" si="104"/>
        <v>1688.5096189834567</v>
      </c>
      <c r="O159" s="53">
        <f t="shared" si="104"/>
        <v>2147.9452054794529</v>
      </c>
    </row>
    <row r="160" spans="3:16">
      <c r="C160" s="28" t="s">
        <v>142</v>
      </c>
      <c r="E160" s="56" t="s">
        <v>109</v>
      </c>
      <c r="G160" s="29">
        <v>2266</v>
      </c>
      <c r="H160" s="29">
        <v>2206</v>
      </c>
      <c r="I160" s="29">
        <v>435</v>
      </c>
      <c r="J160" s="53">
        <f>J127-I127</f>
        <v>-15642.56</v>
      </c>
      <c r="K160" s="53">
        <f t="shared" ref="K160:O160" si="105">K127-J127</f>
        <v>95.0600000000004</v>
      </c>
      <c r="L160" s="53">
        <f t="shared" si="105"/>
        <v>2103.5000000000009</v>
      </c>
      <c r="M160" s="53">
        <f t="shared" si="105"/>
        <v>1389.9999999999982</v>
      </c>
      <c r="N160" s="53">
        <f t="shared" si="105"/>
        <v>2280</v>
      </c>
      <c r="O160" s="53">
        <f t="shared" si="105"/>
        <v>2940</v>
      </c>
    </row>
    <row r="161" spans="3:15">
      <c r="C161" s="28" t="s">
        <v>54</v>
      </c>
      <c r="E161" s="56" t="s">
        <v>109</v>
      </c>
      <c r="G161" s="29">
        <v>-17383</v>
      </c>
      <c r="H161" s="29">
        <v>-2015</v>
      </c>
      <c r="I161" s="29">
        <v>0</v>
      </c>
      <c r="J161" s="29">
        <v>0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</row>
    <row r="162" spans="3:15">
      <c r="C162" s="28" t="s">
        <v>55</v>
      </c>
      <c r="E162" s="56" t="s">
        <v>109</v>
      </c>
      <c r="G162" s="29">
        <v>2257</v>
      </c>
      <c r="H162" s="29">
        <v>-635</v>
      </c>
      <c r="I162" s="29">
        <v>-750</v>
      </c>
      <c r="J162" s="53">
        <f t="shared" ref="J162:O162" si="106">(I116-J116)+(J129-I129)</f>
        <v>403.39999999999782</v>
      </c>
      <c r="K162" s="53">
        <f t="shared" si="106"/>
        <v>312.06499999999687</v>
      </c>
      <c r="L162" s="53">
        <f t="shared" si="106"/>
        <v>232.41324999999779</v>
      </c>
      <c r="M162" s="53">
        <f t="shared" si="106"/>
        <v>163.14893749999828</v>
      </c>
      <c r="N162" s="53">
        <f t="shared" si="106"/>
        <v>103.11220562499875</v>
      </c>
      <c r="O162" s="53">
        <f t="shared" si="106"/>
        <v>51.265238843750012</v>
      </c>
    </row>
    <row r="163" spans="3:15">
      <c r="C163" s="30" t="s">
        <v>56</v>
      </c>
      <c r="D163" s="68"/>
      <c r="E163" s="56" t="s">
        <v>109</v>
      </c>
      <c r="G163" s="31">
        <v>901</v>
      </c>
      <c r="H163" s="31">
        <v>-3586</v>
      </c>
      <c r="I163" s="31">
        <v>3814</v>
      </c>
      <c r="J163" s="54">
        <f t="shared" ref="J163:O163" si="107">J124-I124</f>
        <v>-7971.1139999999978</v>
      </c>
      <c r="K163" s="54">
        <f t="shared" si="107"/>
        <v>-3459.086000000003</v>
      </c>
      <c r="L163" s="54">
        <f t="shared" si="107"/>
        <v>-463.29999999999745</v>
      </c>
      <c r="M163" s="54">
        <f t="shared" si="107"/>
        <v>918.49999999999818</v>
      </c>
      <c r="N163" s="54">
        <f t="shared" si="107"/>
        <v>-988</v>
      </c>
      <c r="O163" s="54">
        <f t="shared" si="107"/>
        <v>2134.5</v>
      </c>
    </row>
    <row r="164" spans="3:15">
      <c r="C164" s="32" t="s">
        <v>45</v>
      </c>
      <c r="E164" s="66" t="s">
        <v>109</v>
      </c>
      <c r="G164" s="33">
        <f>SUM(G147:G163)</f>
        <v>-169115</v>
      </c>
      <c r="H164" s="33">
        <f>SUM(H147:H163)</f>
        <v>-98820</v>
      </c>
      <c r="I164" s="33">
        <f>SUM(I147:I163)</f>
        <v>-41707</v>
      </c>
      <c r="J164" s="33">
        <f t="shared" ref="J164:N164" si="108">SUM(J147:J163)</f>
        <v>-26415.296943478257</v>
      </c>
      <c r="K164" s="33">
        <f t="shared" si="108"/>
        <v>19332.206893057337</v>
      </c>
      <c r="L164" s="33">
        <f t="shared" si="108"/>
        <v>41923.90816883387</v>
      </c>
      <c r="M164" s="33">
        <f t="shared" si="108"/>
        <v>62324.022546594802</v>
      </c>
      <c r="N164" s="33">
        <f t="shared" si="108"/>
        <v>88317.806018658521</v>
      </c>
      <c r="O164" s="33">
        <f t="shared" ref="O164" si="109">SUM(O147:O163)</f>
        <v>115044.76383740045</v>
      </c>
    </row>
    <row r="165" spans="3:15">
      <c r="C165" s="32"/>
      <c r="G165" s="33"/>
      <c r="H165" s="33"/>
      <c r="I165" s="33"/>
    </row>
    <row r="166" spans="3:15">
      <c r="C166" s="26" t="s">
        <v>98</v>
      </c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</row>
    <row r="167" spans="3:15">
      <c r="G167" s="36"/>
      <c r="H167" s="36"/>
      <c r="I167" s="36"/>
    </row>
    <row r="168" spans="3:15">
      <c r="C168" s="28" t="s">
        <v>57</v>
      </c>
      <c r="E168" s="56" t="s">
        <v>109</v>
      </c>
      <c r="G168" s="29">
        <v>-75534</v>
      </c>
      <c r="H168" s="29">
        <v>-297</v>
      </c>
      <c r="I168" s="29">
        <v>0</v>
      </c>
      <c r="J168" s="61">
        <v>0</v>
      </c>
      <c r="K168" s="61">
        <v>0</v>
      </c>
      <c r="L168" s="61">
        <v>0</v>
      </c>
      <c r="M168" s="61">
        <v>0</v>
      </c>
      <c r="N168" s="61">
        <v>0</v>
      </c>
      <c r="O168" s="61">
        <v>0</v>
      </c>
    </row>
    <row r="169" spans="3:15">
      <c r="C169" s="28" t="s">
        <v>58</v>
      </c>
      <c r="E169" s="56" t="s">
        <v>109</v>
      </c>
      <c r="G169" s="29">
        <v>0</v>
      </c>
      <c r="H169" s="29">
        <v>76484</v>
      </c>
      <c r="I169" s="29">
        <v>0</v>
      </c>
      <c r="J169" s="61">
        <v>0</v>
      </c>
      <c r="K169" s="61">
        <v>0</v>
      </c>
      <c r="L169" s="61">
        <v>0</v>
      </c>
      <c r="M169" s="61">
        <v>0</v>
      </c>
      <c r="N169" s="61">
        <v>0</v>
      </c>
      <c r="O169" s="61">
        <v>0</v>
      </c>
    </row>
    <row r="170" spans="3:15">
      <c r="C170" s="28" t="s">
        <v>59</v>
      </c>
      <c r="E170" s="56" t="s">
        <v>109</v>
      </c>
      <c r="G170" s="29">
        <v>-18302</v>
      </c>
      <c r="H170" s="29">
        <v>-5783</v>
      </c>
      <c r="I170" s="29">
        <v>-2694</v>
      </c>
      <c r="J170" s="34">
        <f>-Drivers!J40</f>
        <v>-2465.4857500000003</v>
      </c>
      <c r="K170" s="34">
        <f>-Drivers!K40</f>
        <v>-2710.7999999999997</v>
      </c>
      <c r="L170" s="34">
        <f>-Drivers!L40</f>
        <v>-2788.5</v>
      </c>
      <c r="M170" s="34">
        <f>-Drivers!M40</f>
        <v>-3135</v>
      </c>
      <c r="N170" s="34">
        <f>-Drivers!N40</f>
        <v>-3146.4</v>
      </c>
      <c r="O170" s="34">
        <f>-Drivers!O40</f>
        <v>-3573.2999999999997</v>
      </c>
    </row>
    <row r="171" spans="3:15">
      <c r="C171" s="30" t="s">
        <v>60</v>
      </c>
      <c r="E171" s="56" t="s">
        <v>109</v>
      </c>
      <c r="G171" s="31">
        <v>57</v>
      </c>
      <c r="H171" s="31">
        <v>10</v>
      </c>
      <c r="I171" s="31">
        <v>36</v>
      </c>
      <c r="J171" s="63">
        <f>AVERAGE(G171:I171)</f>
        <v>34.333333333333336</v>
      </c>
      <c r="K171" s="63">
        <v>34.333333333333336</v>
      </c>
      <c r="L171" s="63">
        <v>34.333333333333336</v>
      </c>
      <c r="M171" s="63">
        <v>34.333333333333336</v>
      </c>
      <c r="N171" s="63">
        <v>34.333333333333336</v>
      </c>
      <c r="O171" s="63">
        <v>34.333333333333336</v>
      </c>
    </row>
    <row r="172" spans="3:15">
      <c r="C172" s="32" t="s">
        <v>46</v>
      </c>
      <c r="E172" s="66" t="s">
        <v>109</v>
      </c>
      <c r="G172" s="33">
        <f>SUM(G168:G171)</f>
        <v>-93779</v>
      </c>
      <c r="H172" s="33">
        <f t="shared" ref="H172:I172" si="110">SUM(H168:H171)</f>
        <v>70414</v>
      </c>
      <c r="I172" s="33">
        <f t="shared" si="110"/>
        <v>-2658</v>
      </c>
      <c r="J172" s="33">
        <f t="shared" ref="J172" si="111">SUM(J168:J171)</f>
        <v>-2431.1524166666668</v>
      </c>
      <c r="K172" s="33">
        <f t="shared" ref="K172" si="112">SUM(K168:K171)</f>
        <v>-2676.4666666666662</v>
      </c>
      <c r="L172" s="33">
        <f t="shared" ref="L172" si="113">SUM(L168:L171)</f>
        <v>-2754.1666666666665</v>
      </c>
      <c r="M172" s="33">
        <f t="shared" ref="M172" si="114">SUM(M168:M171)</f>
        <v>-3100.6666666666665</v>
      </c>
      <c r="N172" s="33">
        <f t="shared" ref="N172:O172" si="115">SUM(N168:N171)</f>
        <v>-3112.0666666666666</v>
      </c>
      <c r="O172" s="33">
        <f t="shared" si="115"/>
        <v>-3538.9666666666662</v>
      </c>
    </row>
    <row r="173" spans="3:15">
      <c r="C173" s="32"/>
      <c r="G173" s="33"/>
      <c r="H173" s="33"/>
      <c r="I173" s="33"/>
    </row>
    <row r="174" spans="3:15">
      <c r="C174" s="26" t="s">
        <v>99</v>
      </c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</row>
    <row r="175" spans="3:15">
      <c r="G175" s="36"/>
      <c r="H175" s="36"/>
      <c r="I175" s="36"/>
    </row>
    <row r="176" spans="3:15">
      <c r="C176" s="28" t="s">
        <v>61</v>
      </c>
      <c r="E176" s="56" t="s">
        <v>109</v>
      </c>
      <c r="G176" s="29">
        <v>2982</v>
      </c>
      <c r="H176" s="29">
        <v>228</v>
      </c>
      <c r="I176" s="29">
        <v>64</v>
      </c>
      <c r="J176" s="34">
        <f>AVERAGE(H176:I176)</f>
        <v>146</v>
      </c>
      <c r="K176" s="34">
        <f>J176</f>
        <v>146</v>
      </c>
      <c r="L176" s="34">
        <f t="shared" ref="L176:O176" si="116">K176</f>
        <v>146</v>
      </c>
      <c r="M176" s="34">
        <f t="shared" si="116"/>
        <v>146</v>
      </c>
      <c r="N176" s="34">
        <f t="shared" si="116"/>
        <v>146</v>
      </c>
      <c r="O176" s="34">
        <f t="shared" si="116"/>
        <v>146</v>
      </c>
    </row>
    <row r="177" spans="3:15">
      <c r="C177" s="28" t="s">
        <v>62</v>
      </c>
      <c r="E177" s="56" t="s">
        <v>109</v>
      </c>
      <c r="G177" s="29">
        <v>0</v>
      </c>
      <c r="H177" s="29">
        <v>0</v>
      </c>
      <c r="I177" s="29">
        <v>495</v>
      </c>
      <c r="J177" s="61">
        <v>495</v>
      </c>
      <c r="K177" s="61">
        <v>495</v>
      </c>
      <c r="L177" s="61">
        <v>495</v>
      </c>
      <c r="M177" s="61">
        <v>495</v>
      </c>
      <c r="N177" s="61">
        <v>495</v>
      </c>
      <c r="O177" s="61">
        <v>495</v>
      </c>
    </row>
    <row r="178" spans="3:15">
      <c r="C178" s="28" t="s">
        <v>63</v>
      </c>
      <c r="E178" s="56" t="s">
        <v>109</v>
      </c>
      <c r="G178" s="29">
        <v>-101</v>
      </c>
      <c r="H178" s="29">
        <v>0</v>
      </c>
      <c r="I178" s="29">
        <v>-739</v>
      </c>
      <c r="J178" s="61">
        <v>0</v>
      </c>
      <c r="K178" s="61">
        <v>0</v>
      </c>
      <c r="L178" s="61">
        <v>0</v>
      </c>
      <c r="M178" s="61">
        <v>0</v>
      </c>
      <c r="N178" s="61">
        <v>0</v>
      </c>
      <c r="O178" s="61">
        <v>0</v>
      </c>
    </row>
    <row r="179" spans="3:15">
      <c r="C179" s="30" t="s">
        <v>64</v>
      </c>
      <c r="E179" s="56" t="s">
        <v>109</v>
      </c>
      <c r="G179" s="31">
        <v>0</v>
      </c>
      <c r="H179" s="31">
        <v>0</v>
      </c>
      <c r="I179" s="31">
        <v>-1315</v>
      </c>
      <c r="J179" s="85">
        <f>I179*0.9</f>
        <v>-1183.5</v>
      </c>
      <c r="K179" s="85">
        <f t="shared" ref="K179:O179" si="117">J179*0.9</f>
        <v>-1065.1500000000001</v>
      </c>
      <c r="L179" s="85">
        <f t="shared" si="117"/>
        <v>-958.6350000000001</v>
      </c>
      <c r="M179" s="85">
        <f t="shared" si="117"/>
        <v>-862.77150000000006</v>
      </c>
      <c r="N179" s="85">
        <f t="shared" si="117"/>
        <v>-776.49435000000005</v>
      </c>
      <c r="O179" s="85">
        <f t="shared" si="117"/>
        <v>-698.84491500000001</v>
      </c>
    </row>
    <row r="180" spans="3:15">
      <c r="C180" s="32" t="s">
        <v>47</v>
      </c>
      <c r="E180" s="66" t="s">
        <v>109</v>
      </c>
      <c r="G180" s="33">
        <f>SUM(G176:G179)</f>
        <v>2881</v>
      </c>
      <c r="H180" s="33">
        <f t="shared" ref="H180:I180" si="118">SUM(H176:H179)</f>
        <v>228</v>
      </c>
      <c r="I180" s="33">
        <f t="shared" si="118"/>
        <v>-1495</v>
      </c>
      <c r="J180" s="33">
        <f t="shared" ref="J180" si="119">SUM(J176:J179)</f>
        <v>-542.5</v>
      </c>
      <c r="K180" s="33">
        <f t="shared" ref="K180" si="120">SUM(K176:K179)</f>
        <v>-424.15000000000009</v>
      </c>
      <c r="L180" s="33">
        <f t="shared" ref="L180" si="121">SUM(L176:L179)</f>
        <v>-317.6350000000001</v>
      </c>
      <c r="M180" s="33">
        <f t="shared" ref="M180" si="122">SUM(M176:M179)</f>
        <v>-221.77150000000006</v>
      </c>
      <c r="N180" s="33">
        <f t="shared" ref="N180:O180" si="123">SUM(N176:N179)</f>
        <v>-135.49435000000005</v>
      </c>
      <c r="O180" s="33">
        <f t="shared" si="123"/>
        <v>-57.844915000000015</v>
      </c>
    </row>
    <row r="181" spans="3:15">
      <c r="G181" s="36"/>
      <c r="I181" s="36"/>
    </row>
    <row r="182" spans="3:15">
      <c r="G182" s="36"/>
      <c r="I182" s="36"/>
    </row>
    <row r="183" spans="3:15">
      <c r="C183" s="28" t="s">
        <v>48</v>
      </c>
      <c r="E183" s="56" t="s">
        <v>109</v>
      </c>
      <c r="G183" s="36">
        <f>SUM(G164,G172,G180)</f>
        <v>-260013</v>
      </c>
      <c r="H183" s="36">
        <f t="shared" ref="H183:N183" si="124">SUM(H164,H172,H180)</f>
        <v>-28178</v>
      </c>
      <c r="I183" s="36">
        <f t="shared" si="124"/>
        <v>-45860</v>
      </c>
      <c r="J183" s="34">
        <f t="shared" si="124"/>
        <v>-29388.949360144925</v>
      </c>
      <c r="K183" s="34">
        <f t="shared" si="124"/>
        <v>16231.59022639067</v>
      </c>
      <c r="L183" s="34">
        <f t="shared" si="124"/>
        <v>38852.106502167204</v>
      </c>
      <c r="M183" s="34">
        <f t="shared" si="124"/>
        <v>59001.584379928136</v>
      </c>
      <c r="N183" s="34">
        <f t="shared" si="124"/>
        <v>85070.245001991861</v>
      </c>
      <c r="O183" s="34">
        <f t="shared" ref="O183" si="125">SUM(O164,O172,O180)</f>
        <v>111447.95225573379</v>
      </c>
    </row>
    <row r="184" spans="3:15">
      <c r="C184" s="30" t="s">
        <v>65</v>
      </c>
      <c r="E184" s="56" t="s">
        <v>109</v>
      </c>
      <c r="G184" s="31">
        <v>426841</v>
      </c>
      <c r="H184" s="38">
        <f>G185</f>
        <v>166828</v>
      </c>
      <c r="I184" s="38">
        <f>H185</f>
        <v>138650</v>
      </c>
      <c r="J184" s="62">
        <f t="shared" ref="J184:O184" si="126">I185</f>
        <v>88775</v>
      </c>
      <c r="K184" s="62">
        <f t="shared" si="126"/>
        <v>59386.050639855079</v>
      </c>
      <c r="L184" s="62">
        <f t="shared" si="126"/>
        <v>75617.640866245754</v>
      </c>
      <c r="M184" s="62">
        <f t="shared" si="126"/>
        <v>114469.74736841297</v>
      </c>
      <c r="N184" s="62">
        <f t="shared" si="126"/>
        <v>173471.33174834109</v>
      </c>
      <c r="O184" s="62">
        <f t="shared" si="126"/>
        <v>258541.57675033296</v>
      </c>
    </row>
    <row r="185" spans="3:15">
      <c r="C185" s="32" t="s">
        <v>66</v>
      </c>
      <c r="E185" s="66" t="s">
        <v>109</v>
      </c>
      <c r="G185" s="33">
        <f>SUM(G183:G184)</f>
        <v>166828</v>
      </c>
      <c r="H185" s="33">
        <f>SUM(H183:H184)</f>
        <v>138650</v>
      </c>
      <c r="I185" s="88">
        <v>88775</v>
      </c>
      <c r="J185" s="33">
        <f t="shared" ref="J185:N185" si="127">SUM(J183:J184)</f>
        <v>59386.050639855079</v>
      </c>
      <c r="K185" s="33">
        <f t="shared" si="127"/>
        <v>75617.640866245754</v>
      </c>
      <c r="L185" s="33">
        <f t="shared" si="127"/>
        <v>114469.74736841297</v>
      </c>
      <c r="M185" s="33">
        <f t="shared" si="127"/>
        <v>173471.33174834109</v>
      </c>
      <c r="N185" s="33">
        <f t="shared" si="127"/>
        <v>258541.57675033296</v>
      </c>
      <c r="O185" s="33">
        <f t="shared" ref="O185" si="128">SUM(O183:O184)</f>
        <v>369989.52900606673</v>
      </c>
    </row>
    <row r="186" spans="3:15">
      <c r="G186" s="36"/>
      <c r="H186" s="36"/>
      <c r="I186" s="36"/>
    </row>
    <row r="187" spans="3:15">
      <c r="C187" s="2" t="s">
        <v>67</v>
      </c>
      <c r="E187" s="56" t="s">
        <v>109</v>
      </c>
      <c r="G187" s="36">
        <v>4501</v>
      </c>
      <c r="H187" s="36">
        <v>9247</v>
      </c>
      <c r="I187" s="36">
        <v>470</v>
      </c>
      <c r="J187" s="64">
        <v>0</v>
      </c>
      <c r="K187" s="64">
        <v>0</v>
      </c>
      <c r="L187" s="64">
        <v>0</v>
      </c>
      <c r="M187" s="64">
        <v>0</v>
      </c>
      <c r="N187" s="64">
        <v>0</v>
      </c>
      <c r="O187" s="64">
        <v>0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F497-AF2B-47EA-97DA-0011D03A6505}">
  <dimension ref="A2:Z55"/>
  <sheetViews>
    <sheetView showGridLines="0" topLeftCell="A24" zoomScale="60" workbookViewId="0">
      <selection activeCell="J21" sqref="J21"/>
    </sheetView>
  </sheetViews>
  <sheetFormatPr defaultRowHeight="16"/>
  <cols>
    <col min="1" max="1" width="8.7265625" style="34"/>
    <col min="2" max="2" width="4" style="34" customWidth="1"/>
    <col min="3" max="3" width="38" style="34" customWidth="1"/>
    <col min="4" max="6" width="8.7265625" style="34"/>
    <col min="7" max="7" width="11.90625" style="34" bestFit="1" customWidth="1"/>
    <col min="8" max="8" width="9.1796875" style="34" bestFit="1" customWidth="1"/>
    <col min="9" max="9" width="11.90625" style="34" bestFit="1" customWidth="1"/>
    <col min="10" max="10" width="13.08984375" style="34" bestFit="1" customWidth="1"/>
    <col min="11" max="17" width="10.26953125" style="34" bestFit="1" customWidth="1"/>
    <col min="18" max="18" width="41.26953125" style="34" bestFit="1" customWidth="1"/>
    <col min="19" max="19" width="7.453125" style="34" bestFit="1" customWidth="1"/>
    <col min="20" max="20" width="10.08984375" style="34" bestFit="1" customWidth="1"/>
    <col min="21" max="21" width="8.7265625" style="34"/>
    <col min="22" max="22" width="7.08984375" style="34" bestFit="1" customWidth="1"/>
    <col min="23" max="24" width="8.08984375" style="34" bestFit="1" customWidth="1"/>
    <col min="25" max="27" width="9.1796875" style="34" bestFit="1" customWidth="1"/>
    <col min="28" max="16384" width="8.7265625" style="34"/>
  </cols>
  <sheetData>
    <row r="2" spans="2:26">
      <c r="B2" s="3"/>
      <c r="C2" s="3"/>
      <c r="D2" s="3"/>
      <c r="E2" s="3"/>
      <c r="F2" s="3"/>
      <c r="G2" s="4"/>
      <c r="H2" s="5" t="s">
        <v>70</v>
      </c>
      <c r="I2" s="4"/>
      <c r="J2" s="6"/>
      <c r="K2" s="4"/>
      <c r="L2" s="4"/>
      <c r="M2" s="4"/>
      <c r="N2" s="5" t="s">
        <v>71</v>
      </c>
      <c r="O2" s="4"/>
      <c r="P2" s="2"/>
      <c r="Q2" s="2"/>
      <c r="R2" s="2"/>
      <c r="S2" s="2"/>
    </row>
    <row r="3" spans="2:26">
      <c r="B3" s="7" t="str">
        <f>Company_Name&amp;" - Revenue Drivers"</f>
        <v>Butterfly Network, inc. - Revenue Drivers</v>
      </c>
      <c r="C3" s="3"/>
      <c r="D3" s="3"/>
      <c r="E3" s="8" t="s">
        <v>72</v>
      </c>
      <c r="F3" s="9"/>
      <c r="G3" s="10">
        <v>44926</v>
      </c>
      <c r="H3" s="10">
        <f>EOMONTH(G3,12)</f>
        <v>45291</v>
      </c>
      <c r="I3" s="10">
        <f t="shared" ref="I3:O3" si="0">EOMONTH(H3,12)</f>
        <v>45657</v>
      </c>
      <c r="J3" s="11">
        <f t="shared" si="0"/>
        <v>46022</v>
      </c>
      <c r="K3" s="10">
        <f t="shared" si="0"/>
        <v>46387</v>
      </c>
      <c r="L3" s="10">
        <f t="shared" si="0"/>
        <v>46752</v>
      </c>
      <c r="M3" s="10">
        <f t="shared" si="0"/>
        <v>47118</v>
      </c>
      <c r="N3" s="10">
        <f t="shared" si="0"/>
        <v>47483</v>
      </c>
      <c r="O3" s="10">
        <f t="shared" si="0"/>
        <v>47848</v>
      </c>
      <c r="P3" s="46"/>
      <c r="Q3" s="46"/>
      <c r="R3" s="46"/>
      <c r="S3" s="46"/>
      <c r="T3" s="46"/>
    </row>
    <row r="5" spans="2:26">
      <c r="C5" s="35" t="s">
        <v>277</v>
      </c>
      <c r="J5" s="50"/>
    </row>
    <row r="6" spans="2:26">
      <c r="C6" s="48" t="s">
        <v>488</v>
      </c>
      <c r="D6" s="297" t="s">
        <v>90</v>
      </c>
      <c r="G6" s="34">
        <v>21853.478260869564</v>
      </c>
      <c r="H6" s="34">
        <v>17406.956521739128</v>
      </c>
      <c r="I6" s="34">
        <v>16424.242424242424</v>
      </c>
      <c r="J6" s="34">
        <f>J12/J11*Units</f>
        <v>18938.208955223883</v>
      </c>
      <c r="K6" s="64">
        <f>INDEX($J$7:$N$9,MATCH(Scenario,$C$7:$C$9,0),2)</f>
        <v>17000</v>
      </c>
      <c r="L6" s="64">
        <f>INDEX($J$7:$N$9,MATCH(Scenario,$C$7:$C$9,0),3)</f>
        <v>22000</v>
      </c>
      <c r="M6" s="64">
        <f>INDEX($J$7:$N$9,MATCH(Scenario,$C$7:$C$9,0),4)</f>
        <v>24000</v>
      </c>
      <c r="N6" s="64">
        <f t="shared" ref="N6" si="1">INDEX($J$7:$N$9,MATCH(Scenario,$C$7:$C$9,0),5)</f>
        <v>28000</v>
      </c>
      <c r="O6" s="64">
        <f>INDEX($J$7:$O$9,MATCH(Scenario,$C$7:$C$9,0),6)</f>
        <v>32000</v>
      </c>
    </row>
    <row r="7" spans="2:26">
      <c r="C7" s="605" t="s">
        <v>152</v>
      </c>
      <c r="D7" s="297" t="s">
        <v>90</v>
      </c>
      <c r="K7" s="64">
        <v>25000</v>
      </c>
      <c r="L7" s="64">
        <v>31000</v>
      </c>
      <c r="M7" s="64">
        <v>34000</v>
      </c>
      <c r="N7" s="64">
        <v>36500</v>
      </c>
      <c r="O7" s="64">
        <v>39000</v>
      </c>
    </row>
    <row r="8" spans="2:26">
      <c r="C8" s="605" t="s">
        <v>144</v>
      </c>
      <c r="D8" s="297" t="s">
        <v>90</v>
      </c>
      <c r="K8" s="64">
        <v>20000</v>
      </c>
      <c r="L8" s="64">
        <v>25000</v>
      </c>
      <c r="M8" s="64">
        <v>33000</v>
      </c>
      <c r="N8" s="64">
        <v>38000</v>
      </c>
      <c r="O8" s="64">
        <v>42000</v>
      </c>
    </row>
    <row r="9" spans="2:26">
      <c r="C9" s="605" t="s">
        <v>153</v>
      </c>
      <c r="D9" s="297" t="s">
        <v>90</v>
      </c>
      <c r="K9" s="64">
        <v>17000</v>
      </c>
      <c r="L9" s="64">
        <v>22000</v>
      </c>
      <c r="M9" s="64">
        <v>24000</v>
      </c>
      <c r="N9" s="64">
        <v>28000</v>
      </c>
      <c r="O9" s="64">
        <v>32000</v>
      </c>
    </row>
    <row r="10" spans="2:26">
      <c r="C10" s="49" t="s">
        <v>101</v>
      </c>
      <c r="D10" s="297" t="s">
        <v>85</v>
      </c>
      <c r="H10" s="603">
        <f>H6/G6-1</f>
        <v>-0.20346974911963078</v>
      </c>
      <c r="I10" s="603">
        <f>I6/H6-1</f>
        <v>-5.645525088026826E-2</v>
      </c>
      <c r="J10" s="603">
        <f>J6/I6-1</f>
        <v>0.15306438288263502</v>
      </c>
      <c r="K10" s="603">
        <f t="shared" ref="K10:N10" si="2">K6/J6-1</f>
        <v>-0.10234383619942322</v>
      </c>
      <c r="L10" s="603">
        <f t="shared" si="2"/>
        <v>0.29411764705882359</v>
      </c>
      <c r="M10" s="603">
        <f t="shared" si="2"/>
        <v>9.0909090909090828E-2</v>
      </c>
      <c r="N10" s="603">
        <f t="shared" si="2"/>
        <v>0.16666666666666674</v>
      </c>
      <c r="O10" s="603">
        <f t="shared" ref="O10" si="3">O6/N6-1</f>
        <v>0.14285714285714279</v>
      </c>
      <c r="P10" s="603"/>
      <c r="Q10" s="603"/>
      <c r="R10" s="603"/>
      <c r="S10" s="603"/>
    </row>
    <row r="11" spans="2:26">
      <c r="C11" s="51" t="s">
        <v>490</v>
      </c>
      <c r="D11" s="297" t="s">
        <v>278</v>
      </c>
      <c r="G11" s="62">
        <v>2300</v>
      </c>
      <c r="H11" s="62">
        <v>2300</v>
      </c>
      <c r="I11" s="62">
        <v>3300</v>
      </c>
      <c r="J11" s="63">
        <v>3350</v>
      </c>
      <c r="K11" s="63">
        <v>3350</v>
      </c>
      <c r="L11" s="63">
        <v>3500</v>
      </c>
      <c r="M11" s="63">
        <v>3500</v>
      </c>
      <c r="N11" s="63">
        <v>3750</v>
      </c>
      <c r="O11" s="63">
        <v>3750</v>
      </c>
    </row>
    <row r="12" spans="2:26">
      <c r="C12" s="35" t="s">
        <v>102</v>
      </c>
      <c r="D12" s="298" t="s">
        <v>109</v>
      </c>
      <c r="G12" s="33">
        <f t="shared" ref="G12:N12" si="4">G6*G11/Units</f>
        <v>50263</v>
      </c>
      <c r="H12" s="33">
        <f t="shared" si="4"/>
        <v>40035.999999999993</v>
      </c>
      <c r="I12" s="33">
        <f t="shared" si="4"/>
        <v>54200</v>
      </c>
      <c r="J12" s="33">
        <v>63443</v>
      </c>
      <c r="K12" s="33">
        <f t="shared" si="4"/>
        <v>56950</v>
      </c>
      <c r="L12" s="33">
        <f t="shared" si="4"/>
        <v>77000</v>
      </c>
      <c r="M12" s="33">
        <f t="shared" si="4"/>
        <v>84000</v>
      </c>
      <c r="N12" s="33">
        <f t="shared" si="4"/>
        <v>105000</v>
      </c>
      <c r="O12" s="33">
        <f t="shared" ref="O12" si="5">O6*O11/Units</f>
        <v>120000</v>
      </c>
      <c r="P12" s="33"/>
      <c r="Q12" s="33"/>
      <c r="R12" s="33"/>
      <c r="S12" s="33"/>
    </row>
    <row r="13" spans="2:26">
      <c r="D13" s="297"/>
      <c r="G13" s="29"/>
      <c r="H13" s="29"/>
      <c r="I13" s="29"/>
      <c r="U13" s="59"/>
      <c r="V13" s="59"/>
      <c r="W13" s="59"/>
      <c r="X13" s="59"/>
      <c r="Y13" s="59"/>
      <c r="Z13" s="59"/>
    </row>
    <row r="14" spans="2:26">
      <c r="C14" s="35" t="s">
        <v>491</v>
      </c>
      <c r="D14" s="297"/>
      <c r="U14" s="59"/>
      <c r="V14" s="59"/>
      <c r="W14" s="59"/>
      <c r="X14" s="59"/>
      <c r="Y14" s="59"/>
      <c r="Z14" s="59"/>
    </row>
    <row r="15" spans="2:26">
      <c r="C15" s="48" t="s">
        <v>103</v>
      </c>
      <c r="D15" s="297" t="s">
        <v>90</v>
      </c>
      <c r="G15" s="34">
        <v>70082</v>
      </c>
      <c r="H15" s="34">
        <v>80074</v>
      </c>
      <c r="I15" s="34">
        <v>90149</v>
      </c>
      <c r="J15" s="34">
        <f>J21/J20*Units</f>
        <v>78285.71428571429</v>
      </c>
      <c r="K15" s="64">
        <f>INDEX($J$16:$N$18,MATCH(Scenario,$C$16:$C$18,0),2)</f>
        <v>80000</v>
      </c>
      <c r="L15" s="64">
        <f>INDEX($J$16:$N$18,MATCH(Scenario,$C$16:$C$18,0),3)</f>
        <v>90000</v>
      </c>
      <c r="M15" s="64">
        <f>INDEX($J$16:$N$18,MATCH(Scenario,$C$16:$C$18,0),4)</f>
        <v>120000</v>
      </c>
      <c r="N15" s="64">
        <f t="shared" ref="N15" si="6">INDEX($J$16:$N$18,MATCH(Scenario,$C$16:$C$18,0),5)</f>
        <v>140000</v>
      </c>
      <c r="O15" s="64">
        <f>INDEX($J$16:$O$18,MATCH(Scenario,$C$16:$C$18,0),6)</f>
        <v>160000</v>
      </c>
    </row>
    <row r="16" spans="2:26">
      <c r="C16" s="605" t="s">
        <v>152</v>
      </c>
      <c r="D16" s="297" t="s">
        <v>90</v>
      </c>
      <c r="K16" s="64">
        <v>90000</v>
      </c>
      <c r="L16" s="64">
        <v>120000</v>
      </c>
      <c r="M16" s="64">
        <v>150000</v>
      </c>
      <c r="N16" s="64">
        <v>180000</v>
      </c>
      <c r="O16" s="64">
        <v>210000</v>
      </c>
    </row>
    <row r="17" spans="3:26">
      <c r="C17" s="605" t="s">
        <v>144</v>
      </c>
      <c r="D17" s="297" t="s">
        <v>90</v>
      </c>
      <c r="K17" s="64">
        <v>82000</v>
      </c>
      <c r="L17" s="64">
        <v>100000</v>
      </c>
      <c r="M17" s="64">
        <v>130000</v>
      </c>
      <c r="N17" s="64">
        <v>160000</v>
      </c>
      <c r="O17" s="64">
        <v>190000</v>
      </c>
    </row>
    <row r="18" spans="3:26">
      <c r="C18" s="605" t="s">
        <v>153</v>
      </c>
      <c r="D18" s="297" t="s">
        <v>90</v>
      </c>
      <c r="K18" s="64">
        <v>80000</v>
      </c>
      <c r="L18" s="64">
        <v>90000</v>
      </c>
      <c r="M18" s="64">
        <v>120000</v>
      </c>
      <c r="N18" s="64">
        <v>140000</v>
      </c>
      <c r="O18" s="64">
        <v>160000</v>
      </c>
    </row>
    <row r="19" spans="3:26">
      <c r="C19" s="48" t="s">
        <v>101</v>
      </c>
      <c r="D19" s="297" t="s">
        <v>85</v>
      </c>
      <c r="H19" s="603">
        <f t="shared" ref="H19:N19" si="7">H15/G15-1</f>
        <v>0.14257583973060139</v>
      </c>
      <c r="I19" s="603">
        <f t="shared" si="7"/>
        <v>0.12582111546819186</v>
      </c>
      <c r="J19" s="603">
        <f t="shared" si="7"/>
        <v>-0.1315964205291873</v>
      </c>
      <c r="K19" s="603">
        <f t="shared" si="7"/>
        <v>2.1897810218977964E-2</v>
      </c>
      <c r="L19" s="603">
        <f t="shared" si="7"/>
        <v>0.125</v>
      </c>
      <c r="M19" s="603">
        <f t="shared" si="7"/>
        <v>0.33333333333333326</v>
      </c>
      <c r="N19" s="603">
        <f t="shared" si="7"/>
        <v>0.16666666666666674</v>
      </c>
      <c r="O19" s="603">
        <f t="shared" ref="O19" si="8">O15/N15-1</f>
        <v>0.14285714285714279</v>
      </c>
      <c r="P19" s="603"/>
      <c r="Q19" s="603"/>
      <c r="R19" s="603"/>
      <c r="S19" s="603"/>
    </row>
    <row r="20" spans="3:26">
      <c r="C20" s="48" t="s">
        <v>100</v>
      </c>
      <c r="D20" s="297" t="s">
        <v>278</v>
      </c>
      <c r="G20" s="62">
        <v>330</v>
      </c>
      <c r="H20" s="62">
        <v>323</v>
      </c>
      <c r="I20" s="62">
        <v>309</v>
      </c>
      <c r="J20" s="63">
        <v>350</v>
      </c>
      <c r="K20" s="63">
        <v>375</v>
      </c>
      <c r="L20" s="63">
        <v>400</v>
      </c>
      <c r="M20" s="63">
        <v>425</v>
      </c>
      <c r="N20" s="63">
        <v>450</v>
      </c>
      <c r="O20" s="63">
        <v>450</v>
      </c>
    </row>
    <row r="21" spans="3:26">
      <c r="C21" s="35" t="s">
        <v>104</v>
      </c>
      <c r="D21" s="298" t="s">
        <v>109</v>
      </c>
      <c r="G21" s="33">
        <f t="shared" ref="G21:N21" si="9">G15*G20/Units</f>
        <v>23127.06</v>
      </c>
      <c r="H21" s="33">
        <f t="shared" si="9"/>
        <v>25863.901999999998</v>
      </c>
      <c r="I21" s="33">
        <f t="shared" si="9"/>
        <v>27856.041000000001</v>
      </c>
      <c r="J21" s="33">
        <v>27400</v>
      </c>
      <c r="K21" s="33">
        <f t="shared" si="9"/>
        <v>30000</v>
      </c>
      <c r="L21" s="33">
        <f t="shared" si="9"/>
        <v>36000</v>
      </c>
      <c r="M21" s="33">
        <f t="shared" si="9"/>
        <v>51000</v>
      </c>
      <c r="N21" s="33">
        <f t="shared" si="9"/>
        <v>63000</v>
      </c>
      <c r="O21" s="33">
        <f t="shared" ref="O21" si="10">O15*O20/Units</f>
        <v>72000</v>
      </c>
      <c r="P21" s="33"/>
      <c r="Q21" s="33"/>
      <c r="R21" s="33"/>
      <c r="S21" s="33"/>
    </row>
    <row r="22" spans="3:26">
      <c r="D22" s="297"/>
      <c r="G22" s="29"/>
      <c r="H22" s="29"/>
      <c r="I22" s="29"/>
      <c r="T22" s="59"/>
      <c r="U22" s="59"/>
      <c r="V22" s="59"/>
      <c r="W22" s="59"/>
      <c r="X22" s="59"/>
      <c r="Y22" s="59"/>
      <c r="Z22" s="59"/>
    </row>
    <row r="23" spans="3:26">
      <c r="C23" s="35" t="s">
        <v>518</v>
      </c>
      <c r="D23" s="298" t="s">
        <v>109</v>
      </c>
      <c r="G23" s="33">
        <v>0</v>
      </c>
      <c r="H23" s="33">
        <v>0</v>
      </c>
      <c r="I23" s="33">
        <v>0</v>
      </c>
      <c r="J23" s="33">
        <v>6800</v>
      </c>
      <c r="K23" s="604">
        <f>INDEX($J$24:$N$26,MATCH(Scenario,$C$24:$C$26,0),2)</f>
        <v>25000</v>
      </c>
      <c r="L23" s="604">
        <f>INDEX($J$24:$N$26,MATCH(Scenario,$C$24:$C$26,0),3)</f>
        <v>25000</v>
      </c>
      <c r="M23" s="604">
        <f>INDEX($J$24:$N$26,MATCH(Scenario,$C$24:$C$26,0),4)</f>
        <v>40000</v>
      </c>
      <c r="N23" s="604">
        <f t="shared" ref="N23" si="11">INDEX($J$24:$N$26,MATCH(Scenario,$C$24:$C$26,0),5)</f>
        <v>40000</v>
      </c>
      <c r="O23" s="604">
        <f>INDEX($J$24:$O$26,MATCH(Scenario,$C$24:$C$26,0),6)</f>
        <v>60000</v>
      </c>
      <c r="P23" s="33"/>
      <c r="Q23" s="33"/>
      <c r="R23" s="33"/>
      <c r="S23" s="33"/>
      <c r="T23" s="59"/>
      <c r="U23" s="59"/>
      <c r="V23" s="59"/>
      <c r="W23" s="59"/>
      <c r="X23" s="59"/>
      <c r="Y23" s="59"/>
      <c r="Z23" s="59"/>
    </row>
    <row r="24" spans="3:26">
      <c r="C24" s="605" t="s">
        <v>152</v>
      </c>
      <c r="D24" s="297" t="s">
        <v>109</v>
      </c>
      <c r="K24" s="64">
        <v>45000</v>
      </c>
      <c r="L24" s="64">
        <v>85000</v>
      </c>
      <c r="M24" s="64">
        <v>140000</v>
      </c>
      <c r="N24" s="64">
        <v>200000</v>
      </c>
      <c r="O24" s="64">
        <v>260000</v>
      </c>
      <c r="T24" s="59"/>
      <c r="U24" s="59"/>
    </row>
    <row r="25" spans="3:26">
      <c r="C25" s="605" t="s">
        <v>144</v>
      </c>
      <c r="D25" s="297" t="s">
        <v>109</v>
      </c>
      <c r="K25" s="64">
        <v>29100</v>
      </c>
      <c r="L25" s="64">
        <v>50000</v>
      </c>
      <c r="M25" s="64">
        <v>70000</v>
      </c>
      <c r="N25" s="64">
        <v>95000</v>
      </c>
      <c r="O25" s="64">
        <v>125000</v>
      </c>
      <c r="T25" s="59"/>
      <c r="U25" s="59"/>
    </row>
    <row r="26" spans="3:26">
      <c r="C26" s="605" t="s">
        <v>153</v>
      </c>
      <c r="D26" s="297" t="s">
        <v>109</v>
      </c>
      <c r="K26" s="64">
        <v>25000</v>
      </c>
      <c r="L26" s="64">
        <v>25000</v>
      </c>
      <c r="M26" s="64">
        <v>40000</v>
      </c>
      <c r="N26" s="64">
        <v>40000</v>
      </c>
      <c r="O26" s="64">
        <v>60000</v>
      </c>
      <c r="T26" s="59"/>
      <c r="U26" s="59"/>
    </row>
    <row r="27" spans="3:26">
      <c r="D27" s="297"/>
    </row>
    <row r="28" spans="3:26">
      <c r="C28" s="35" t="s">
        <v>489</v>
      </c>
      <c r="D28" s="298" t="s">
        <v>109</v>
      </c>
      <c r="G28" s="33">
        <v>0</v>
      </c>
      <c r="H28" s="33">
        <v>0</v>
      </c>
      <c r="I28" s="33">
        <v>0</v>
      </c>
      <c r="J28" s="604">
        <f>INDEX($J$29:$N$31,MATCH(Scenario,$C$29:$C$31,0),1)</f>
        <v>0</v>
      </c>
      <c r="K28" s="604">
        <f>INDEX($J$29:$N$31,MATCH(Scenario,$C$29:$C$31,0),2)</f>
        <v>1000</v>
      </c>
      <c r="L28" s="604">
        <f>INDEX($J$29:$N$31,MATCH(Scenario,$C$29:$C$31,0),3)</f>
        <v>5000</v>
      </c>
      <c r="M28" s="604">
        <f>INDEX($J$29:$N$31,MATCH(Scenario,$C$29:$C$31,0),4)</f>
        <v>15000</v>
      </c>
      <c r="N28" s="604">
        <f t="shared" ref="N28" si="12">INDEX($J$29:$N$31,MATCH(Scenario,$C$29:$C$31,0),5)</f>
        <v>20000</v>
      </c>
      <c r="O28" s="604">
        <f>INDEX($J$29:$O$31,MATCH(Scenario,$C$29:$C$31,0),6)</f>
        <v>25000</v>
      </c>
      <c r="P28" s="33"/>
      <c r="Q28" s="33"/>
      <c r="R28" s="33"/>
      <c r="S28" s="33"/>
    </row>
    <row r="29" spans="3:26">
      <c r="C29" s="605" t="s">
        <v>152</v>
      </c>
      <c r="D29" s="297" t="s">
        <v>109</v>
      </c>
      <c r="J29" s="64">
        <v>0</v>
      </c>
      <c r="K29" s="64">
        <v>5000</v>
      </c>
      <c r="L29" s="64">
        <v>15000</v>
      </c>
      <c r="M29" s="64">
        <v>25000</v>
      </c>
      <c r="N29" s="64">
        <v>35000</v>
      </c>
      <c r="O29" s="64">
        <v>45000</v>
      </c>
    </row>
    <row r="30" spans="3:26">
      <c r="C30" s="605" t="s">
        <v>144</v>
      </c>
      <c r="D30" s="297" t="s">
        <v>109</v>
      </c>
      <c r="J30" s="64">
        <v>0</v>
      </c>
      <c r="K30" s="64">
        <v>3000</v>
      </c>
      <c r="L30" s="64">
        <v>10000</v>
      </c>
      <c r="M30" s="64">
        <v>20000</v>
      </c>
      <c r="N30" s="64">
        <v>30000</v>
      </c>
      <c r="O30" s="64">
        <v>40000</v>
      </c>
    </row>
    <row r="31" spans="3:26">
      <c r="C31" s="605" t="s">
        <v>153</v>
      </c>
      <c r="D31" s="297" t="s">
        <v>109</v>
      </c>
      <c r="J31" s="64">
        <v>0</v>
      </c>
      <c r="K31" s="64">
        <v>1000</v>
      </c>
      <c r="L31" s="64">
        <v>5000</v>
      </c>
      <c r="M31" s="64">
        <v>15000</v>
      </c>
      <c r="N31" s="64">
        <v>20000</v>
      </c>
      <c r="O31" s="64">
        <v>25000</v>
      </c>
    </row>
    <row r="32" spans="3:26">
      <c r="C32" s="35"/>
      <c r="D32" s="35"/>
      <c r="G32" s="35"/>
      <c r="H32" s="35"/>
      <c r="I32" s="35"/>
      <c r="J32" s="35"/>
      <c r="K32" s="35"/>
      <c r="L32" s="33"/>
      <c r="M32" s="33"/>
      <c r="N32" s="33"/>
      <c r="O32" s="33"/>
      <c r="P32" s="33"/>
      <c r="Q32" s="33"/>
      <c r="R32" s="33"/>
      <c r="S32" s="33"/>
    </row>
    <row r="33" spans="1:19">
      <c r="C33" s="35" t="s">
        <v>105</v>
      </c>
      <c r="D33" s="298" t="s">
        <v>109</v>
      </c>
      <c r="G33" s="33">
        <f>SUM(G12,G21,G23,G28)</f>
        <v>73390.06</v>
      </c>
      <c r="H33" s="33">
        <f>SUM(H12,H21,H23,H28)</f>
        <v>65899.901999999987</v>
      </c>
      <c r="I33" s="33">
        <f>SUM(I12,I21,I23,I28)</f>
        <v>82056.040999999997</v>
      </c>
      <c r="J33" s="33">
        <f>SUM(J12,J21,J23,J28)</f>
        <v>97643</v>
      </c>
      <c r="K33" s="33">
        <f t="shared" ref="K33:N33" si="13">SUM(K12,K21,K23,K28)</f>
        <v>112950</v>
      </c>
      <c r="L33" s="33">
        <f t="shared" si="13"/>
        <v>143000</v>
      </c>
      <c r="M33" s="33">
        <f t="shared" si="13"/>
        <v>190000</v>
      </c>
      <c r="N33" s="33">
        <f t="shared" si="13"/>
        <v>228000</v>
      </c>
      <c r="O33" s="33">
        <f t="shared" ref="O33" si="14">SUM(O12,O21,O23,O28)</f>
        <v>277000</v>
      </c>
      <c r="P33" s="33"/>
      <c r="Q33" s="33"/>
      <c r="R33" s="33"/>
      <c r="S33" s="33"/>
    </row>
    <row r="34" spans="1:19">
      <c r="C34" s="49" t="s">
        <v>101</v>
      </c>
      <c r="D34" s="35"/>
      <c r="E34" s="35"/>
      <c r="F34" s="35"/>
      <c r="G34" s="33"/>
      <c r="H34" s="149">
        <f>H33/G33-1</f>
        <v>-0.10205957046499226</v>
      </c>
      <c r="I34" s="149">
        <f t="shared" ref="I34:O34" si="15">I33/H33-1</f>
        <v>0.24516180615868</v>
      </c>
      <c r="J34" s="149">
        <f t="shared" si="15"/>
        <v>0.18995504547922315</v>
      </c>
      <c r="K34" s="149">
        <f t="shared" si="15"/>
        <v>0.15676494986839806</v>
      </c>
      <c r="L34" s="149">
        <f t="shared" si="15"/>
        <v>0.26604692341744141</v>
      </c>
      <c r="M34" s="149">
        <f t="shared" si="15"/>
        <v>0.32867132867132876</v>
      </c>
      <c r="N34" s="149">
        <f t="shared" si="15"/>
        <v>0.19999999999999996</v>
      </c>
      <c r="O34" s="149">
        <f t="shared" si="15"/>
        <v>0.21491228070175428</v>
      </c>
    </row>
    <row r="35" spans="1:19">
      <c r="C35" s="49"/>
      <c r="H35" s="47"/>
      <c r="I35" s="47"/>
      <c r="J35" s="47"/>
      <c r="K35" s="47"/>
      <c r="L35" s="47"/>
      <c r="M35" s="47"/>
      <c r="N35" s="47"/>
    </row>
    <row r="37" spans="1:19">
      <c r="A37" s="2"/>
      <c r="B37" s="3"/>
      <c r="C37" s="3"/>
      <c r="D37" s="3"/>
      <c r="E37" s="3"/>
      <c r="F37" s="3"/>
      <c r="G37" s="4"/>
      <c r="H37" s="5" t="s">
        <v>70</v>
      </c>
      <c r="I37" s="4"/>
      <c r="J37" s="6"/>
      <c r="K37" s="4"/>
      <c r="L37" s="5" t="s">
        <v>71</v>
      </c>
      <c r="M37" s="4"/>
      <c r="N37" s="4"/>
      <c r="O37" s="4"/>
    </row>
    <row r="38" spans="1:19">
      <c r="A38" s="2"/>
      <c r="B38" s="7" t="str">
        <f>"CapEx &amp; Depreciation - "&amp;Company_Name</f>
        <v>CapEx &amp; Depreciation - Butterfly Network, inc.</v>
      </c>
      <c r="C38" s="3"/>
      <c r="D38" s="7"/>
      <c r="E38" s="7" t="s">
        <v>72</v>
      </c>
      <c r="F38" s="10"/>
      <c r="G38" s="10">
        <f t="shared" ref="G38:O38" si="16">G3</f>
        <v>44926</v>
      </c>
      <c r="H38" s="10">
        <f t="shared" si="16"/>
        <v>45291</v>
      </c>
      <c r="I38" s="10">
        <f t="shared" si="16"/>
        <v>45657</v>
      </c>
      <c r="J38" s="11">
        <f t="shared" si="16"/>
        <v>46022</v>
      </c>
      <c r="K38" s="10">
        <f t="shared" si="16"/>
        <v>46387</v>
      </c>
      <c r="L38" s="10">
        <f t="shared" si="16"/>
        <v>46752</v>
      </c>
      <c r="M38" s="10">
        <f t="shared" si="16"/>
        <v>47118</v>
      </c>
      <c r="N38" s="10">
        <f t="shared" si="16"/>
        <v>47483</v>
      </c>
      <c r="O38" s="10">
        <f t="shared" si="16"/>
        <v>47848</v>
      </c>
      <c r="P38" s="46"/>
      <c r="Q38" s="46"/>
      <c r="R38" s="46"/>
      <c r="S38" s="46"/>
    </row>
    <row r="39" spans="1:19">
      <c r="A39" s="2"/>
      <c r="B39" s="2"/>
      <c r="C39" s="2"/>
      <c r="D39" s="2"/>
      <c r="E39" s="2"/>
      <c r="F39" s="2"/>
      <c r="G39" s="2"/>
      <c r="H39" s="2"/>
      <c r="J39" s="2"/>
      <c r="K39" s="2"/>
      <c r="L39" s="2"/>
      <c r="M39" s="2"/>
      <c r="N39" s="2"/>
      <c r="O39" s="2"/>
    </row>
    <row r="40" spans="1:19">
      <c r="A40" s="2"/>
      <c r="B40" s="2"/>
      <c r="C40" s="71" t="s">
        <v>121</v>
      </c>
      <c r="D40" s="2"/>
      <c r="E40" s="56" t="s">
        <v>109</v>
      </c>
      <c r="F40" s="2"/>
      <c r="G40" s="29">
        <f>-Model!G170</f>
        <v>18302</v>
      </c>
      <c r="H40" s="29">
        <f>-Model!H170</f>
        <v>5783</v>
      </c>
      <c r="I40" s="29">
        <f>-Model!I170</f>
        <v>2694</v>
      </c>
      <c r="J40" s="64">
        <f>J41*-Model!J85</f>
        <v>2465.4857500000003</v>
      </c>
      <c r="K40" s="64">
        <f>K41*-Model!K85</f>
        <v>2710.7999999999997</v>
      </c>
      <c r="L40" s="64">
        <f>L41*-Model!L85</f>
        <v>2788.5</v>
      </c>
      <c r="M40" s="64">
        <f>M41*-Model!M85</f>
        <v>3135</v>
      </c>
      <c r="N40" s="64">
        <f>N41*-Model!N85</f>
        <v>3146.4</v>
      </c>
      <c r="O40" s="64">
        <f>O41*-Model!O85</f>
        <v>3573.2999999999997</v>
      </c>
    </row>
    <row r="41" spans="1:19">
      <c r="A41" s="2"/>
      <c r="B41" s="2"/>
      <c r="C41" s="71" t="s">
        <v>122</v>
      </c>
      <c r="D41" s="2"/>
      <c r="E41" s="56" t="s">
        <v>85</v>
      </c>
      <c r="F41" s="2"/>
      <c r="G41" s="72">
        <f>G40/-Model!G85</f>
        <v>7.8725051617343431E-2</v>
      </c>
      <c r="H41" s="72">
        <f>H40/-Model!H85</f>
        <v>3.5595139906195755E-2</v>
      </c>
      <c r="I41" s="72">
        <f>I40/-Model!I85</f>
        <v>2.185943103812012E-2</v>
      </c>
      <c r="J41" s="73">
        <v>2.5000000000000001E-2</v>
      </c>
      <c r="K41" s="73">
        <v>0.03</v>
      </c>
      <c r="L41" s="73">
        <v>0.03</v>
      </c>
      <c r="M41" s="73">
        <v>0.03</v>
      </c>
      <c r="N41" s="73">
        <v>0.03</v>
      </c>
      <c r="O41" s="73">
        <v>0.03</v>
      </c>
    </row>
    <row r="42" spans="1:19">
      <c r="A42" s="2"/>
      <c r="B42" s="2"/>
      <c r="C42" s="74"/>
      <c r="D42" s="2"/>
      <c r="E42" s="56"/>
      <c r="F42" s="2"/>
      <c r="G42" s="72"/>
      <c r="H42" s="72"/>
      <c r="I42" s="72"/>
      <c r="J42" s="72"/>
      <c r="K42" s="75"/>
      <c r="L42" s="75"/>
      <c r="M42" s="75"/>
      <c r="N42" s="75"/>
      <c r="O42" s="75"/>
    </row>
    <row r="43" spans="1:19">
      <c r="A43" s="2"/>
      <c r="B43" s="2"/>
      <c r="C43" s="74" t="s">
        <v>123</v>
      </c>
      <c r="D43" s="36"/>
      <c r="E43" s="56" t="s">
        <v>109</v>
      </c>
      <c r="F43" s="2"/>
      <c r="G43" s="76">
        <v>23271</v>
      </c>
      <c r="H43" s="76">
        <f>Model!H114</f>
        <v>35638</v>
      </c>
      <c r="I43" s="76">
        <f>Model!I114</f>
        <v>28434</v>
      </c>
      <c r="J43" s="64">
        <f t="shared" ref="J43:O43" si="17">I43+J40-J55</f>
        <v>26264.5628875</v>
      </c>
      <c r="K43" s="64">
        <f t="shared" si="17"/>
        <v>24521.881220750001</v>
      </c>
      <c r="L43" s="64">
        <f t="shared" si="17"/>
        <v>22927.8187995525</v>
      </c>
      <c r="M43" s="64">
        <f t="shared" si="17"/>
        <v>21646.5126811062</v>
      </c>
      <c r="N43" s="64">
        <f t="shared" si="17"/>
        <v>20746.828423684521</v>
      </c>
      <c r="O43" s="64">
        <f t="shared" si="17"/>
        <v>20580.47771881607</v>
      </c>
    </row>
    <row r="44" spans="1:19">
      <c r="A44" s="2"/>
      <c r="B44" s="2"/>
      <c r="C44" s="77"/>
      <c r="D44" s="2"/>
      <c r="E44" s="56"/>
      <c r="F44" s="2"/>
      <c r="G44" s="53"/>
      <c r="H44" s="53"/>
      <c r="I44" s="53"/>
      <c r="J44" s="53"/>
      <c r="K44" s="78"/>
      <c r="L44" s="78"/>
      <c r="M44" s="78"/>
      <c r="N44" s="78"/>
      <c r="O44" s="78"/>
    </row>
    <row r="45" spans="1:19">
      <c r="A45" s="2"/>
      <c r="B45" s="2"/>
      <c r="C45" s="28" t="s">
        <v>124</v>
      </c>
      <c r="D45" s="2"/>
      <c r="E45" s="56" t="s">
        <v>85</v>
      </c>
      <c r="F45" s="2"/>
      <c r="G45" s="79">
        <f>G48/G43</f>
        <v>0.25503845988569462</v>
      </c>
      <c r="H45" s="79">
        <f>H48/H43</f>
        <v>0.2967057635108592</v>
      </c>
      <c r="I45" s="79">
        <f>I48/I43</f>
        <v>0.36371949075050997</v>
      </c>
      <c r="J45" s="80">
        <v>0.15</v>
      </c>
      <c r="K45" s="80">
        <f>J45-1%</f>
        <v>0.13999999999999999</v>
      </c>
      <c r="L45" s="80">
        <f t="shared" ref="L45:O45" si="18">K45-1%</f>
        <v>0.12999999999999998</v>
      </c>
      <c r="M45" s="80">
        <f t="shared" si="18"/>
        <v>0.11999999999999998</v>
      </c>
      <c r="N45" s="80">
        <f t="shared" si="18"/>
        <v>0.10999999999999999</v>
      </c>
      <c r="O45" s="80">
        <f t="shared" si="18"/>
        <v>9.9999999999999992E-2</v>
      </c>
    </row>
    <row r="46" spans="1:19">
      <c r="A46" s="2"/>
      <c r="B46" s="2"/>
      <c r="C46" s="28" t="s">
        <v>125</v>
      </c>
      <c r="D46" s="2"/>
      <c r="E46" s="56" t="s">
        <v>85</v>
      </c>
      <c r="F46" s="2"/>
      <c r="G46" s="75"/>
      <c r="H46" s="75"/>
      <c r="I46" s="75"/>
      <c r="J46" s="80">
        <v>0.15</v>
      </c>
      <c r="K46" s="80">
        <v>0.15</v>
      </c>
      <c r="L46" s="80">
        <v>0.15</v>
      </c>
      <c r="M46" s="80">
        <v>0.15</v>
      </c>
      <c r="N46" s="80">
        <v>0.15</v>
      </c>
      <c r="O46" s="80">
        <v>0.15</v>
      </c>
    </row>
    <row r="47" spans="1:19">
      <c r="A47" s="2"/>
      <c r="B47" s="2"/>
      <c r="C47" s="28"/>
      <c r="D47" s="2"/>
      <c r="E47" s="56"/>
      <c r="F47" s="2"/>
      <c r="G47" s="75"/>
      <c r="H47" s="75"/>
      <c r="I47" s="75"/>
      <c r="J47" s="75"/>
      <c r="K47" s="75"/>
      <c r="L47" s="75"/>
      <c r="M47" s="75"/>
      <c r="N47" s="75"/>
      <c r="O47" s="75"/>
    </row>
    <row r="48" spans="1:19">
      <c r="A48" s="2"/>
      <c r="B48" s="2"/>
      <c r="C48" s="28" t="s">
        <v>126</v>
      </c>
      <c r="D48" s="2"/>
      <c r="E48" s="56" t="s">
        <v>109</v>
      </c>
      <c r="F48" s="2"/>
      <c r="G48" s="81">
        <f>Model!G148</f>
        <v>5935</v>
      </c>
      <c r="H48" s="81">
        <f>Model!H148</f>
        <v>10574</v>
      </c>
      <c r="I48" s="81">
        <f>Model!I148</f>
        <v>10342</v>
      </c>
      <c r="J48" s="82">
        <f t="shared" ref="J48:O48" si="19">I43*J45</f>
        <v>4265.0999999999995</v>
      </c>
      <c r="K48" s="82">
        <f t="shared" si="19"/>
        <v>3677.0388042499994</v>
      </c>
      <c r="L48" s="82">
        <f t="shared" si="19"/>
        <v>3187.8445586974995</v>
      </c>
      <c r="M48" s="82">
        <f t="shared" si="19"/>
        <v>2751.3382559462998</v>
      </c>
      <c r="N48" s="82">
        <f t="shared" si="19"/>
        <v>2381.1163949216816</v>
      </c>
      <c r="O48" s="82">
        <f t="shared" si="19"/>
        <v>2074.6828423684519</v>
      </c>
    </row>
    <row r="49" spans="1:15">
      <c r="A49" s="2"/>
      <c r="B49" s="2"/>
      <c r="C49" s="28" t="s">
        <v>127</v>
      </c>
      <c r="D49" s="2"/>
      <c r="E49" s="56" t="s">
        <v>109</v>
      </c>
      <c r="F49" s="2"/>
      <c r="J49" s="34">
        <f>$J$40*J46</f>
        <v>369.82286250000004</v>
      </c>
      <c r="K49" s="34">
        <f t="shared" ref="K49:O49" si="20">$J$40*K46</f>
        <v>369.82286250000004</v>
      </c>
      <c r="L49" s="34">
        <f t="shared" si="20"/>
        <v>369.82286250000004</v>
      </c>
      <c r="M49" s="34">
        <f t="shared" si="20"/>
        <v>369.82286250000004</v>
      </c>
      <c r="N49" s="34">
        <f t="shared" si="20"/>
        <v>369.82286250000004</v>
      </c>
      <c r="O49" s="34">
        <f t="shared" si="20"/>
        <v>369.82286250000004</v>
      </c>
    </row>
    <row r="50" spans="1:15">
      <c r="A50" s="2"/>
      <c r="B50" s="2"/>
      <c r="C50" s="28" t="s">
        <v>128</v>
      </c>
      <c r="D50" s="2"/>
      <c r="E50" s="56" t="s">
        <v>109</v>
      </c>
      <c r="F50" s="2"/>
      <c r="G50" s="2"/>
      <c r="H50" s="2"/>
      <c r="I50" s="2"/>
      <c r="J50" s="2"/>
      <c r="K50" s="34">
        <f>$K$40*J46</f>
        <v>406.61999999999995</v>
      </c>
      <c r="L50" s="34">
        <f t="shared" ref="L50:O50" si="21">$K$40*K46</f>
        <v>406.61999999999995</v>
      </c>
      <c r="M50" s="34">
        <f t="shared" si="21"/>
        <v>406.61999999999995</v>
      </c>
      <c r="N50" s="34">
        <f t="shared" si="21"/>
        <v>406.61999999999995</v>
      </c>
      <c r="O50" s="34">
        <f t="shared" si="21"/>
        <v>406.61999999999995</v>
      </c>
    </row>
    <row r="51" spans="1:15">
      <c r="A51" s="2"/>
      <c r="B51" s="2"/>
      <c r="C51" s="28" t="s">
        <v>129</v>
      </c>
      <c r="D51" s="2"/>
      <c r="E51" s="56" t="s">
        <v>109</v>
      </c>
      <c r="F51" s="2"/>
      <c r="G51" s="2"/>
      <c r="H51" s="2"/>
      <c r="I51" s="2"/>
      <c r="J51" s="2"/>
      <c r="L51" s="34">
        <f>$L$40*J46</f>
        <v>418.27499999999998</v>
      </c>
      <c r="M51" s="34">
        <f t="shared" ref="M51:O51" si="22">$L$40*K46</f>
        <v>418.27499999999998</v>
      </c>
      <c r="N51" s="34">
        <f t="shared" si="22"/>
        <v>418.27499999999998</v>
      </c>
      <c r="O51" s="34">
        <f t="shared" si="22"/>
        <v>418.27499999999998</v>
      </c>
    </row>
    <row r="52" spans="1:15">
      <c r="A52" s="2"/>
      <c r="B52" s="2"/>
      <c r="C52" s="28" t="s">
        <v>130</v>
      </c>
      <c r="D52" s="2"/>
      <c r="E52" s="56" t="s">
        <v>109</v>
      </c>
      <c r="F52" s="2"/>
      <c r="G52" s="2"/>
      <c r="H52" s="2"/>
      <c r="I52" s="2"/>
      <c r="J52" s="2"/>
      <c r="M52" s="34">
        <f>$M$40*J46</f>
        <v>470.25</v>
      </c>
      <c r="N52" s="34">
        <f t="shared" ref="N52:O52" si="23">$M$40*K46</f>
        <v>470.25</v>
      </c>
      <c r="O52" s="34">
        <f t="shared" si="23"/>
        <v>470.25</v>
      </c>
    </row>
    <row r="53" spans="1:15">
      <c r="A53" s="2"/>
      <c r="B53" s="2"/>
      <c r="C53" s="28" t="s">
        <v>131</v>
      </c>
      <c r="D53" s="2"/>
      <c r="E53" s="56" t="s">
        <v>109</v>
      </c>
      <c r="F53" s="2"/>
      <c r="G53" s="2"/>
      <c r="H53" s="2"/>
      <c r="I53" s="2"/>
      <c r="J53" s="2"/>
      <c r="N53" s="34">
        <f>$N$40*J46</f>
        <v>471.96</v>
      </c>
      <c r="O53" s="34">
        <f>$N$40*K46</f>
        <v>471.96</v>
      </c>
    </row>
    <row r="54" spans="1:15">
      <c r="A54" s="2"/>
      <c r="B54" s="2"/>
      <c r="C54" s="28" t="s">
        <v>132</v>
      </c>
      <c r="D54" s="2"/>
      <c r="E54" s="56" t="s">
        <v>109</v>
      </c>
      <c r="F54" s="2"/>
      <c r="G54" s="68"/>
      <c r="H54" s="68"/>
      <c r="I54" s="68"/>
      <c r="J54" s="68"/>
      <c r="K54" s="62"/>
      <c r="L54" s="62"/>
      <c r="M54" s="62"/>
      <c r="N54" s="62"/>
      <c r="O54" s="62">
        <f>$O$40*J46</f>
        <v>535.99499999999989</v>
      </c>
    </row>
    <row r="55" spans="1:15">
      <c r="A55" s="2"/>
      <c r="B55" s="2"/>
      <c r="C55" s="83" t="s">
        <v>133</v>
      </c>
      <c r="D55" s="2"/>
      <c r="E55" s="66" t="s">
        <v>109</v>
      </c>
      <c r="F55" s="2"/>
      <c r="G55" s="33">
        <f t="shared" ref="G55:O55" si="24">SUM(G48:G52)</f>
        <v>5935</v>
      </c>
      <c r="H55" s="33">
        <f t="shared" si="24"/>
        <v>10574</v>
      </c>
      <c r="I55" s="33">
        <f t="shared" si="24"/>
        <v>10342</v>
      </c>
      <c r="J55" s="33">
        <f t="shared" si="24"/>
        <v>4634.9228624999996</v>
      </c>
      <c r="K55" s="33">
        <f t="shared" si="24"/>
        <v>4453.4816667499999</v>
      </c>
      <c r="L55" s="33">
        <f t="shared" si="24"/>
        <v>4382.5624211974991</v>
      </c>
      <c r="M55" s="33">
        <f t="shared" si="24"/>
        <v>4416.3061184463004</v>
      </c>
      <c r="N55" s="33">
        <f t="shared" si="24"/>
        <v>4046.0842574216817</v>
      </c>
      <c r="O55" s="33">
        <f t="shared" si="24"/>
        <v>3739.6507048684521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92FF5-5812-47E4-B644-6120FB16B615}">
  <dimension ref="B1:T96"/>
  <sheetViews>
    <sheetView showGridLines="0" tabSelected="1" topLeftCell="A28" zoomScale="53" workbookViewId="0">
      <selection activeCell="C54" sqref="C54:E58"/>
    </sheetView>
  </sheetViews>
  <sheetFormatPr defaultRowHeight="16"/>
  <cols>
    <col min="2" max="2" width="8.7265625" style="2"/>
    <col min="3" max="3" width="37.08984375" style="2" customWidth="1"/>
    <col min="4" max="7" width="8.7265625" style="2"/>
    <col min="8" max="16" width="12.08984375" style="2" bestFit="1" customWidth="1"/>
    <col min="17" max="17" width="13.81640625" style="2" bestFit="1" customWidth="1"/>
    <col min="18" max="19" width="8.7265625" style="2"/>
  </cols>
  <sheetData>
    <row r="1" spans="2:20" ht="14.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</row>
    <row r="2" spans="2:20">
      <c r="B2" s="3"/>
      <c r="C2" s="3"/>
      <c r="D2" s="3"/>
      <c r="E2" s="3"/>
      <c r="F2" s="3"/>
      <c r="G2" s="3"/>
      <c r="H2" s="4"/>
      <c r="I2" s="5" t="s">
        <v>70</v>
      </c>
      <c r="J2" s="4"/>
      <c r="K2" s="6"/>
      <c r="L2" s="4"/>
      <c r="M2" s="5" t="s">
        <v>71</v>
      </c>
      <c r="N2" s="4"/>
      <c r="O2" s="4"/>
      <c r="P2" s="4"/>
      <c r="Q2" s="4"/>
      <c r="S2"/>
    </row>
    <row r="3" spans="2:20">
      <c r="B3" s="7" t="str">
        <f>Company_Name&amp;" - Discounted Cash Flow Analysis"</f>
        <v>Butterfly Network, inc. - Discounted Cash Flow Analysis</v>
      </c>
      <c r="C3" s="3"/>
      <c r="D3" s="3"/>
      <c r="E3" s="8" t="s">
        <v>72</v>
      </c>
      <c r="F3" s="9"/>
      <c r="G3" s="9"/>
      <c r="H3" s="10">
        <v>44926</v>
      </c>
      <c r="I3" s="10">
        <v>45291</v>
      </c>
      <c r="J3" s="10">
        <v>45657</v>
      </c>
      <c r="K3" s="89">
        <v>46022</v>
      </c>
      <c r="L3" s="10">
        <v>46387</v>
      </c>
      <c r="M3" s="90">
        <v>46752</v>
      </c>
      <c r="N3" s="10">
        <v>47118</v>
      </c>
      <c r="O3" s="10">
        <v>47483</v>
      </c>
      <c r="P3" s="10">
        <v>47848</v>
      </c>
      <c r="Q3" s="10"/>
      <c r="R3" s="46"/>
      <c r="S3"/>
    </row>
    <row r="4" spans="2:20">
      <c r="B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</row>
    <row r="5" spans="2:20">
      <c r="B5" s="45"/>
      <c r="C5" s="91"/>
      <c r="D5" s="45"/>
      <c r="E5" s="92" t="s">
        <v>143</v>
      </c>
      <c r="F5" s="45"/>
      <c r="G5" s="93" t="s">
        <v>153</v>
      </c>
      <c r="I5" s="96" t="s">
        <v>145</v>
      </c>
      <c r="J5" s="96"/>
      <c r="K5" s="96"/>
      <c r="L5" s="96"/>
      <c r="N5" s="96" t="s">
        <v>146</v>
      </c>
      <c r="O5" s="96"/>
      <c r="P5" s="96"/>
      <c r="Q5" s="96"/>
    </row>
    <row r="6" spans="2:20">
      <c r="B6" s="45"/>
      <c r="C6" s="91"/>
      <c r="D6" s="45"/>
      <c r="E6" s="92"/>
      <c r="F6" s="45"/>
      <c r="G6" s="94"/>
      <c r="I6" s="21"/>
      <c r="J6" s="21"/>
      <c r="K6" s="21"/>
      <c r="L6" s="21"/>
      <c r="N6" s="21"/>
      <c r="O6" s="21"/>
      <c r="P6" s="21"/>
      <c r="Q6" s="21"/>
    </row>
    <row r="7" spans="2:20">
      <c r="B7" s="45"/>
      <c r="C7" s="2" t="s">
        <v>73</v>
      </c>
      <c r="E7" s="12" t="s">
        <v>74</v>
      </c>
      <c r="G7" s="13" t="str">
        <f>Company_Name</f>
        <v>Butterfly Network, inc.</v>
      </c>
      <c r="H7" s="95"/>
      <c r="I7" s="21" t="s">
        <v>147</v>
      </c>
      <c r="J7" s="21"/>
      <c r="K7" s="21"/>
      <c r="L7" s="99">
        <f>PubComps!S36</f>
        <v>11.704419790869675</v>
      </c>
      <c r="N7" s="21" t="s">
        <v>148</v>
      </c>
      <c r="O7" s="21"/>
      <c r="P7" s="21"/>
      <c r="Q7" s="100">
        <v>1.4999999999999999E-2</v>
      </c>
    </row>
    <row r="8" spans="2:20">
      <c r="B8" s="45"/>
      <c r="C8" s="2" t="s">
        <v>76</v>
      </c>
      <c r="E8" s="12" t="s">
        <v>74</v>
      </c>
      <c r="G8" s="19" t="str">
        <f>Ticker</f>
        <v>BFLY</v>
      </c>
      <c r="H8" s="21"/>
      <c r="I8" s="21" t="s">
        <v>149</v>
      </c>
      <c r="J8" s="21"/>
      <c r="K8" s="21"/>
      <c r="L8" s="99" t="str">
        <f>PubComps!S40</f>
        <v>NM</v>
      </c>
      <c r="N8" s="21"/>
      <c r="O8" s="21"/>
      <c r="P8" s="21"/>
      <c r="Q8" s="21"/>
    </row>
    <row r="9" spans="2:20">
      <c r="B9" s="45"/>
      <c r="C9" s="2" t="s">
        <v>78</v>
      </c>
      <c r="E9" s="12" t="s">
        <v>79</v>
      </c>
      <c r="G9" s="20">
        <v>3.79</v>
      </c>
      <c r="H9" s="97"/>
      <c r="I9" s="21"/>
      <c r="J9" s="21"/>
      <c r="K9" s="21"/>
      <c r="L9" s="102"/>
      <c r="N9" s="21"/>
      <c r="O9" s="21"/>
      <c r="P9" s="21"/>
      <c r="Q9" s="21"/>
    </row>
    <row r="10" spans="2:20">
      <c r="B10" s="45"/>
      <c r="C10" s="21" t="s">
        <v>81</v>
      </c>
      <c r="E10" s="12" t="s">
        <v>82</v>
      </c>
      <c r="G10" s="98">
        <f>Diluted</f>
        <v>227.39</v>
      </c>
      <c r="H10" s="21"/>
      <c r="I10" s="21" t="s">
        <v>150</v>
      </c>
      <c r="J10" s="21"/>
      <c r="K10" s="104"/>
      <c r="L10" s="105">
        <f>INDEX(L11:L13,MATCH(Scenario,I11:I13,0),1)</f>
        <v>9</v>
      </c>
      <c r="N10" s="21" t="s">
        <v>151</v>
      </c>
      <c r="O10" s="21"/>
      <c r="P10" s="21"/>
      <c r="Q10" s="23">
        <f>INDEX(Q11:Q13,MATCH(Scenario,N11:N13,0),1)</f>
        <v>0.01</v>
      </c>
      <c r="T10" s="101"/>
    </row>
    <row r="11" spans="2:20">
      <c r="B11" s="45"/>
      <c r="C11" s="21"/>
      <c r="E11" s="21"/>
      <c r="G11" s="21"/>
      <c r="H11" s="21"/>
      <c r="I11" s="2" t="s">
        <v>152</v>
      </c>
      <c r="J11" s="21"/>
      <c r="K11" s="104"/>
      <c r="L11" s="107">
        <v>11</v>
      </c>
      <c r="N11" s="2" t="s">
        <v>152</v>
      </c>
      <c r="O11" s="21"/>
      <c r="P11" s="21"/>
      <c r="Q11" s="100">
        <v>0.02</v>
      </c>
    </row>
    <row r="12" spans="2:20">
      <c r="B12" s="45"/>
      <c r="C12" s="21" t="s">
        <v>84</v>
      </c>
      <c r="E12" s="12" t="s">
        <v>85</v>
      </c>
      <c r="G12" s="23">
        <f>Tax_Rate</f>
        <v>0.12</v>
      </c>
      <c r="H12" s="21"/>
      <c r="I12" s="2" t="s">
        <v>144</v>
      </c>
      <c r="J12" s="21"/>
      <c r="K12" s="104"/>
      <c r="L12" s="107">
        <v>10</v>
      </c>
      <c r="N12" s="2" t="s">
        <v>144</v>
      </c>
      <c r="O12" s="21"/>
      <c r="P12" s="21"/>
      <c r="Q12" s="100">
        <v>1.4999999999999999E-2</v>
      </c>
    </row>
    <row r="13" spans="2:20">
      <c r="B13" s="45"/>
      <c r="C13" s="21" t="s">
        <v>86</v>
      </c>
      <c r="E13" s="12" t="s">
        <v>85</v>
      </c>
      <c r="G13" s="103">
        <f>WACC!L40</f>
        <v>0.10883791648500157</v>
      </c>
      <c r="H13" s="21"/>
      <c r="I13" s="2" t="s">
        <v>153</v>
      </c>
      <c r="J13" s="21"/>
      <c r="K13" s="104"/>
      <c r="L13" s="107">
        <v>9</v>
      </c>
      <c r="N13" s="2" t="s">
        <v>153</v>
      </c>
      <c r="O13" s="21"/>
      <c r="P13" s="21"/>
      <c r="Q13" s="100">
        <v>0.01</v>
      </c>
    </row>
    <row r="14" spans="2:20">
      <c r="B14" s="45"/>
      <c r="C14" s="21"/>
      <c r="E14" s="12"/>
      <c r="G14" s="106"/>
      <c r="H14" s="21"/>
      <c r="I14" s="21"/>
      <c r="J14" s="21"/>
      <c r="K14" s="104"/>
      <c r="L14" s="108"/>
      <c r="N14" s="21"/>
      <c r="O14" s="21"/>
      <c r="P14" s="21"/>
      <c r="Q14" s="78"/>
    </row>
    <row r="15" spans="2:20">
      <c r="B15" s="45"/>
      <c r="C15" s="21"/>
      <c r="E15" s="12"/>
      <c r="G15" s="106"/>
      <c r="H15" s="21"/>
      <c r="I15" s="21"/>
      <c r="J15" s="21"/>
      <c r="K15" s="104"/>
      <c r="L15" s="108"/>
      <c r="N15" s="21"/>
      <c r="O15" s="21"/>
      <c r="P15" s="21"/>
      <c r="Q15" s="78"/>
    </row>
    <row r="16" spans="2:20">
      <c r="B16" s="45"/>
      <c r="C16" s="21"/>
      <c r="E16" s="12"/>
      <c r="G16" s="106"/>
      <c r="H16" s="21"/>
      <c r="I16" s="21" t="s">
        <v>154</v>
      </c>
      <c r="J16" s="21"/>
      <c r="K16" s="21"/>
      <c r="L16" s="110">
        <f>L10*(P62/Units)</f>
        <v>903.80545750703789</v>
      </c>
      <c r="N16" s="21" t="s">
        <v>154</v>
      </c>
      <c r="O16" s="21"/>
      <c r="P16" s="21"/>
      <c r="Q16" s="111">
        <f>(+P60*(1+Terminal_Growth_Rate)/(Discount_Rate-Q10)*(1+Discount_Rate)^0.5)/Units</f>
        <v>1326.9553632569225</v>
      </c>
    </row>
    <row r="17" spans="2:17">
      <c r="B17" s="45"/>
      <c r="C17" s="21"/>
      <c r="E17" s="12"/>
      <c r="G17" s="106"/>
      <c r="H17" s="21"/>
      <c r="I17" s="21" t="s">
        <v>156</v>
      </c>
      <c r="J17" s="21"/>
      <c r="K17" s="21"/>
      <c r="L17" s="116">
        <f>(O62*(1+Discount_Rate)^0.5*Discount_Rate - L16) / (O62*(1+Discount_Rate)^0.5 + L16)</f>
        <v>9.5681891375038769E-2</v>
      </c>
      <c r="N17" s="21" t="s">
        <v>157</v>
      </c>
      <c r="O17" s="21"/>
      <c r="P17" s="21"/>
      <c r="Q17" s="117">
        <f>Q16/(O62/Units)</f>
        <v>18.563317744053744</v>
      </c>
    </row>
    <row r="18" spans="2:17">
      <c r="B18" s="45"/>
      <c r="C18" s="21"/>
      <c r="E18" s="12"/>
      <c r="G18" s="106"/>
      <c r="H18" s="21"/>
      <c r="I18" s="21"/>
      <c r="J18" s="21"/>
      <c r="K18" s="21"/>
      <c r="L18" s="21"/>
      <c r="N18" s="21"/>
      <c r="O18" s="21"/>
      <c r="P18" s="21"/>
      <c r="Q18" s="21"/>
    </row>
    <row r="19" spans="2:17">
      <c r="B19" s="45"/>
      <c r="C19" s="21"/>
      <c r="E19" s="12"/>
      <c r="G19" s="109"/>
      <c r="H19" s="21"/>
      <c r="I19" s="118" t="s">
        <v>160</v>
      </c>
      <c r="J19" s="21"/>
      <c r="K19" s="104"/>
      <c r="L19" s="119">
        <f>L16/((1+Discount_Rate)^5)</f>
        <v>539.18104831437472</v>
      </c>
      <c r="N19" s="118" t="s">
        <v>160</v>
      </c>
      <c r="O19" s="21"/>
      <c r="P19" s="104"/>
      <c r="Q19" s="120">
        <f>Q16/((1+Discount_Rate)^5)</f>
        <v>791.61856999704833</v>
      </c>
    </row>
    <row r="20" spans="2:17">
      <c r="B20" s="45"/>
      <c r="C20" s="112" t="s">
        <v>155</v>
      </c>
      <c r="D20" s="113"/>
      <c r="E20" s="114"/>
      <c r="F20" s="113"/>
      <c r="G20" s="115">
        <f>$G$9*$G$10</f>
        <v>861.80809999999997</v>
      </c>
      <c r="H20" s="21"/>
      <c r="I20" s="121" t="s">
        <v>162</v>
      </c>
      <c r="J20" s="122"/>
      <c r="K20" s="122"/>
      <c r="L20" s="123">
        <f>NPV(Discount_Rate,L60:P60)/Units</f>
        <v>187.19540889740443</v>
      </c>
      <c r="N20" s="121" t="s">
        <v>162</v>
      </c>
      <c r="O20" s="122"/>
      <c r="P20" s="122"/>
      <c r="Q20" s="123">
        <f>NPV(Discount_Rate,L60:P60)/Units</f>
        <v>187.19540889740443</v>
      </c>
    </row>
    <row r="21" spans="2:17">
      <c r="B21" s="45"/>
      <c r="C21" s="118" t="s">
        <v>158</v>
      </c>
      <c r="E21" s="12"/>
      <c r="G21" s="86">
        <f>-Model!I108/Units</f>
        <v>-88.775000000000006</v>
      </c>
      <c r="H21" s="21"/>
      <c r="I21" s="124" t="s">
        <v>164</v>
      </c>
      <c r="J21" s="125"/>
      <c r="K21" s="125"/>
      <c r="L21" s="126">
        <f>SUM(L19:L20)</f>
        <v>726.3764572117791</v>
      </c>
      <c r="N21" s="124" t="s">
        <v>164</v>
      </c>
      <c r="O21" s="125"/>
      <c r="P21" s="125"/>
      <c r="Q21" s="126">
        <f>SUM(Q19:Q20)</f>
        <v>978.8139788944527</v>
      </c>
    </row>
    <row r="22" spans="2:17">
      <c r="B22" s="45"/>
      <c r="C22" s="118" t="s">
        <v>159</v>
      </c>
      <c r="E22" s="12"/>
      <c r="G22" s="86">
        <v>0</v>
      </c>
      <c r="H22" s="21"/>
      <c r="I22" s="118"/>
      <c r="J22" s="21"/>
      <c r="K22" s="21"/>
      <c r="L22" s="69"/>
      <c r="N22" s="118"/>
      <c r="O22" s="21"/>
      <c r="P22" s="21"/>
      <c r="Q22" s="69"/>
    </row>
    <row r="23" spans="2:17">
      <c r="B23" s="45"/>
      <c r="C23" s="118" t="s">
        <v>161</v>
      </c>
      <c r="E23" s="12"/>
      <c r="G23" s="86">
        <v>0</v>
      </c>
      <c r="H23" s="21"/>
      <c r="I23" s="127" t="s">
        <v>167</v>
      </c>
      <c r="J23" s="21"/>
      <c r="K23" s="21"/>
      <c r="L23" s="128">
        <f>L20/L19</f>
        <v>0.34718469701898413</v>
      </c>
      <c r="N23" s="127" t="s">
        <v>167</v>
      </c>
      <c r="O23" s="21"/>
      <c r="P23" s="21"/>
      <c r="Q23" s="128">
        <f>Q20/Q19</f>
        <v>0.23647172513664305</v>
      </c>
    </row>
    <row r="24" spans="2:17">
      <c r="B24" s="45"/>
      <c r="C24" s="118" t="s">
        <v>163</v>
      </c>
      <c r="E24" s="12"/>
      <c r="G24" s="86">
        <v>0</v>
      </c>
      <c r="H24" s="21"/>
      <c r="I24" s="21"/>
      <c r="J24" s="21"/>
      <c r="K24" s="21"/>
      <c r="L24" s="21"/>
      <c r="N24" s="21"/>
      <c r="O24" s="21"/>
      <c r="P24" s="21"/>
      <c r="Q24" s="21"/>
    </row>
    <row r="25" spans="2:17">
      <c r="B25" s="45"/>
      <c r="C25" s="118" t="s">
        <v>165</v>
      </c>
      <c r="E25" s="12"/>
      <c r="G25" s="86">
        <v>0</v>
      </c>
      <c r="H25" s="21"/>
      <c r="I25" s="21" t="s">
        <v>170</v>
      </c>
      <c r="J25" s="21"/>
      <c r="K25" s="21"/>
      <c r="L25" s="131">
        <f t="shared" ref="L25:L31" si="0">-G21</f>
        <v>88.775000000000006</v>
      </c>
      <c r="N25" s="21" t="s">
        <v>170</v>
      </c>
      <c r="O25" s="21"/>
      <c r="P25" s="21"/>
      <c r="Q25" s="131">
        <f>L25</f>
        <v>88.775000000000006</v>
      </c>
    </row>
    <row r="26" spans="2:17">
      <c r="B26" s="45"/>
      <c r="C26" s="118" t="s">
        <v>166</v>
      </c>
      <c r="E26" s="12"/>
      <c r="G26" s="86">
        <v>0</v>
      </c>
      <c r="H26" s="21"/>
      <c r="I26" s="132" t="s">
        <v>171</v>
      </c>
      <c r="J26" s="21"/>
      <c r="K26" s="21"/>
      <c r="L26" s="131">
        <f t="shared" si="0"/>
        <v>0</v>
      </c>
      <c r="N26" s="132" t="s">
        <v>171</v>
      </c>
      <c r="O26" s="21"/>
      <c r="P26" s="21"/>
      <c r="Q26" s="131">
        <f t="shared" ref="Q26:Q31" si="1">L26</f>
        <v>0</v>
      </c>
    </row>
    <row r="27" spans="2:17">
      <c r="B27" s="45"/>
      <c r="C27" s="118" t="s">
        <v>168</v>
      </c>
      <c r="E27" s="12"/>
      <c r="G27" s="86">
        <v>0</v>
      </c>
      <c r="H27" s="21"/>
      <c r="I27" s="132" t="s">
        <v>172</v>
      </c>
      <c r="J27" s="21"/>
      <c r="K27" s="21"/>
      <c r="L27" s="131">
        <f t="shared" si="0"/>
        <v>0</v>
      </c>
      <c r="N27" s="132" t="s">
        <v>172</v>
      </c>
      <c r="O27" s="21"/>
      <c r="P27" s="21"/>
      <c r="Q27" s="131">
        <f t="shared" si="1"/>
        <v>0</v>
      </c>
    </row>
    <row r="28" spans="2:17">
      <c r="B28" s="45"/>
      <c r="C28" s="129" t="s">
        <v>169</v>
      </c>
      <c r="D28" s="129"/>
      <c r="E28" s="129"/>
      <c r="F28" s="129"/>
      <c r="G28" s="130">
        <f>SUM($G$20:$G$27)</f>
        <v>773.03309999999999</v>
      </c>
      <c r="H28" s="21"/>
      <c r="I28" s="132" t="s">
        <v>173</v>
      </c>
      <c r="J28" s="21"/>
      <c r="K28" s="21"/>
      <c r="L28" s="131">
        <f t="shared" si="0"/>
        <v>0</v>
      </c>
      <c r="N28" s="132" t="s">
        <v>173</v>
      </c>
      <c r="O28" s="21"/>
      <c r="P28" s="21"/>
      <c r="Q28" s="131">
        <f t="shared" si="1"/>
        <v>0</v>
      </c>
    </row>
    <row r="29" spans="2:17">
      <c r="B29" s="45"/>
      <c r="C29" s="21"/>
      <c r="E29" s="12"/>
      <c r="G29" s="109"/>
      <c r="H29" s="21"/>
      <c r="I29" s="132" t="s">
        <v>174</v>
      </c>
      <c r="J29" s="21"/>
      <c r="K29" s="21"/>
      <c r="L29" s="131">
        <f t="shared" si="0"/>
        <v>0</v>
      </c>
      <c r="N29" s="132" t="s">
        <v>174</v>
      </c>
      <c r="O29" s="21"/>
      <c r="P29" s="21"/>
      <c r="Q29" s="131">
        <f t="shared" si="1"/>
        <v>0</v>
      </c>
    </row>
    <row r="30" spans="2:17">
      <c r="B30" s="45"/>
      <c r="C30" s="21"/>
      <c r="E30" s="12"/>
      <c r="G30" s="109"/>
      <c r="H30" s="21"/>
      <c r="I30" s="132" t="s">
        <v>175</v>
      </c>
      <c r="J30" s="21"/>
      <c r="K30" s="21"/>
      <c r="L30" s="131">
        <f t="shared" si="0"/>
        <v>0</v>
      </c>
      <c r="N30" s="132" t="s">
        <v>175</v>
      </c>
      <c r="O30" s="21"/>
      <c r="P30" s="21"/>
      <c r="Q30" s="131">
        <f t="shared" si="1"/>
        <v>0</v>
      </c>
    </row>
    <row r="31" spans="2:17">
      <c r="B31" s="45"/>
      <c r="C31" s="21"/>
      <c r="E31" s="12"/>
      <c r="G31" s="109"/>
      <c r="H31" s="21"/>
      <c r="I31" s="132" t="s">
        <v>176</v>
      </c>
      <c r="J31" s="21"/>
      <c r="K31" s="21"/>
      <c r="L31" s="131">
        <f t="shared" si="0"/>
        <v>0</v>
      </c>
      <c r="N31" s="132" t="s">
        <v>176</v>
      </c>
      <c r="O31" s="21"/>
      <c r="P31" s="21"/>
      <c r="Q31" s="131">
        <f t="shared" si="1"/>
        <v>0</v>
      </c>
    </row>
    <row r="32" spans="2:17">
      <c r="B32" s="45"/>
      <c r="C32" s="21"/>
      <c r="E32" s="12"/>
      <c r="G32" s="109"/>
      <c r="H32" s="21"/>
      <c r="I32" s="118"/>
      <c r="J32" s="21"/>
      <c r="K32" s="21"/>
      <c r="L32" s="133"/>
      <c r="N32" s="118"/>
      <c r="O32" s="21"/>
      <c r="P32" s="21"/>
      <c r="Q32" s="69"/>
    </row>
    <row r="33" spans="2:20">
      <c r="B33" s="45"/>
      <c r="C33" s="21"/>
      <c r="E33" s="12"/>
      <c r="G33" s="109"/>
      <c r="H33" s="21"/>
      <c r="I33" s="134" t="s">
        <v>177</v>
      </c>
      <c r="J33" s="135"/>
      <c r="K33" s="135"/>
      <c r="L33" s="136">
        <f>L21+SUM(L25:L31)</f>
        <v>815.15145721177907</v>
      </c>
      <c r="N33" s="134" t="s">
        <v>177</v>
      </c>
      <c r="O33" s="135"/>
      <c r="P33" s="135"/>
      <c r="Q33" s="136">
        <f>SUM(Q21:Q32)</f>
        <v>1067.8254506195894</v>
      </c>
    </row>
    <row r="34" spans="2:20">
      <c r="B34" s="45"/>
      <c r="C34" s="21"/>
      <c r="E34" s="12"/>
      <c r="G34" s="109"/>
      <c r="H34" s="21"/>
      <c r="I34" s="137"/>
      <c r="J34" s="21"/>
      <c r="K34" s="21"/>
      <c r="L34" s="138"/>
      <c r="N34" s="137"/>
      <c r="O34" s="21"/>
      <c r="P34" s="21"/>
      <c r="Q34" s="138"/>
    </row>
    <row r="35" spans="2:20">
      <c r="B35" s="45"/>
      <c r="C35" s="21"/>
      <c r="E35" s="12"/>
      <c r="G35" s="109"/>
      <c r="H35" s="21"/>
      <c r="I35" s="21" t="s">
        <v>81</v>
      </c>
      <c r="J35" s="21"/>
      <c r="K35" s="21"/>
      <c r="L35" s="139">
        <f>_xlfn.SINGLE(Diluted)</f>
        <v>227.39</v>
      </c>
      <c r="N35" s="21" t="s">
        <v>81</v>
      </c>
      <c r="O35" s="21"/>
      <c r="P35" s="21"/>
      <c r="Q35" s="139">
        <f>_xlfn.SINGLE(Diluted)</f>
        <v>227.39</v>
      </c>
    </row>
    <row r="36" spans="2:20">
      <c r="B36" s="45"/>
      <c r="C36" s="21"/>
      <c r="E36" s="12"/>
      <c r="G36" s="109"/>
      <c r="H36" s="21"/>
      <c r="I36" s="21"/>
      <c r="J36" s="21"/>
      <c r="K36" s="21"/>
      <c r="L36" s="34"/>
      <c r="N36" s="21"/>
      <c r="O36" s="21"/>
      <c r="P36" s="21"/>
      <c r="Q36" s="34"/>
    </row>
    <row r="37" spans="2:20">
      <c r="B37" s="45"/>
      <c r="C37" s="21"/>
      <c r="E37" s="12"/>
      <c r="G37" s="109"/>
      <c r="H37" s="21"/>
      <c r="I37" s="140" t="s">
        <v>178</v>
      </c>
      <c r="J37" s="141"/>
      <c r="K37" s="141"/>
      <c r="L37" s="142">
        <f>L33/L35</f>
        <v>3.5848166463423157</v>
      </c>
      <c r="N37" s="140" t="s">
        <v>178</v>
      </c>
      <c r="O37" s="141"/>
      <c r="P37" s="141"/>
      <c r="Q37" s="142">
        <f>Q33/Q35</f>
        <v>4.6960088421636375</v>
      </c>
      <c r="T37" s="619"/>
    </row>
    <row r="38" spans="2:20">
      <c r="B38" s="45"/>
      <c r="C38" s="21"/>
      <c r="E38" s="12"/>
      <c r="G38" s="109"/>
      <c r="H38" s="21"/>
      <c r="I38" s="143" t="s">
        <v>179</v>
      </c>
      <c r="J38" s="144"/>
      <c r="K38" s="144"/>
      <c r="L38" s="145">
        <f>L37/G9-1</f>
        <v>-5.4138088036328358E-2</v>
      </c>
      <c r="N38" s="143" t="s">
        <v>179</v>
      </c>
      <c r="O38" s="144"/>
      <c r="P38" s="144"/>
      <c r="Q38" s="145">
        <f>Q37/G9-1</f>
        <v>0.23905246495082788</v>
      </c>
    </row>
    <row r="39" spans="2:20">
      <c r="B39" s="45"/>
      <c r="C39" s="21"/>
      <c r="E39" s="12"/>
      <c r="G39" s="109"/>
      <c r="H39" s="21"/>
    </row>
    <row r="40" spans="2:20">
      <c r="B40" s="3"/>
      <c r="C40" s="3"/>
      <c r="D40" s="3"/>
      <c r="E40" s="3"/>
      <c r="F40" s="3"/>
      <c r="G40" s="3"/>
      <c r="H40" s="4"/>
      <c r="I40" s="5" t="s">
        <v>70</v>
      </c>
      <c r="J40" s="4"/>
      <c r="K40" s="6"/>
      <c r="L40" s="4"/>
      <c r="M40" s="5" t="s">
        <v>71</v>
      </c>
      <c r="N40" s="4"/>
      <c r="O40" s="4"/>
      <c r="P40" s="4"/>
      <c r="Q40" s="4"/>
      <c r="S40"/>
    </row>
    <row r="41" spans="2:20">
      <c r="B41" s="7" t="str">
        <f>Company_Name&amp;" - Free Cash Flow Calculation"</f>
        <v>Butterfly Network, inc. - Free Cash Flow Calculation</v>
      </c>
      <c r="C41" s="3"/>
      <c r="D41" s="3"/>
      <c r="E41" s="8" t="s">
        <v>72</v>
      </c>
      <c r="F41" s="9"/>
      <c r="G41" s="9"/>
      <c r="H41" s="10">
        <v>44926</v>
      </c>
      <c r="I41" s="10">
        <v>45291</v>
      </c>
      <c r="J41" s="10">
        <v>45657</v>
      </c>
      <c r="K41" s="89">
        <v>46022</v>
      </c>
      <c r="L41" s="10">
        <v>46387</v>
      </c>
      <c r="M41" s="90">
        <v>46752</v>
      </c>
      <c r="N41" s="10">
        <v>47118</v>
      </c>
      <c r="O41" s="10">
        <v>47483</v>
      </c>
      <c r="P41" s="10">
        <v>47848</v>
      </c>
      <c r="Q41" s="10"/>
      <c r="R41" s="46"/>
      <c r="S41"/>
    </row>
    <row r="42" spans="2:20">
      <c r="S42"/>
    </row>
    <row r="43" spans="2:20">
      <c r="C43" s="32" t="s">
        <v>180</v>
      </c>
      <c r="E43" s="66" t="s">
        <v>109</v>
      </c>
      <c r="H43" s="33">
        <f>Model!G72</f>
        <v>73390</v>
      </c>
      <c r="I43" s="33">
        <f>Model!H72</f>
        <v>65900</v>
      </c>
      <c r="J43" s="33">
        <f>Model!I72</f>
        <v>82056</v>
      </c>
      <c r="K43" s="33">
        <f>Model!J72</f>
        <v>97643</v>
      </c>
      <c r="L43" s="33">
        <f>Model!K72</f>
        <v>112950</v>
      </c>
      <c r="M43" s="33">
        <f>Model!L72</f>
        <v>143000</v>
      </c>
      <c r="N43" s="33">
        <f>Model!M72</f>
        <v>190000</v>
      </c>
      <c r="O43" s="33">
        <f>Model!N72</f>
        <v>228000</v>
      </c>
      <c r="P43" s="33">
        <f>Model!O72</f>
        <v>277000</v>
      </c>
      <c r="Q43" s="33"/>
      <c r="R43" s="33"/>
      <c r="S43"/>
    </row>
    <row r="44" spans="2:20">
      <c r="C44" s="146" t="s">
        <v>181</v>
      </c>
      <c r="E44" s="56"/>
      <c r="H44" s="50">
        <v>0</v>
      </c>
      <c r="I44" s="50">
        <f t="shared" ref="I44:P44" si="2">I43/H43-1</f>
        <v>-0.10205750102193756</v>
      </c>
      <c r="J44" s="50">
        <f t="shared" si="2"/>
        <v>0.24515933232169962</v>
      </c>
      <c r="K44" s="50">
        <f t="shared" si="2"/>
        <v>0.18995564005069698</v>
      </c>
      <c r="L44" s="50">
        <f t="shared" si="2"/>
        <v>0.15676494986839806</v>
      </c>
      <c r="M44" s="50">
        <f t="shared" si="2"/>
        <v>0.26604692341744141</v>
      </c>
      <c r="N44" s="50">
        <f t="shared" si="2"/>
        <v>0.32867132867132876</v>
      </c>
      <c r="O44" s="50">
        <f t="shared" si="2"/>
        <v>0.19999999999999996</v>
      </c>
      <c r="P44" s="50">
        <f t="shared" si="2"/>
        <v>0.21491228070175428</v>
      </c>
      <c r="Q44" s="67"/>
      <c r="R44" s="67"/>
      <c r="S44"/>
    </row>
    <row r="45" spans="2:20">
      <c r="E45" s="56"/>
      <c r="S45"/>
    </row>
    <row r="46" spans="2:20">
      <c r="C46" s="147" t="s">
        <v>182</v>
      </c>
      <c r="E46" s="56" t="s">
        <v>109</v>
      </c>
      <c r="H46" s="52">
        <f>Model!G85</f>
        <v>-232480</v>
      </c>
      <c r="I46" s="52">
        <f>Model!H85</f>
        <v>-162466</v>
      </c>
      <c r="J46" s="52">
        <f>Model!I85</f>
        <v>-123242</v>
      </c>
      <c r="K46" s="52">
        <f>Model!J85</f>
        <v>-98619.430000000008</v>
      </c>
      <c r="L46" s="52">
        <f>Model!K85</f>
        <v>-90360</v>
      </c>
      <c r="M46" s="52">
        <f>Model!L85</f>
        <v>-92950</v>
      </c>
      <c r="N46" s="52">
        <f>Model!M85</f>
        <v>-104500</v>
      </c>
      <c r="O46" s="52">
        <f>Model!N85</f>
        <v>-104880</v>
      </c>
      <c r="P46" s="52">
        <f>Model!O85</f>
        <v>-119110</v>
      </c>
      <c r="Q46" s="52"/>
      <c r="R46" s="52"/>
      <c r="S46"/>
    </row>
    <row r="47" spans="2:20">
      <c r="E47" s="56"/>
      <c r="S47"/>
    </row>
    <row r="48" spans="2:20">
      <c r="C48" s="32" t="s">
        <v>183</v>
      </c>
      <c r="E48" s="66" t="s">
        <v>109</v>
      </c>
      <c r="H48" s="33">
        <f>Model!G87</f>
        <v>-193020</v>
      </c>
      <c r="I48" s="33">
        <f>Model!H87</f>
        <v>-145610</v>
      </c>
      <c r="J48" s="33">
        <f>Model!I87</f>
        <v>-74411</v>
      </c>
      <c r="K48" s="33">
        <f>Model!J87</f>
        <v>-52852.430000000008</v>
      </c>
      <c r="L48" s="33">
        <f>Model!K87</f>
        <v>-9190</v>
      </c>
      <c r="M48" s="33">
        <f>Model!L87</f>
        <v>8450</v>
      </c>
      <c r="N48" s="33">
        <f>Model!M87</f>
        <v>36600</v>
      </c>
      <c r="O48" s="33">
        <f>Model!N87</f>
        <v>62220</v>
      </c>
      <c r="P48" s="33">
        <f>Model!O87</f>
        <v>88290</v>
      </c>
      <c r="Q48" s="33"/>
      <c r="R48" s="33"/>
      <c r="S48"/>
    </row>
    <row r="49" spans="3:19">
      <c r="E49" s="56"/>
      <c r="S49"/>
    </row>
    <row r="50" spans="3:19">
      <c r="C50" s="21" t="s">
        <v>184</v>
      </c>
      <c r="E50" s="56" t="s">
        <v>109</v>
      </c>
      <c r="H50" s="34">
        <f>Model!G96</f>
        <v>-42</v>
      </c>
      <c r="I50" s="34">
        <f>Model!H96</f>
        <v>-82</v>
      </c>
      <c r="J50" s="34">
        <f>Model!I96</f>
        <v>32</v>
      </c>
      <c r="K50" s="34">
        <f>Model!J96</f>
        <v>0</v>
      </c>
      <c r="L50" s="34">
        <f>Model!K96</f>
        <v>0</v>
      </c>
      <c r="M50" s="34">
        <f>Model!L96</f>
        <v>253.10115763937966</v>
      </c>
      <c r="N50" s="34">
        <f>Model!M96</f>
        <v>953.89871050340571</v>
      </c>
      <c r="O50" s="34">
        <f>Model!N96</f>
        <v>1626.4653598231153</v>
      </c>
      <c r="P50" s="34">
        <f>Model!O96</f>
        <v>2325.9785197685901</v>
      </c>
      <c r="Q50" s="34"/>
      <c r="R50" s="34"/>
      <c r="S50"/>
    </row>
    <row r="51" spans="3:19">
      <c r="E51" s="56"/>
      <c r="S51"/>
    </row>
    <row r="52" spans="3:19">
      <c r="C52" s="148" t="s">
        <v>185</v>
      </c>
      <c r="E52" s="66" t="s">
        <v>109</v>
      </c>
      <c r="H52" s="33">
        <f>Model!G97</f>
        <v>-168723</v>
      </c>
      <c r="I52" s="33">
        <f>Model!H97</f>
        <v>-133700</v>
      </c>
      <c r="J52" s="33">
        <f>Model!I97</f>
        <v>-72492</v>
      </c>
      <c r="K52" s="33">
        <f>Model!J97</f>
        <v>-49463.490660383679</v>
      </c>
      <c r="L52" s="33">
        <f>Model!K97</f>
        <v>-8501.9707914333667</v>
      </c>
      <c r="M52" s="33">
        <f>Model!L97</f>
        <v>10798.982725946868</v>
      </c>
      <c r="N52" s="33">
        <f>Model!M97</f>
        <v>40699.678314811987</v>
      </c>
      <c r="O52" s="33">
        <f>Model!N97</f>
        <v>69395.855352452912</v>
      </c>
      <c r="P52" s="33">
        <f>Model!O97</f>
        <v>99241.750176793226</v>
      </c>
      <c r="Q52" s="33"/>
      <c r="R52" s="33"/>
      <c r="S52"/>
    </row>
    <row r="53" spans="3:19">
      <c r="E53" s="56"/>
      <c r="S53"/>
    </row>
    <row r="54" spans="3:19">
      <c r="C54" s="74" t="s">
        <v>186</v>
      </c>
      <c r="E54" s="56" t="s">
        <v>109</v>
      </c>
      <c r="H54" s="34">
        <f>Model!G148</f>
        <v>5935</v>
      </c>
      <c r="I54" s="34">
        <f>Model!H148</f>
        <v>10574</v>
      </c>
      <c r="J54" s="34">
        <f>Model!I148</f>
        <v>10342</v>
      </c>
      <c r="K54" s="34">
        <f>Model!J148</f>
        <v>4634.9228624999996</v>
      </c>
      <c r="L54" s="34">
        <f>Model!K148</f>
        <v>4453.4816667499999</v>
      </c>
      <c r="M54" s="34">
        <f>Model!L148</f>
        <v>4382.5624211974991</v>
      </c>
      <c r="N54" s="34">
        <f>Model!M148</f>
        <v>4416.3061184463004</v>
      </c>
      <c r="O54" s="34">
        <f>Model!N148</f>
        <v>4046.0842574216817</v>
      </c>
      <c r="P54" s="34">
        <f>Model!O148</f>
        <v>3739.6507048684521</v>
      </c>
      <c r="Q54" s="34"/>
      <c r="R54" s="34"/>
      <c r="S54"/>
    </row>
    <row r="55" spans="3:19">
      <c r="E55" s="56"/>
      <c r="S55"/>
    </row>
    <row r="56" spans="3:19">
      <c r="C56" s="71" t="s">
        <v>188</v>
      </c>
      <c r="E56" s="56" t="s">
        <v>109</v>
      </c>
      <c r="H56" s="34">
        <v>0</v>
      </c>
      <c r="I56" s="34">
        <v>0</v>
      </c>
      <c r="J56" s="34">
        <f t="shared" ref="J56:P56" si="3">J65-I65</f>
        <v>1712</v>
      </c>
      <c r="K56" s="34">
        <f t="shared" si="3"/>
        <v>1275.0409789279074</v>
      </c>
      <c r="L56" s="34">
        <f t="shared" si="3"/>
        <v>6375.2138155926223</v>
      </c>
      <c r="M56" s="34">
        <f t="shared" si="3"/>
        <v>1927.6835616438475</v>
      </c>
      <c r="N56" s="34">
        <f t="shared" si="3"/>
        <v>14775.444157496822</v>
      </c>
      <c r="O56" s="34">
        <f t="shared" si="3"/>
        <v>21461.179130174423</v>
      </c>
      <c r="P56" s="34">
        <f t="shared" si="3"/>
        <v>23909.335616438329</v>
      </c>
      <c r="Q56" s="34"/>
      <c r="R56" s="34"/>
      <c r="S56"/>
    </row>
    <row r="57" spans="3:19">
      <c r="C57" s="71"/>
      <c r="E57" s="56"/>
      <c r="S57"/>
    </row>
    <row r="58" spans="3:19">
      <c r="C58" s="71" t="s">
        <v>189</v>
      </c>
      <c r="E58" s="56" t="s">
        <v>109</v>
      </c>
      <c r="H58" s="34">
        <f>Model!G170</f>
        <v>-18302</v>
      </c>
      <c r="I58" s="34">
        <f>Model!H170</f>
        <v>-5783</v>
      </c>
      <c r="J58" s="34">
        <f>Model!I170</f>
        <v>-2694</v>
      </c>
      <c r="K58" s="34">
        <f>Model!J170</f>
        <v>-2465.4857500000003</v>
      </c>
      <c r="L58" s="34">
        <f>Model!K170</f>
        <v>-2710.7999999999997</v>
      </c>
      <c r="M58" s="34">
        <f>Model!L170</f>
        <v>-2788.5</v>
      </c>
      <c r="N58" s="34">
        <f>Model!M170</f>
        <v>-3135</v>
      </c>
      <c r="O58" s="34">
        <f>Model!N170</f>
        <v>-3146.4</v>
      </c>
      <c r="P58" s="34">
        <f>Model!O170</f>
        <v>-3573.2999999999997</v>
      </c>
      <c r="Q58" s="34"/>
      <c r="R58" s="34"/>
      <c r="S58"/>
    </row>
    <row r="59" spans="3:19">
      <c r="E59" s="56"/>
      <c r="S59"/>
    </row>
    <row r="60" spans="3:19">
      <c r="C60" s="32" t="s">
        <v>190</v>
      </c>
      <c r="E60" s="66" t="s">
        <v>109</v>
      </c>
      <c r="H60" s="33">
        <f t="shared" ref="H60:P60" si="4">SUM(H52,H54,H56,H58)</f>
        <v>-181090</v>
      </c>
      <c r="I60" s="33">
        <f t="shared" si="4"/>
        <v>-128909</v>
      </c>
      <c r="J60" s="33">
        <f t="shared" si="4"/>
        <v>-63132</v>
      </c>
      <c r="K60" s="33">
        <f t="shared" si="4"/>
        <v>-46019.012568955768</v>
      </c>
      <c r="L60" s="33">
        <f t="shared" si="4"/>
        <v>-384.07530909074421</v>
      </c>
      <c r="M60" s="33">
        <f t="shared" si="4"/>
        <v>14320.728708788214</v>
      </c>
      <c r="N60" s="33">
        <f t="shared" si="4"/>
        <v>56756.428590755109</v>
      </c>
      <c r="O60" s="33">
        <f t="shared" si="4"/>
        <v>91756.718740049022</v>
      </c>
      <c r="P60" s="33">
        <f t="shared" si="4"/>
        <v>123317.43649810001</v>
      </c>
      <c r="Q60" s="33"/>
      <c r="R60" s="33"/>
      <c r="S60"/>
    </row>
    <row r="61" spans="3:19">
      <c r="E61" s="56"/>
      <c r="S61"/>
    </row>
    <row r="62" spans="3:19">
      <c r="C62" s="32" t="s">
        <v>191</v>
      </c>
      <c r="E62" s="66" t="s">
        <v>109</v>
      </c>
      <c r="H62" s="33">
        <f>Model!G87+Model!G89+Model!G90+Model!G148</f>
        <v>-183703</v>
      </c>
      <c r="I62" s="33">
        <f>Model!H87+Model!H89+Model!H90+Model!H148</f>
        <v>-127586</v>
      </c>
      <c r="J62" s="33">
        <f>Model!I87+Model!I89+Model!I90+Model!I148</f>
        <v>-60310</v>
      </c>
      <c r="K62" s="33">
        <f>Model!J87+Model!J89+Model!J90+Model!J148</f>
        <v>-46163.567797883676</v>
      </c>
      <c r="L62" s="33">
        <f>Model!K87+Model!K89+Model!K90+Model!K148</f>
        <v>-3779.9891246833668</v>
      </c>
      <c r="M62" s="33">
        <f>Model!L87+Model!L89+Model!L90+Model!L148</f>
        <v>14395.193989504987</v>
      </c>
      <c r="N62" s="33">
        <f>Model!M87+Model!M89+Model!M90+Model!M148</f>
        <v>44029.710722754884</v>
      </c>
      <c r="O62" s="33">
        <f>Model!N87+Model!N89+Model!N90+Model!N148</f>
        <v>71482.661750051484</v>
      </c>
      <c r="P62" s="33">
        <f>Model!O87+Model!O89+Model!O90+Model!O148</f>
        <v>100422.8286118931</v>
      </c>
      <c r="Q62" s="33"/>
      <c r="R62" s="33"/>
      <c r="S62"/>
    </row>
    <row r="63" spans="3:19">
      <c r="C63" s="28" t="s">
        <v>192</v>
      </c>
      <c r="E63" s="66" t="s">
        <v>85</v>
      </c>
      <c r="H63" s="149">
        <f t="shared" ref="H63:P63" si="5">H62/H43</f>
        <v>-2.5031066902847798</v>
      </c>
      <c r="I63" s="149">
        <f t="shared" si="5"/>
        <v>-1.9360546282245827</v>
      </c>
      <c r="J63" s="149">
        <f t="shared" si="5"/>
        <v>-0.73498586331285953</v>
      </c>
      <c r="K63" s="149">
        <f t="shared" si="5"/>
        <v>-0.47277908091602755</v>
      </c>
      <c r="L63" s="149">
        <f t="shared" si="5"/>
        <v>-3.3466039173823521E-2</v>
      </c>
      <c r="M63" s="149">
        <f t="shared" si="5"/>
        <v>0.10066569223430061</v>
      </c>
      <c r="N63" s="149">
        <f t="shared" si="5"/>
        <v>0.23173531959344676</v>
      </c>
      <c r="O63" s="149">
        <f t="shared" si="5"/>
        <v>0.31352044627215564</v>
      </c>
      <c r="P63" s="149">
        <f t="shared" si="5"/>
        <v>0.36253728740755631</v>
      </c>
      <c r="Q63" s="150"/>
      <c r="R63" s="33"/>
      <c r="S63"/>
    </row>
    <row r="64" spans="3:19">
      <c r="C64" s="28"/>
      <c r="E64" s="66"/>
      <c r="H64" s="149"/>
      <c r="I64" s="149"/>
      <c r="J64" s="149"/>
      <c r="K64" s="149"/>
      <c r="L64" s="149"/>
      <c r="M64" s="149"/>
      <c r="N64" s="149"/>
      <c r="O64" s="149"/>
      <c r="P64" s="149"/>
      <c r="Q64" s="150"/>
      <c r="R64" s="33"/>
      <c r="S64"/>
    </row>
    <row r="65" spans="2:19">
      <c r="C65" s="71" t="s">
        <v>187</v>
      </c>
      <c r="E65" s="56" t="s">
        <v>109</v>
      </c>
      <c r="H65" s="34">
        <v>0</v>
      </c>
      <c r="I65" s="34">
        <f>SUM(Model!H109:H110)-SUM(Model!H122:H124)</f>
        <v>57794</v>
      </c>
      <c r="J65" s="34">
        <f>SUM(Model!I109:I110)-SUM(Model!I122:I124)</f>
        <v>59506</v>
      </c>
      <c r="K65" s="34">
        <f>SUM(Model!J109:J110)-SUM(Model!J122:J124)</f>
        <v>60781.040978927907</v>
      </c>
      <c r="L65" s="34">
        <f>SUM(Model!K109:K110)-SUM(Model!K122:K124)</f>
        <v>67156.25479452053</v>
      </c>
      <c r="M65" s="34">
        <f>SUM(Model!L109:L110)-SUM(Model!L122:L124)</f>
        <v>69083.938356164377</v>
      </c>
      <c r="N65" s="34">
        <f>SUM(Model!M109:M110)-SUM(Model!M122:M124)</f>
        <v>83859.382513661199</v>
      </c>
      <c r="O65" s="34">
        <f>SUM(Model!N109:N110)-SUM(Model!N122:N124)</f>
        <v>105320.56164383562</v>
      </c>
      <c r="P65" s="34">
        <f>SUM(Model!O109:O110)-SUM(Model!O122:O124)</f>
        <v>129229.89726027395</v>
      </c>
      <c r="Q65" s="150"/>
      <c r="R65" s="33"/>
      <c r="S65"/>
    </row>
    <row r="66" spans="2:19">
      <c r="S66"/>
    </row>
    <row r="67" spans="2:19">
      <c r="B67" s="7" t="s">
        <v>193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S67"/>
    </row>
    <row r="69" spans="2:19">
      <c r="E69" s="151"/>
      <c r="F69" s="152"/>
      <c r="G69" s="152"/>
      <c r="H69" s="152"/>
      <c r="I69" s="152"/>
      <c r="J69" s="153"/>
      <c r="K69" s="154" t="s">
        <v>194</v>
      </c>
      <c r="L69" s="152"/>
      <c r="M69" s="152"/>
      <c r="N69" s="152"/>
      <c r="O69" s="152"/>
      <c r="P69" s="155"/>
    </row>
    <row r="70" spans="2:19">
      <c r="E70" s="156">
        <f>L37</f>
        <v>3.5848166463423157</v>
      </c>
      <c r="F70" s="157">
        <v>0.09</v>
      </c>
      <c r="G70" s="158">
        <f>F70+0.001</f>
        <v>9.0999999999999998E-2</v>
      </c>
      <c r="H70" s="158">
        <f t="shared" ref="H70:P70" si="6">G70+0.001</f>
        <v>9.1999999999999998E-2</v>
      </c>
      <c r="I70" s="158">
        <f t="shared" si="6"/>
        <v>9.2999999999999999E-2</v>
      </c>
      <c r="J70" s="158">
        <f t="shared" si="6"/>
        <v>9.4E-2</v>
      </c>
      <c r="K70" s="158">
        <f t="shared" si="6"/>
        <v>9.5000000000000001E-2</v>
      </c>
      <c r="L70" s="158">
        <f t="shared" si="6"/>
        <v>9.6000000000000002E-2</v>
      </c>
      <c r="M70" s="158">
        <f t="shared" si="6"/>
        <v>9.7000000000000003E-2</v>
      </c>
      <c r="N70" s="158">
        <f t="shared" si="6"/>
        <v>9.8000000000000004E-2</v>
      </c>
      <c r="O70" s="158">
        <f t="shared" si="6"/>
        <v>9.9000000000000005E-2</v>
      </c>
      <c r="P70" s="158">
        <f t="shared" si="6"/>
        <v>0.1</v>
      </c>
    </row>
    <row r="71" spans="2:19">
      <c r="E71" s="159">
        <v>11</v>
      </c>
      <c r="F71" s="60">
        <f t="dataTable" ref="F71:P81" dt2D="1" dtr="1" r1="G13" r2="L10" ca="1"/>
        <v>4.4302764430731134</v>
      </c>
      <c r="G71" s="60">
        <v>4.4125487753068029</v>
      </c>
      <c r="H71" s="60">
        <v>4.3949161525098868</v>
      </c>
      <c r="I71" s="60">
        <v>4.3773779756999378</v>
      </c>
      <c r="J71" s="60">
        <v>4.3599336502240247</v>
      </c>
      <c r="K71" s="160">
        <v>4.342582585723469</v>
      </c>
      <c r="L71" s="60">
        <v>4.3253241960988715</v>
      </c>
      <c r="M71" s="60">
        <v>4.3081578994755088</v>
      </c>
      <c r="N71" s="60">
        <v>4.2910831181689799</v>
      </c>
      <c r="O71" s="60">
        <v>4.2740992786512368</v>
      </c>
      <c r="P71" s="161">
        <v>4.2572058115168465</v>
      </c>
    </row>
    <row r="72" spans="2:19">
      <c r="E72" s="162">
        <f>E71-0.2</f>
        <v>10.8</v>
      </c>
      <c r="F72" s="60">
        <v>4.3728702702284608</v>
      </c>
      <c r="G72" s="60">
        <v>4.3554052103144789</v>
      </c>
      <c r="H72" s="60">
        <v>4.3380337551102617</v>
      </c>
      <c r="I72" s="60">
        <v>4.3207553148405031</v>
      </c>
      <c r="J72" s="60">
        <v>4.3035693039921838</v>
      </c>
      <c r="K72" s="160">
        <v>4.2864751412798849</v>
      </c>
      <c r="L72" s="60">
        <v>4.2694722496113595</v>
      </c>
      <c r="M72" s="60">
        <v>4.252560056053472</v>
      </c>
      <c r="N72" s="60">
        <v>4.2357379917983788</v>
      </c>
      <c r="O72" s="60">
        <v>4.2190054921300879</v>
      </c>
      <c r="P72" s="161">
        <v>4.2023619963912573</v>
      </c>
    </row>
    <row r="73" spans="2:19">
      <c r="E73" s="162">
        <f t="shared" ref="E73:E81" si="7">E72-0.2</f>
        <v>10.600000000000001</v>
      </c>
      <c r="F73" s="60">
        <v>4.3154640973838081</v>
      </c>
      <c r="G73" s="60">
        <v>4.2982616453221532</v>
      </c>
      <c r="H73" s="60">
        <v>4.2811513577106366</v>
      </c>
      <c r="I73" s="60">
        <v>4.2641326539810684</v>
      </c>
      <c r="J73" s="60">
        <v>4.2472049577603421</v>
      </c>
      <c r="K73" s="160">
        <v>4.2303676968363</v>
      </c>
      <c r="L73" s="60">
        <v>4.2136203031238484</v>
      </c>
      <c r="M73" s="60">
        <v>4.1969622126314361</v>
      </c>
      <c r="N73" s="60">
        <v>4.1803928654277778</v>
      </c>
      <c r="O73" s="60">
        <v>4.1639117056089399</v>
      </c>
      <c r="P73" s="161">
        <v>4.1475181812656672</v>
      </c>
    </row>
    <row r="74" spans="2:19">
      <c r="E74" s="162">
        <f t="shared" si="7"/>
        <v>10.400000000000002</v>
      </c>
      <c r="F74" s="60">
        <v>4.2580579245391537</v>
      </c>
      <c r="G74" s="60">
        <v>4.2411180803298292</v>
      </c>
      <c r="H74" s="60">
        <v>4.2242689603110115</v>
      </c>
      <c r="I74" s="60">
        <v>4.2075099931216338</v>
      </c>
      <c r="J74" s="60">
        <v>4.1908406115285004</v>
      </c>
      <c r="K74" s="160">
        <v>4.1742602523927159</v>
      </c>
      <c r="L74" s="60">
        <v>4.1577683566363373</v>
      </c>
      <c r="M74" s="60">
        <v>4.1413643692094002</v>
      </c>
      <c r="N74" s="60">
        <v>4.1250477390571758</v>
      </c>
      <c r="O74" s="60">
        <v>4.1088179190877909</v>
      </c>
      <c r="P74" s="161">
        <v>4.092674366140078</v>
      </c>
    </row>
    <row r="75" spans="2:19" ht="18.5">
      <c r="C75" s="163" t="s">
        <v>195</v>
      </c>
      <c r="E75" s="162">
        <f t="shared" si="7"/>
        <v>10.200000000000003</v>
      </c>
      <c r="F75" s="60">
        <v>4.200651751694501</v>
      </c>
      <c r="G75" s="60">
        <v>4.1839745153375034</v>
      </c>
      <c r="H75" s="60">
        <v>4.1673865629113873</v>
      </c>
      <c r="I75" s="60">
        <v>4.1508873322621991</v>
      </c>
      <c r="J75" s="60">
        <v>4.1344762652966596</v>
      </c>
      <c r="K75" s="160">
        <v>4.1181528079491319</v>
      </c>
      <c r="L75" s="60">
        <v>4.1019164101488261</v>
      </c>
      <c r="M75" s="60">
        <v>4.0857665257873643</v>
      </c>
      <c r="N75" s="60">
        <v>4.0697026126865747</v>
      </c>
      <c r="O75" s="60">
        <v>4.0537241325666429</v>
      </c>
      <c r="P75" s="161">
        <v>4.037830551014487</v>
      </c>
    </row>
    <row r="76" spans="2:19">
      <c r="E76" s="162">
        <f t="shared" si="7"/>
        <v>10.000000000000004</v>
      </c>
      <c r="F76" s="160">
        <v>4.1432455788498483</v>
      </c>
      <c r="G76" s="160">
        <v>4.1268309503451794</v>
      </c>
      <c r="H76" s="160">
        <v>4.1105041655117622</v>
      </c>
      <c r="I76" s="160">
        <v>4.0942646714027635</v>
      </c>
      <c r="J76" s="160">
        <v>4.0781119190648178</v>
      </c>
      <c r="K76" s="160">
        <v>4.0620453635055478</v>
      </c>
      <c r="L76" s="160">
        <v>4.046064463661315</v>
      </c>
      <c r="M76" s="160">
        <v>4.0301686823653284</v>
      </c>
      <c r="N76" s="160">
        <v>4.0143574863159737</v>
      </c>
      <c r="O76" s="160">
        <v>3.9986303460454944</v>
      </c>
      <c r="P76" s="164">
        <v>3.9829867358888986</v>
      </c>
    </row>
    <row r="77" spans="2:19">
      <c r="E77" s="162">
        <f t="shared" si="7"/>
        <v>9.8000000000000043</v>
      </c>
      <c r="F77" s="60">
        <v>4.0858394060051939</v>
      </c>
      <c r="G77" s="60">
        <v>4.0696873853528546</v>
      </c>
      <c r="H77" s="60">
        <v>4.053621768112138</v>
      </c>
      <c r="I77" s="60">
        <v>4.0376420105433288</v>
      </c>
      <c r="J77" s="60">
        <v>4.021747572832977</v>
      </c>
      <c r="K77" s="160">
        <v>4.0059379190619637</v>
      </c>
      <c r="L77" s="60">
        <v>3.9902125171738039</v>
      </c>
      <c r="M77" s="60">
        <v>3.974570838943293</v>
      </c>
      <c r="N77" s="60">
        <v>3.9590123599453722</v>
      </c>
      <c r="O77" s="60">
        <v>3.9435365595243459</v>
      </c>
      <c r="P77" s="161">
        <v>3.9281429207633081</v>
      </c>
    </row>
    <row r="78" spans="2:19">
      <c r="E78" s="162">
        <f t="shared" si="7"/>
        <v>9.600000000000005</v>
      </c>
      <c r="F78" s="60">
        <v>4.0284332331605412</v>
      </c>
      <c r="G78" s="60">
        <v>4.0125438203605297</v>
      </c>
      <c r="H78" s="60">
        <v>3.9967393707125125</v>
      </c>
      <c r="I78" s="60">
        <v>3.9810193496838941</v>
      </c>
      <c r="J78" s="60">
        <v>3.9653832266011362</v>
      </c>
      <c r="K78" s="160">
        <v>3.9498304746183792</v>
      </c>
      <c r="L78" s="60">
        <v>3.9343605706862927</v>
      </c>
      <c r="M78" s="60">
        <v>3.9189729955212562</v>
      </c>
      <c r="N78" s="60">
        <v>3.9036672335747711</v>
      </c>
      <c r="O78" s="60">
        <v>3.8884427730031974</v>
      </c>
      <c r="P78" s="161">
        <v>3.8732991056377184</v>
      </c>
    </row>
    <row r="79" spans="2:19">
      <c r="E79" s="162">
        <f t="shared" si="7"/>
        <v>9.4000000000000057</v>
      </c>
      <c r="F79" s="60">
        <v>3.9710270603158881</v>
      </c>
      <c r="G79" s="60">
        <v>3.9554002553682053</v>
      </c>
      <c r="H79" s="60">
        <v>3.9398569733128879</v>
      </c>
      <c r="I79" s="60">
        <v>3.9243966888244595</v>
      </c>
      <c r="J79" s="60">
        <v>3.9090188803692949</v>
      </c>
      <c r="K79" s="160">
        <v>3.8937230301747947</v>
      </c>
      <c r="L79" s="60">
        <v>3.8785086241987812</v>
      </c>
      <c r="M79" s="60">
        <v>3.8633751520992203</v>
      </c>
      <c r="N79" s="60">
        <v>3.84832210720417</v>
      </c>
      <c r="O79" s="60">
        <v>3.8333489864820489</v>
      </c>
      <c r="P79" s="161">
        <v>3.8184552905121287</v>
      </c>
    </row>
    <row r="80" spans="2:19">
      <c r="E80" s="162">
        <f t="shared" si="7"/>
        <v>9.2000000000000064</v>
      </c>
      <c r="F80" s="60">
        <v>3.9136208874712342</v>
      </c>
      <c r="G80" s="60">
        <v>3.89825669037588</v>
      </c>
      <c r="H80" s="60">
        <v>3.8829745759132632</v>
      </c>
      <c r="I80" s="60">
        <v>3.8677740279650239</v>
      </c>
      <c r="J80" s="60">
        <v>3.8526545341374527</v>
      </c>
      <c r="K80" s="160">
        <v>3.8376155857312106</v>
      </c>
      <c r="L80" s="60">
        <v>3.82265667771127</v>
      </c>
      <c r="M80" s="60">
        <v>3.8077773086771844</v>
      </c>
      <c r="N80" s="60">
        <v>3.7929769808335685</v>
      </c>
      <c r="O80" s="60">
        <v>3.7782551999609004</v>
      </c>
      <c r="P80" s="161">
        <v>3.7636114753865391</v>
      </c>
    </row>
    <row r="81" spans="3:16">
      <c r="E81" s="162">
        <f t="shared" si="7"/>
        <v>9.0000000000000071</v>
      </c>
      <c r="F81" s="87">
        <v>3.8562147146265811</v>
      </c>
      <c r="G81" s="87">
        <v>3.8411131253835555</v>
      </c>
      <c r="H81" s="87">
        <v>3.8260921785136386</v>
      </c>
      <c r="I81" s="87">
        <v>3.8111513671055888</v>
      </c>
      <c r="J81" s="87">
        <v>3.7962901879056115</v>
      </c>
      <c r="K81" s="165">
        <v>3.7815081412876266</v>
      </c>
      <c r="L81" s="87">
        <v>3.7668047312237585</v>
      </c>
      <c r="M81" s="87">
        <v>3.7521794652551486</v>
      </c>
      <c r="N81" s="87">
        <v>3.7376318544629674</v>
      </c>
      <c r="O81" s="87">
        <v>3.7231614134397519</v>
      </c>
      <c r="P81" s="166">
        <v>3.7087676602609498</v>
      </c>
    </row>
    <row r="84" spans="3:16">
      <c r="E84" s="151"/>
      <c r="F84" s="152"/>
      <c r="G84" s="152"/>
      <c r="H84" s="152"/>
      <c r="I84" s="152"/>
      <c r="J84" s="153"/>
      <c r="K84" s="154" t="s">
        <v>194</v>
      </c>
      <c r="L84" s="152"/>
      <c r="M84" s="152"/>
      <c r="N84" s="152"/>
      <c r="O84" s="152"/>
      <c r="P84" s="155"/>
    </row>
    <row r="85" spans="3:16">
      <c r="E85" s="156">
        <f>Q37</f>
        <v>4.6960088421636375</v>
      </c>
      <c r="F85" s="157">
        <v>0.09</v>
      </c>
      <c r="G85" s="158">
        <f>F85+0.001</f>
        <v>9.0999999999999998E-2</v>
      </c>
      <c r="H85" s="158">
        <f t="shared" ref="H85:P85" si="8">G85+0.001</f>
        <v>9.1999999999999998E-2</v>
      </c>
      <c r="I85" s="158">
        <f t="shared" si="8"/>
        <v>9.2999999999999999E-2</v>
      </c>
      <c r="J85" s="158">
        <f t="shared" si="8"/>
        <v>9.4E-2</v>
      </c>
      <c r="K85" s="158">
        <f t="shared" si="8"/>
        <v>9.5000000000000001E-2</v>
      </c>
      <c r="L85" s="158">
        <f t="shared" si="8"/>
        <v>9.6000000000000002E-2</v>
      </c>
      <c r="M85" s="158">
        <f t="shared" si="8"/>
        <v>9.7000000000000003E-2</v>
      </c>
      <c r="N85" s="158">
        <f t="shared" si="8"/>
        <v>9.8000000000000004E-2</v>
      </c>
      <c r="O85" s="158">
        <f t="shared" si="8"/>
        <v>9.9000000000000005E-2</v>
      </c>
      <c r="P85" s="158">
        <f t="shared" si="8"/>
        <v>0.1</v>
      </c>
    </row>
    <row r="86" spans="3:16">
      <c r="E86" s="167">
        <v>0.04</v>
      </c>
      <c r="F86" s="60">
        <f t="dataTable" ref="F86:P96" dt2D="1" dtr="1" r1="G13" r2="Q10"/>
        <v>8.9275984341708554</v>
      </c>
      <c r="G86" s="60">
        <v>8.7433409739079053</v>
      </c>
      <c r="H86" s="60">
        <v>8.5662126641747651</v>
      </c>
      <c r="I86" s="60">
        <v>8.3958098843037838</v>
      </c>
      <c r="J86" s="60">
        <v>8.2317589111944542</v>
      </c>
      <c r="K86" s="160">
        <v>8.0737132013601141</v>
      </c>
      <c r="L86" s="60">
        <v>7.9213509641836168</v>
      </c>
      <c r="M86" s="60">
        <v>7.7743729906198586</v>
      </c>
      <c r="N86" s="60">
        <v>7.632500706515037</v>
      </c>
      <c r="O86" s="60">
        <v>7.4954744238934961</v>
      </c>
      <c r="P86" s="161">
        <v>7.3630517671156515</v>
      </c>
    </row>
    <row r="87" spans="3:16">
      <c r="E87" s="168">
        <f>E86-0.2%</f>
        <v>3.7999999999999999E-2</v>
      </c>
      <c r="F87" s="60">
        <v>8.6190757853450641</v>
      </c>
      <c r="G87" s="60">
        <v>8.4475266903690756</v>
      </c>
      <c r="H87" s="60">
        <v>8.282372328578715</v>
      </c>
      <c r="I87" s="60">
        <v>8.1232638138296736</v>
      </c>
      <c r="J87" s="60">
        <v>7.9698771801773027</v>
      </c>
      <c r="K87" s="160">
        <v>7.8219111959011443</v>
      </c>
      <c r="L87" s="60">
        <v>7.6790854036646374</v>
      </c>
      <c r="M87" s="60">
        <v>7.5411383599806356</v>
      </c>
      <c r="N87" s="60">
        <v>7.4078260507301801</v>
      </c>
      <c r="O87" s="60">
        <v>7.2789204625318975</v>
      </c>
      <c r="P87" s="161">
        <v>7.1542082923657899</v>
      </c>
    </row>
    <row r="88" spans="3:16">
      <c r="E88" s="168">
        <f t="shared" ref="E88:E96" si="9">E87-0.2%</f>
        <v>3.5999999999999997E-2</v>
      </c>
      <c r="F88" s="60">
        <v>8.3334083259630169</v>
      </c>
      <c r="G88" s="60">
        <v>8.173227806268855</v>
      </c>
      <c r="H88" s="60">
        <v>8.0188079104467356</v>
      </c>
      <c r="I88" s="60">
        <v>7.8698453664865013</v>
      </c>
      <c r="J88" s="60">
        <v>7.7260578174692238</v>
      </c>
      <c r="K88" s="160">
        <v>7.5871820491084865</v>
      </c>
      <c r="L88" s="60">
        <v>7.4529723945373192</v>
      </c>
      <c r="M88" s="60">
        <v>7.3231992960013592</v>
      </c>
      <c r="N88" s="60">
        <v>7.1976480057428143</v>
      </c>
      <c r="O88" s="60">
        <v>7.0761174106097622</v>
      </c>
      <c r="P88" s="161">
        <v>6.9584189668581775</v>
      </c>
    </row>
    <row r="89" spans="3:16">
      <c r="E89" s="168">
        <f t="shared" si="9"/>
        <v>3.3999999999999996E-2</v>
      </c>
      <c r="F89" s="60">
        <v>8.0681472950150948</v>
      </c>
      <c r="G89" s="60">
        <v>7.9181795518643368</v>
      </c>
      <c r="H89" s="60">
        <v>7.7734219100834139</v>
      </c>
      <c r="I89" s="60">
        <v>7.6336093691358062</v>
      </c>
      <c r="J89" s="60">
        <v>7.4984945949857211</v>
      </c>
      <c r="K89" s="160">
        <v>7.3678464720306094</v>
      </c>
      <c r="L89" s="60">
        <v>7.2414487951690196</v>
      </c>
      <c r="M89" s="60">
        <v>7.1190990864334616</v>
      </c>
      <c r="N89" s="60">
        <v>7.0006075225637288</v>
      </c>
      <c r="O89" s="60">
        <v>6.8857959615734936</v>
      </c>
      <c r="P89" s="161">
        <v>6.7744970578106765</v>
      </c>
    </row>
    <row r="90" spans="3:16" ht="18.5">
      <c r="C90" s="163" t="s">
        <v>196</v>
      </c>
      <c r="E90" s="168">
        <f t="shared" si="9"/>
        <v>3.1999999999999994E-2</v>
      </c>
      <c r="F90" s="60">
        <v>7.8211816917004526</v>
      </c>
      <c r="G90" s="60">
        <v>7.6804242449038727</v>
      </c>
      <c r="H90" s="60">
        <v>7.5443964944868895</v>
      </c>
      <c r="I90" s="60">
        <v>7.4128657533795641</v>
      </c>
      <c r="J90" s="60">
        <v>7.2856143463962306</v>
      </c>
      <c r="K90" s="160">
        <v>7.1624384188221608</v>
      </c>
      <c r="L90" s="60">
        <v>7.0431468566950288</v>
      </c>
      <c r="M90" s="60">
        <v>6.927560306752742</v>
      </c>
      <c r="N90" s="60">
        <v>6.8155102854767167</v>
      </c>
      <c r="O90" s="60">
        <v>6.706838367922372</v>
      </c>
      <c r="P90" s="161">
        <v>6.6013954481232133</v>
      </c>
    </row>
    <row r="91" spans="3:16">
      <c r="E91" s="168">
        <f t="shared" si="9"/>
        <v>2.9999999999999992E-2</v>
      </c>
      <c r="F91" s="160">
        <v>7.590681982059543</v>
      </c>
      <c r="G91" s="160">
        <v>7.4582609484160365</v>
      </c>
      <c r="H91" s="160">
        <v>7.3301483898182704</v>
      </c>
      <c r="I91" s="160">
        <v>7.2061390627448771</v>
      </c>
      <c r="J91" s="160">
        <v>7.0860405512256932</v>
      </c>
      <c r="K91" s="160">
        <v>6.9696722801128592</v>
      </c>
      <c r="L91" s="160">
        <v>6.8568646180543222</v>
      </c>
      <c r="M91" s="160">
        <v>6.7474580607981158</v>
      </c>
      <c r="N91" s="160">
        <v>6.6413024865578398</v>
      </c>
      <c r="O91" s="160">
        <v>6.5382564761289972</v>
      </c>
      <c r="P91" s="164">
        <v>6.4381866912809018</v>
      </c>
    </row>
    <row r="92" spans="3:16">
      <c r="E92" s="168">
        <f t="shared" si="9"/>
        <v>2.799999999999999E-2</v>
      </c>
      <c r="F92" s="60">
        <v>7.3750547010971275</v>
      </c>
      <c r="G92" s="60">
        <v>7.2502047174911715</v>
      </c>
      <c r="H92" s="60">
        <v>7.1292922315330509</v>
      </c>
      <c r="I92" s="60">
        <v>7.0121354354653249</v>
      </c>
      <c r="J92" s="60">
        <v>6.8985635400285616</v>
      </c>
      <c r="K92" s="160">
        <v>6.7884159521909195</v>
      </c>
      <c r="L92" s="60">
        <v>6.6815415254307968</v>
      </c>
      <c r="M92" s="60">
        <v>6.5777978752123305</v>
      </c>
      <c r="N92" s="60">
        <v>6.4770507531342476</v>
      </c>
      <c r="O92" s="60">
        <v>6.3791734739675645</v>
      </c>
      <c r="P92" s="161">
        <v>6.2840463904400012</v>
      </c>
    </row>
    <row r="93" spans="3:16">
      <c r="E93" s="168">
        <f t="shared" si="9"/>
        <v>2.5999999999999988E-2</v>
      </c>
      <c r="F93" s="60">
        <v>7.1729055670072261</v>
      </c>
      <c r="G93" s="60">
        <v>7.0549533697340321</v>
      </c>
      <c r="H93" s="60">
        <v>6.9406105781249794</v>
      </c>
      <c r="I93" s="60">
        <v>6.8297155007940447</v>
      </c>
      <c r="J93" s="60">
        <v>6.7221159574732949</v>
      </c>
      <c r="K93" s="160">
        <v>6.6176685898067493</v>
      </c>
      <c r="L93" s="60">
        <v>6.5162382312188489</v>
      </c>
      <c r="M93" s="60">
        <v>6.4176973300335334</v>
      </c>
      <c r="N93" s="60">
        <v>6.3219254206665267</v>
      </c>
      <c r="O93" s="60">
        <v>6.2288086382813246</v>
      </c>
      <c r="P93" s="161">
        <v>6.138239272797227</v>
      </c>
    </row>
    <row r="94" spans="3:16">
      <c r="E94" s="168">
        <f t="shared" si="9"/>
        <v>2.3999999999999987E-2</v>
      </c>
      <c r="F94" s="60">
        <v>6.9830093019026345</v>
      </c>
      <c r="G94" s="60">
        <v>6.8713602072771796</v>
      </c>
      <c r="H94" s="60">
        <v>6.7630292165622219</v>
      </c>
      <c r="I94" s="60">
        <v>6.6578719890014817</v>
      </c>
      <c r="J94" s="60">
        <v>6.5557524317552289</v>
      </c>
      <c r="K94" s="160">
        <v>6.4565421190661807</v>
      </c>
      <c r="L94" s="60">
        <v>6.3601197598280583</v>
      </c>
      <c r="M94" s="60">
        <v>6.2663707089156588</v>
      </c>
      <c r="N94" s="60">
        <v>6.1751865181366545</v>
      </c>
      <c r="O94" s="60">
        <v>6.0864645231072672</v>
      </c>
      <c r="P94" s="161">
        <v>6.0001074627428785</v>
      </c>
    </row>
    <row r="95" spans="3:16">
      <c r="E95" s="168">
        <f t="shared" si="9"/>
        <v>2.1999999999999985E-2</v>
      </c>
      <c r="F95" s="60">
        <v>6.8042847782980616</v>
      </c>
      <c r="G95" s="60">
        <v>6.6984114827920367</v>
      </c>
      <c r="H95" s="60">
        <v>6.5955967010773158</v>
      </c>
      <c r="I95" s="60">
        <v>6.4957111255988869</v>
      </c>
      <c r="J95" s="60">
        <v>6.3986326324406342</v>
      </c>
      <c r="K95" s="160">
        <v>6.3042457893001611</v>
      </c>
      <c r="L95" s="60">
        <v>6.2124414033573601</v>
      </c>
      <c r="M95" s="60">
        <v>6.1231161053135397</v>
      </c>
      <c r="N95" s="60">
        <v>6.0361719662693973</v>
      </c>
      <c r="O95" s="60">
        <v>5.9515161444566909</v>
      </c>
      <c r="P95" s="161">
        <v>5.8690605591442448</v>
      </c>
    </row>
    <row r="96" spans="3:16">
      <c r="E96" s="168">
        <f t="shared" si="9"/>
        <v>1.9999999999999983E-2</v>
      </c>
      <c r="F96" s="87">
        <v>6.6357744261961571</v>
      </c>
      <c r="G96" s="87">
        <v>6.5352076740614589</v>
      </c>
      <c r="H96" s="87">
        <v>6.4374673021588062</v>
      </c>
      <c r="I96" s="87">
        <v>6.3424370840456286</v>
      </c>
      <c r="J96" s="87">
        <v>6.2500070756874315</v>
      </c>
      <c r="K96" s="165">
        <v>6.1600731966352855</v>
      </c>
      <c r="L96" s="87">
        <v>6.0725368442680541</v>
      </c>
      <c r="M96" s="87">
        <v>5.9873045380937224</v>
      </c>
      <c r="N96" s="87">
        <v>5.904287591411995</v>
      </c>
      <c r="O96" s="87">
        <v>5.8234018079139389</v>
      </c>
      <c r="P96" s="166">
        <v>5.7445672010365065</v>
      </c>
    </row>
  </sheetData>
  <dataValidations count="1">
    <dataValidation type="list" allowBlank="1" showInputMessage="1" showErrorMessage="1" sqref="G5" xr:uid="{E60F8680-D219-4EE9-9AC0-6E2F8C134FA0}">
      <formula1>$I$11:$I$13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C0FF-79E2-4DC0-9E18-D8F73A251616}">
  <dimension ref="A1:L40"/>
  <sheetViews>
    <sheetView showGridLines="0" zoomScale="66" workbookViewId="0">
      <selection activeCell="C15" sqref="C15:C20"/>
    </sheetView>
  </sheetViews>
  <sheetFormatPr defaultRowHeight="14.5"/>
  <cols>
    <col min="2" max="2" width="25" bestFit="1" customWidth="1"/>
    <col min="3" max="3" width="7.6328125" bestFit="1" customWidth="1"/>
    <col min="4" max="4" width="8" bestFit="1" customWidth="1"/>
    <col min="5" max="5" width="12" bestFit="1" customWidth="1"/>
    <col min="6" max="6" width="10.36328125" bestFit="1" customWidth="1"/>
    <col min="7" max="7" width="6" bestFit="1" customWidth="1"/>
    <col min="8" max="8" width="11.26953125" bestFit="1" customWidth="1"/>
    <col min="9" max="9" width="15.453125" bestFit="1" customWidth="1"/>
    <col min="10" max="11" width="8.453125" bestFit="1" customWidth="1"/>
    <col min="12" max="12" width="9" bestFit="1" customWidth="1"/>
  </cols>
  <sheetData>
    <row r="1" spans="1:12">
      <c r="A1" s="255"/>
    </row>
    <row r="2" spans="1:12" ht="18.5">
      <c r="B2" s="256" t="str">
        <f>"WACC Analysis - "&amp;_xlfn.SINGLE(Company_Name)</f>
        <v>WACC Analysis - Butterfly Network, inc.</v>
      </c>
      <c r="C2" s="257"/>
      <c r="D2" s="2"/>
      <c r="E2" s="2"/>
      <c r="F2" s="2"/>
      <c r="G2" s="2"/>
      <c r="H2" s="2"/>
      <c r="I2" s="2"/>
      <c r="J2" s="2"/>
      <c r="K2" s="2"/>
      <c r="L2" s="2"/>
    </row>
    <row r="3" spans="1:12" ht="16">
      <c r="B3" s="21" t="s">
        <v>247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ht="16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16">
      <c r="B5" s="258" t="s">
        <v>248</v>
      </c>
      <c r="C5" s="258"/>
      <c r="D5" s="259"/>
      <c r="E5" s="259"/>
      <c r="F5" s="259"/>
      <c r="G5" s="260"/>
      <c r="H5" s="260"/>
      <c r="I5" s="2"/>
      <c r="J5" s="2"/>
      <c r="K5" s="2"/>
      <c r="L5" s="2"/>
    </row>
    <row r="6" spans="1:12" ht="16">
      <c r="B6" s="21" t="s">
        <v>249</v>
      </c>
      <c r="C6" s="21"/>
      <c r="D6" s="2"/>
      <c r="E6" s="2"/>
      <c r="F6" s="261">
        <v>4.4999999999999998E-2</v>
      </c>
      <c r="G6" s="262"/>
      <c r="H6" s="262"/>
      <c r="I6" s="2"/>
      <c r="J6" s="2"/>
      <c r="K6" s="2"/>
      <c r="L6" s="2"/>
    </row>
    <row r="7" spans="1:12" ht="16">
      <c r="B7" s="21" t="s">
        <v>250</v>
      </c>
      <c r="C7" s="21"/>
      <c r="D7" s="2"/>
      <c r="E7" s="2"/>
      <c r="F7" s="261">
        <v>3.5000000000000003E-2</v>
      </c>
      <c r="G7" s="262"/>
      <c r="H7" s="262"/>
      <c r="I7" s="2"/>
      <c r="J7" s="2"/>
      <c r="K7" s="2"/>
      <c r="L7" s="2"/>
    </row>
    <row r="8" spans="1:12" ht="16">
      <c r="B8" s="21" t="s">
        <v>251</v>
      </c>
      <c r="C8" s="21"/>
      <c r="D8" s="2"/>
      <c r="E8" s="2"/>
      <c r="F8" s="263">
        <v>2.5321080322076219E-2</v>
      </c>
      <c r="G8" s="262"/>
      <c r="H8" s="262"/>
      <c r="I8" s="264"/>
      <c r="J8" s="264"/>
      <c r="K8" s="2"/>
      <c r="L8" s="2"/>
    </row>
    <row r="9" spans="1:12" ht="16">
      <c r="B9" s="21" t="s">
        <v>252</v>
      </c>
      <c r="C9" s="21"/>
      <c r="D9" s="2"/>
      <c r="E9" s="2"/>
      <c r="F9" s="261">
        <v>0</v>
      </c>
      <c r="G9" s="262"/>
      <c r="H9" s="262"/>
      <c r="I9" s="264"/>
      <c r="J9" s="264"/>
      <c r="K9" s="2"/>
      <c r="L9" s="2"/>
    </row>
    <row r="10" spans="1:12" ht="16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ht="16">
      <c r="B11" s="170" t="s">
        <v>73</v>
      </c>
      <c r="C11" s="265" t="s">
        <v>76</v>
      </c>
      <c r="D11" s="175" t="s">
        <v>237</v>
      </c>
      <c r="E11" s="190" t="s">
        <v>213</v>
      </c>
      <c r="F11" s="265"/>
      <c r="G11" s="190" t="s">
        <v>163</v>
      </c>
      <c r="H11" s="265"/>
      <c r="I11" s="175" t="s">
        <v>235</v>
      </c>
      <c r="J11" s="266"/>
      <c r="K11" s="170" t="s">
        <v>84</v>
      </c>
      <c r="L11" s="2"/>
    </row>
    <row r="12" spans="1:12" ht="16">
      <c r="B12" s="267" t="s">
        <v>253</v>
      </c>
      <c r="C12" s="267"/>
      <c r="D12" s="267"/>
      <c r="E12" s="267"/>
      <c r="F12" s="267"/>
      <c r="G12" s="267"/>
      <c r="H12" s="267"/>
      <c r="I12" s="267"/>
      <c r="J12" s="267"/>
      <c r="K12" s="267"/>
      <c r="L12" s="267"/>
    </row>
    <row r="13" spans="1:12" ht="16">
      <c r="B13" s="267"/>
      <c r="C13" s="267"/>
      <c r="D13" s="268" t="s">
        <v>254</v>
      </c>
      <c r="E13" s="268"/>
      <c r="F13" s="268"/>
      <c r="G13" s="268" t="s">
        <v>255</v>
      </c>
      <c r="H13" s="268"/>
      <c r="I13" s="268" t="s">
        <v>256</v>
      </c>
      <c r="J13" s="268"/>
      <c r="K13" s="268"/>
      <c r="L13" s="268" t="s">
        <v>257</v>
      </c>
    </row>
    <row r="14" spans="1:12" ht="16">
      <c r="B14" s="267" t="s">
        <v>74</v>
      </c>
      <c r="C14" s="267" t="s">
        <v>258</v>
      </c>
      <c r="D14" s="268" t="s">
        <v>259</v>
      </c>
      <c r="E14" s="268" t="s">
        <v>260</v>
      </c>
      <c r="F14" s="268" t="s">
        <v>261</v>
      </c>
      <c r="G14" s="268" t="s">
        <v>262</v>
      </c>
      <c r="H14" s="268" t="s">
        <v>263</v>
      </c>
      <c r="I14" s="268" t="s">
        <v>264</v>
      </c>
      <c r="J14" s="268" t="s">
        <v>265</v>
      </c>
      <c r="K14" s="268" t="s">
        <v>266</v>
      </c>
      <c r="L14" s="268" t="s">
        <v>259</v>
      </c>
    </row>
    <row r="15" spans="1:12" ht="16">
      <c r="B15" s="21" t="str">
        <f t="shared" ref="B15:B20" si="0">INDEX(Pub_Comps_Range,MATCH(B$11,Pub_Comps_Params,0),MATCH($C15,Pub_Comps_Tickers,0))</f>
        <v>GE Healthcare Technologies Inc.</v>
      </c>
      <c r="C15" s="269" t="s">
        <v>279</v>
      </c>
      <c r="D15" s="21">
        <f t="shared" ref="D15:E20" si="1">INDEX(Pub_Comps_Range,MATCH(D$11,Pub_Comps_Params,0),MATCH($C15,Pub_Comps_Tickers,0))</f>
        <v>1.27</v>
      </c>
      <c r="E15" s="21">
        <f t="shared" si="1"/>
        <v>10744</v>
      </c>
      <c r="F15" s="270">
        <f>E15/(E15+G15+I15)</f>
        <v>0.21630314491163161</v>
      </c>
      <c r="G15" s="21">
        <f t="shared" ref="G15:G20" si="2">INDEX(Pub_Comps_Range,MATCH(G$11,Pub_Comps_Params,0),MATCH($C15,Pub_Comps_Tickers,0))</f>
        <v>0</v>
      </c>
      <c r="H15" s="271">
        <f>G15/(E15+G15+I15)</f>
        <v>0</v>
      </c>
      <c r="I15" s="272">
        <f t="shared" ref="I15:I20" si="3">INDEX(Pub_Comps_Range,MATCH(I$11,Pub_Comps_Params,0),MATCH($C15,Pub_Comps_Tickers,0))</f>
        <v>38927.03</v>
      </c>
      <c r="J15" s="270">
        <f>$I15/($E15+$G15+$I15)</f>
        <v>0.78369685508836839</v>
      </c>
      <c r="K15" s="271">
        <f t="shared" ref="K15:K20" si="4">INDEX(Pub_Comps_Range,MATCH(K$11,Pub_Comps_Params,0),MATCH($C15,Pub_Comps_Tickers,0))</f>
        <v>0.17699999999999999</v>
      </c>
      <c r="L15" s="273">
        <f t="shared" ref="L15:L20" si="5">IFERROR(D15/(1+(E15/I15)*(1-K15)+G15/I15),"N/A")</f>
        <v>1.0349175021083605</v>
      </c>
    </row>
    <row r="16" spans="1:12" ht="16">
      <c r="B16" s="21" t="str">
        <f t="shared" si="0"/>
        <v>Masimo Corporation</v>
      </c>
      <c r="C16" s="447" t="s">
        <v>281</v>
      </c>
      <c r="D16" s="21">
        <f t="shared" si="1"/>
        <v>1.26</v>
      </c>
      <c r="E16" s="21">
        <f t="shared" si="1"/>
        <v>642.20000000000005</v>
      </c>
      <c r="F16" s="270">
        <f t="shared" ref="F16:F20" si="6">E16/(E16+G16+I16)</f>
        <v>7.6783647546079761E-2</v>
      </c>
      <c r="G16" s="21">
        <f t="shared" si="2"/>
        <v>0</v>
      </c>
      <c r="H16" s="271">
        <f t="shared" ref="H16:H20" si="7">G16/(E16+G16+I16)</f>
        <v>0</v>
      </c>
      <c r="I16" s="272">
        <f t="shared" si="3"/>
        <v>7721.56</v>
      </c>
      <c r="J16" s="270">
        <f t="shared" ref="J16:J20" si="8">$I16/($E16+$G16+$I16)</f>
        <v>0.92321635245392031</v>
      </c>
      <c r="K16" s="271">
        <f t="shared" si="4"/>
        <v>0.2</v>
      </c>
      <c r="L16" s="273">
        <f t="shared" si="5"/>
        <v>1.1813949670443893</v>
      </c>
    </row>
    <row r="17" spans="2:12" ht="16">
      <c r="B17" s="21" t="str">
        <f t="shared" si="0"/>
        <v>InMode, Ltd.</v>
      </c>
      <c r="C17" s="183" t="s">
        <v>283</v>
      </c>
      <c r="D17" s="21">
        <f t="shared" si="1"/>
        <v>2.15</v>
      </c>
      <c r="E17" s="21">
        <f t="shared" si="1"/>
        <v>6.1</v>
      </c>
      <c r="F17" s="270">
        <f t="shared" si="6"/>
        <v>6.4169322855850445E-3</v>
      </c>
      <c r="G17" s="21">
        <f t="shared" si="2"/>
        <v>0</v>
      </c>
      <c r="H17" s="271">
        <f t="shared" si="7"/>
        <v>0</v>
      </c>
      <c r="I17" s="272">
        <f t="shared" si="3"/>
        <v>944.51</v>
      </c>
      <c r="J17" s="270">
        <f t="shared" si="8"/>
        <v>0.99358306771441496</v>
      </c>
      <c r="K17" s="271">
        <f t="shared" si="4"/>
        <v>0.2</v>
      </c>
      <c r="L17" s="273">
        <f t="shared" si="5"/>
        <v>2.1389486933715331</v>
      </c>
    </row>
    <row r="18" spans="2:12" ht="16">
      <c r="B18" s="21" t="str">
        <f t="shared" si="0"/>
        <v>Integra LifeSciences Holdings Corporation</v>
      </c>
      <c r="C18" s="244" t="s">
        <v>309</v>
      </c>
      <c r="D18" s="21">
        <f t="shared" si="1"/>
        <v>1.08</v>
      </c>
      <c r="E18" s="21">
        <f t="shared" si="1"/>
        <v>2007.7</v>
      </c>
      <c r="F18" s="270">
        <f t="shared" si="6"/>
        <v>0.65954741586945698</v>
      </c>
      <c r="G18" s="21">
        <f t="shared" si="2"/>
        <v>0</v>
      </c>
      <c r="H18" s="271">
        <f t="shared" si="7"/>
        <v>0</v>
      </c>
      <c r="I18" s="272">
        <f t="shared" si="3"/>
        <v>1036.357109</v>
      </c>
      <c r="J18" s="270">
        <f t="shared" si="8"/>
        <v>0.34045258413054297</v>
      </c>
      <c r="K18" s="271">
        <f t="shared" si="4"/>
        <v>0.2</v>
      </c>
      <c r="L18" s="273">
        <f t="shared" si="5"/>
        <v>0.42356042801310778</v>
      </c>
    </row>
    <row r="19" spans="2:12" ht="16">
      <c r="B19" s="21" t="str">
        <f t="shared" si="0"/>
        <v>CureVac N.V.</v>
      </c>
      <c r="C19" s="448" t="s">
        <v>311</v>
      </c>
      <c r="D19" s="21">
        <f t="shared" si="1"/>
        <v>1.78</v>
      </c>
      <c r="E19" s="21">
        <f t="shared" si="1"/>
        <v>41.5</v>
      </c>
      <c r="F19" s="270">
        <f t="shared" si="6"/>
        <v>3.4394333461458447E-2</v>
      </c>
      <c r="G19" s="21">
        <f t="shared" si="2"/>
        <v>0</v>
      </c>
      <c r="H19" s="271">
        <f t="shared" si="7"/>
        <v>0</v>
      </c>
      <c r="I19" s="272">
        <f t="shared" si="3"/>
        <v>1165.0941049999999</v>
      </c>
      <c r="J19" s="270">
        <f t="shared" si="8"/>
        <v>0.96560566653854152</v>
      </c>
      <c r="K19" s="271">
        <f t="shared" si="4"/>
        <v>0.121</v>
      </c>
      <c r="L19" s="273">
        <f t="shared" si="5"/>
        <v>1.7259610432779466</v>
      </c>
    </row>
    <row r="20" spans="2:12" ht="16">
      <c r="B20" s="21" t="str">
        <f t="shared" si="0"/>
        <v>CareDx, Inc</v>
      </c>
      <c r="C20" s="449" t="s">
        <v>313</v>
      </c>
      <c r="D20" s="21">
        <f t="shared" si="1"/>
        <v>2.56</v>
      </c>
      <c r="E20" s="21">
        <f t="shared" si="1"/>
        <v>29.1</v>
      </c>
      <c r="F20" s="270">
        <f t="shared" si="6"/>
        <v>2.867288865065977E-2</v>
      </c>
      <c r="G20" s="21">
        <f t="shared" si="2"/>
        <v>0</v>
      </c>
      <c r="H20" s="271">
        <f t="shared" si="7"/>
        <v>0</v>
      </c>
      <c r="I20" s="272">
        <f t="shared" si="3"/>
        <v>985.79600000000016</v>
      </c>
      <c r="J20" s="270">
        <f t="shared" si="8"/>
        <v>0.97132711134934024</v>
      </c>
      <c r="K20" s="271">
        <f t="shared" si="4"/>
        <v>5.0000000000000001E-3</v>
      </c>
      <c r="L20" s="273">
        <f t="shared" si="5"/>
        <v>2.4869539458221506</v>
      </c>
    </row>
    <row r="21" spans="2:12" ht="16">
      <c r="B21" s="2"/>
      <c r="C21" s="2"/>
      <c r="D21" s="2"/>
      <c r="E21" s="2"/>
      <c r="F21" s="2"/>
      <c r="G21" s="2"/>
      <c r="H21" s="2"/>
      <c r="I21" s="2"/>
      <c r="J21" s="2"/>
      <c r="K21" s="2"/>
      <c r="L21" s="55"/>
    </row>
    <row r="22" spans="2:12" ht="16">
      <c r="B22" s="274" t="s">
        <v>267</v>
      </c>
      <c r="C22" s="275"/>
      <c r="D22" s="276">
        <f>MEDIAN(D15:D19)</f>
        <v>1.27</v>
      </c>
      <c r="E22" s="277">
        <f t="shared" ref="E22:L22" si="9">MEDIAN(E15:E19)</f>
        <v>642.20000000000005</v>
      </c>
      <c r="F22" s="278">
        <f t="shared" si="9"/>
        <v>7.6783647546079761E-2</v>
      </c>
      <c r="G22" s="276">
        <f t="shared" si="9"/>
        <v>0</v>
      </c>
      <c r="H22" s="279">
        <f t="shared" si="9"/>
        <v>0</v>
      </c>
      <c r="I22" s="280">
        <f t="shared" si="9"/>
        <v>1165.0941049999999</v>
      </c>
      <c r="J22" s="278">
        <f t="shared" si="9"/>
        <v>0.92321635245392031</v>
      </c>
      <c r="K22" s="281">
        <f t="shared" si="9"/>
        <v>0.2</v>
      </c>
      <c r="L22" s="281">
        <f t="shared" si="9"/>
        <v>1.1813949670443893</v>
      </c>
    </row>
    <row r="23" spans="2:12" ht="16">
      <c r="B23" s="2"/>
      <c r="C23" s="2"/>
      <c r="D23" s="2"/>
      <c r="E23" s="2"/>
      <c r="F23" s="2"/>
      <c r="G23" s="2"/>
      <c r="H23" s="2"/>
      <c r="I23" s="2"/>
      <c r="J23" s="2"/>
      <c r="K23" s="2"/>
      <c r="L23" s="55"/>
    </row>
    <row r="24" spans="2:12" ht="16">
      <c r="B24" s="282" t="str">
        <f>Company_Name</f>
        <v>Butterfly Network, inc.</v>
      </c>
      <c r="C24" s="282" t="str">
        <f>Ticker</f>
        <v>BFLY</v>
      </c>
      <c r="D24" s="282">
        <f>INDEX(Pub_Comps_Range,MATCH(D$11,Pub_Comps_Params,0),MATCH($C24,Pub_Comps_Tickers,0))</f>
        <v>2.2400000000000002</v>
      </c>
      <c r="E24" s="282">
        <f>INDEX(Pub_Comps_Range,MATCH(E$11,Pub_Comps_Params,0),MATCH($C24,Pub_Comps_Tickers,0))</f>
        <v>0</v>
      </c>
      <c r="F24" s="283">
        <f t="shared" ref="F24:J24" si="10">E24/($E24+$G24+$I24)</f>
        <v>0</v>
      </c>
      <c r="G24" s="284">
        <f>INDEX(Pub_Comps_Range,MATCH(G$11,Pub_Comps_Params,0),MATCH($C24,Pub_Comps_Tickers,0))</f>
        <v>0</v>
      </c>
      <c r="H24" s="285">
        <f t="shared" si="10"/>
        <v>0</v>
      </c>
      <c r="I24" s="282">
        <f>INDEX(Pub_Comps_Range,MATCH(I$11,Pub_Comps_Params,0),MATCH($C24,Pub_Comps_Tickers,0))</f>
        <v>697.61267999999995</v>
      </c>
      <c r="J24" s="286">
        <f t="shared" si="10"/>
        <v>1</v>
      </c>
      <c r="K24" s="287">
        <v>0.13200000000000001</v>
      </c>
      <c r="L24" s="287">
        <f t="shared" ref="L24" si="11">IFERROR(D24/(1+(E24/I24)*(1-K24)+G24/I24),"N/A")</f>
        <v>2.2400000000000002</v>
      </c>
    </row>
    <row r="25" spans="2:12" ht="16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</row>
    <row r="26" spans="2:12" ht="16">
      <c r="B26" s="267" t="str">
        <f>TEXT(Company_Name,"")&amp; " - Levered Beta &amp; WACC Calculation:"</f>
        <v>Butterfly Network, inc. - Levered Beta &amp; WACC Calculation:</v>
      </c>
      <c r="C26" s="267"/>
      <c r="D26" s="267"/>
      <c r="E26" s="267"/>
      <c r="F26" s="267"/>
      <c r="G26" s="267"/>
      <c r="H26" s="267"/>
      <c r="I26" s="267"/>
      <c r="J26" s="267"/>
      <c r="K26" s="267"/>
      <c r="L26" s="267"/>
    </row>
    <row r="27" spans="2:12" ht="16">
      <c r="B27" s="267"/>
      <c r="C27" s="267"/>
      <c r="D27" s="268" t="s">
        <v>257</v>
      </c>
      <c r="E27" s="268"/>
      <c r="F27" s="268"/>
      <c r="G27" s="268" t="s">
        <v>255</v>
      </c>
      <c r="H27" s="268"/>
      <c r="I27" s="268" t="s">
        <v>256</v>
      </c>
      <c r="J27" s="268"/>
      <c r="K27" s="268"/>
      <c r="L27" s="268" t="s">
        <v>254</v>
      </c>
    </row>
    <row r="28" spans="2:12" ht="16">
      <c r="B28" s="267"/>
      <c r="C28" s="267" t="s">
        <v>258</v>
      </c>
      <c r="D28" s="268" t="s">
        <v>259</v>
      </c>
      <c r="E28" s="268" t="s">
        <v>260</v>
      </c>
      <c r="F28" s="268" t="s">
        <v>261</v>
      </c>
      <c r="G28" s="268" t="s">
        <v>262</v>
      </c>
      <c r="H28" s="268" t="s">
        <v>263</v>
      </c>
      <c r="I28" s="268" t="s">
        <v>264</v>
      </c>
      <c r="J28" s="268" t="s">
        <v>265</v>
      </c>
      <c r="K28" s="268" t="s">
        <v>266</v>
      </c>
      <c r="L28" s="268" t="s">
        <v>259</v>
      </c>
    </row>
    <row r="29" spans="2:12" ht="16">
      <c r="B29" s="21" t="s">
        <v>268</v>
      </c>
      <c r="C29" s="21" t="str">
        <f>C24</f>
        <v>BFLY</v>
      </c>
      <c r="D29" s="288">
        <f>L24</f>
        <v>2.2400000000000002</v>
      </c>
      <c r="E29" s="133">
        <v>5461</v>
      </c>
      <c r="F29" s="289">
        <v>3.3001557194883353E-2</v>
      </c>
      <c r="G29" s="133">
        <v>0</v>
      </c>
      <c r="H29" s="290">
        <v>0</v>
      </c>
      <c r="I29" s="133">
        <v>160016.03999999998</v>
      </c>
      <c r="J29" s="291">
        <v>0.9669984428051166</v>
      </c>
      <c r="K29" s="289">
        <v>0.13200000000000001</v>
      </c>
      <c r="L29" s="288">
        <f>D29*(1+E29/I29*(1-K29)+G29/I29)</f>
        <v>2.306355419869158</v>
      </c>
    </row>
    <row r="30" spans="2:12" ht="16">
      <c r="B30" s="21" t="s">
        <v>269</v>
      </c>
      <c r="C30" s="288"/>
      <c r="D30" s="288">
        <f>L22</f>
        <v>1.1813949670443893</v>
      </c>
      <c r="E30" s="133">
        <f>(E29+I29)*F30</f>
        <v>12705.930716328541</v>
      </c>
      <c r="F30" s="290">
        <f>F22</f>
        <v>7.6783647546079761E-2</v>
      </c>
      <c r="G30" s="133">
        <v>0</v>
      </c>
      <c r="H30" s="290">
        <v>0</v>
      </c>
      <c r="I30" s="133">
        <f>(I29+E29)*J30</f>
        <v>152771.10928367145</v>
      </c>
      <c r="J30" s="292">
        <f>J22</f>
        <v>0.92321635245392031</v>
      </c>
      <c r="K30" s="289">
        <v>0.13200000000000001</v>
      </c>
      <c r="L30" s="288">
        <f>D30*(1+E30/I30*(1-K30)+G30/I30)</f>
        <v>1.2666814278012268</v>
      </c>
    </row>
    <row r="31" spans="2:12" ht="16">
      <c r="B31" s="2"/>
      <c r="C31" s="293"/>
      <c r="D31" s="2"/>
      <c r="E31" s="2"/>
      <c r="F31" s="2"/>
      <c r="G31" s="2"/>
      <c r="H31" s="2"/>
      <c r="I31" s="2"/>
      <c r="J31" s="2"/>
      <c r="K31" s="2"/>
      <c r="L31" s="2"/>
    </row>
    <row r="32" spans="2:12" ht="16">
      <c r="B32" s="294" t="s">
        <v>270</v>
      </c>
      <c r="C32" s="294"/>
      <c r="D32" s="294"/>
      <c r="E32" s="294"/>
      <c r="F32" s="294"/>
      <c r="G32" s="294"/>
      <c r="H32" s="294"/>
      <c r="I32" s="294"/>
      <c r="J32" s="294"/>
      <c r="K32" s="294"/>
      <c r="L32" s="295">
        <f>Risk_Free_Rate+Equity_Risk_Premium*L29</f>
        <v>0.12572243969542052</v>
      </c>
    </row>
    <row r="33" spans="2:12" ht="16">
      <c r="B33" s="294" t="s">
        <v>271</v>
      </c>
      <c r="C33" s="294"/>
      <c r="D33" s="294"/>
      <c r="E33" s="294"/>
      <c r="F33" s="294"/>
      <c r="G33" s="294"/>
      <c r="H33" s="294"/>
      <c r="I33" s="294"/>
      <c r="J33" s="294"/>
      <c r="K33" s="294"/>
      <c r="L33" s="295">
        <f>Risk_Free_Rate+Equity_Risk_Premium*L30</f>
        <v>8.9333849973042945E-2</v>
      </c>
    </row>
    <row r="34" spans="2:12" ht="16">
      <c r="B34" s="294" t="s">
        <v>272</v>
      </c>
      <c r="C34" s="294"/>
      <c r="D34" s="294"/>
      <c r="E34" s="294"/>
      <c r="F34" s="294"/>
      <c r="G34" s="294"/>
      <c r="H34" s="294"/>
      <c r="I34" s="294"/>
      <c r="J34" s="294"/>
      <c r="K34" s="294"/>
      <c r="L34" s="295">
        <f>Risk_Free_Rate+Equity_Risk_Premium*D24</f>
        <v>0.12340000000000001</v>
      </c>
    </row>
    <row r="35" spans="2:12" ht="16"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</row>
    <row r="36" spans="2:12" ht="16">
      <c r="B36" s="294" t="s">
        <v>273</v>
      </c>
      <c r="C36" s="294"/>
      <c r="D36" s="294"/>
      <c r="E36" s="294"/>
      <c r="F36" s="294"/>
      <c r="G36" s="294"/>
      <c r="H36" s="294"/>
      <c r="I36" s="294"/>
      <c r="J36" s="294"/>
      <c r="K36" s="294"/>
      <c r="L36" s="295">
        <f>L32*J29+Cost_of_Debt*(1-K29)*F29+Cost_of_Preferred*H29</f>
        <v>0.122298734660993</v>
      </c>
    </row>
    <row r="37" spans="2:12" ht="16">
      <c r="B37" s="294" t="s">
        <v>274</v>
      </c>
      <c r="C37" s="294"/>
      <c r="D37" s="294"/>
      <c r="E37" s="294"/>
      <c r="F37" s="294"/>
      <c r="G37" s="294"/>
      <c r="H37" s="294"/>
      <c r="I37" s="294"/>
      <c r="J37" s="294"/>
      <c r="K37" s="294"/>
      <c r="L37" s="295">
        <f>L33*J30+Cost_of_Debt*(1-K30)*F30+Cost_of_Preferred*H30</f>
        <v>8.4162075701999142E-2</v>
      </c>
    </row>
    <row r="38" spans="2:12" ht="16">
      <c r="B38" s="294" t="s">
        <v>275</v>
      </c>
      <c r="C38" s="294"/>
      <c r="D38" s="294"/>
      <c r="E38" s="294"/>
      <c r="F38" s="294"/>
      <c r="G38" s="294"/>
      <c r="H38" s="294"/>
      <c r="I38" s="294"/>
      <c r="J38" s="294"/>
      <c r="K38" s="294"/>
      <c r="L38" s="295">
        <f>L34*J29+Cost_of_Debt*(1-K29)*F29+Cost_of_Preferred*H29</f>
        <v>0.12005293909201258</v>
      </c>
    </row>
    <row r="39" spans="2:12" ht="16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2:12" ht="16">
      <c r="B40" s="294" t="s">
        <v>276</v>
      </c>
      <c r="C40" s="294"/>
      <c r="D40" s="294"/>
      <c r="E40" s="294"/>
      <c r="F40" s="294"/>
      <c r="G40" s="294"/>
      <c r="H40" s="294"/>
      <c r="I40" s="294"/>
      <c r="J40" s="294"/>
      <c r="K40" s="294"/>
      <c r="L40" s="296">
        <f>AVERAGE(L36:L38)</f>
        <v>0.10883791648500157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6534-5F13-4A84-874C-C4E8BF6EA253}">
  <dimension ref="B2:V46"/>
  <sheetViews>
    <sheetView showGridLines="0" topLeftCell="A10" zoomScale="64" workbookViewId="0">
      <selection activeCell="I35" sqref="I35"/>
    </sheetView>
  </sheetViews>
  <sheetFormatPr defaultRowHeight="14.5"/>
  <cols>
    <col min="2" max="2" width="55" bestFit="1" customWidth="1"/>
    <col min="3" max="3" width="9.7265625" bestFit="1" customWidth="1"/>
    <col min="4" max="4" width="10.1796875" bestFit="1" customWidth="1"/>
    <col min="5" max="5" width="11.453125" bestFit="1" customWidth="1"/>
    <col min="6" max="6" width="10.1796875" bestFit="1" customWidth="1"/>
    <col min="7" max="7" width="9.453125" bestFit="1" customWidth="1"/>
    <col min="8" max="8" width="10.453125" bestFit="1" customWidth="1"/>
    <col min="9" max="10" width="11.1796875" bestFit="1" customWidth="1"/>
    <col min="11" max="11" width="12.1796875" bestFit="1" customWidth="1"/>
    <col min="12" max="13" width="10.81640625" bestFit="1" customWidth="1"/>
    <col min="15" max="15" width="12.453125" bestFit="1" customWidth="1"/>
  </cols>
  <sheetData>
    <row r="2" spans="2:22" ht="18.5">
      <c r="B2" s="453" t="str">
        <f>"Valuation Summary - "&amp;Company_Name</f>
        <v>Valuation Summary - Butterfly Network, inc.</v>
      </c>
      <c r="C2" s="454"/>
      <c r="D2" s="454"/>
      <c r="E2" s="454"/>
      <c r="F2" s="454"/>
      <c r="G2" s="454"/>
      <c r="H2" s="454"/>
      <c r="I2" s="454"/>
      <c r="J2" s="454"/>
      <c r="K2" s="454"/>
      <c r="L2" s="454"/>
      <c r="M2" s="454"/>
    </row>
    <row r="3" spans="2:22" ht="16">
      <c r="B3" s="21" t="s">
        <v>247</v>
      </c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</row>
    <row r="4" spans="2:22" ht="16">
      <c r="B4" s="454"/>
      <c r="C4" s="454"/>
      <c r="D4" s="454"/>
      <c r="E4" s="454"/>
      <c r="F4" s="454"/>
      <c r="G4" s="454"/>
      <c r="H4" s="454"/>
      <c r="I4" s="454"/>
      <c r="J4" s="454"/>
      <c r="K4" s="454"/>
      <c r="L4" s="454"/>
      <c r="M4" s="454"/>
    </row>
    <row r="5" spans="2:22" ht="16">
      <c r="B5" s="365" t="str">
        <f>"Valuation Statistics - "&amp;TEXT(Company_Name,"")</f>
        <v>Valuation Statistics - Butterfly Network, inc.</v>
      </c>
      <c r="C5" s="365" t="s">
        <v>347</v>
      </c>
      <c r="D5" s="365"/>
      <c r="E5" s="365"/>
      <c r="F5" s="365"/>
      <c r="G5" s="365"/>
      <c r="H5" s="365"/>
      <c r="I5" s="365" t="s">
        <v>348</v>
      </c>
      <c r="J5" s="365"/>
      <c r="K5" s="365"/>
      <c r="L5" s="365"/>
      <c r="M5" s="365"/>
    </row>
    <row r="6" spans="2:22" ht="16">
      <c r="B6" s="368"/>
      <c r="C6" s="369"/>
      <c r="D6" s="366"/>
      <c r="E6" s="366"/>
      <c r="F6" s="367"/>
      <c r="G6" s="366"/>
      <c r="H6" s="366"/>
      <c r="I6" s="366"/>
      <c r="J6" s="366"/>
      <c r="K6" s="366"/>
      <c r="L6" s="366"/>
      <c r="M6" s="366"/>
    </row>
    <row r="7" spans="2:22" ht="16">
      <c r="B7" s="368"/>
      <c r="C7" s="369"/>
      <c r="D7" s="369" t="s">
        <v>349</v>
      </c>
      <c r="E7" s="369"/>
      <c r="F7" s="369" t="s">
        <v>350</v>
      </c>
      <c r="G7" s="366"/>
      <c r="H7" s="369" t="s">
        <v>351</v>
      </c>
      <c r="I7" s="369"/>
      <c r="J7" s="369" t="s">
        <v>350</v>
      </c>
      <c r="K7" s="369"/>
      <c r="L7" s="369" t="s">
        <v>349</v>
      </c>
      <c r="M7" s="369"/>
    </row>
    <row r="8" spans="2:22" ht="16">
      <c r="B8" s="368"/>
      <c r="C8" s="369" t="s">
        <v>301</v>
      </c>
      <c r="D8" s="369" t="s">
        <v>352</v>
      </c>
      <c r="E8" s="369" t="s">
        <v>303</v>
      </c>
      <c r="F8" s="369" t="s">
        <v>352</v>
      </c>
      <c r="G8" s="369" t="s">
        <v>305</v>
      </c>
      <c r="H8" s="369" t="s">
        <v>353</v>
      </c>
      <c r="I8" s="369" t="s">
        <v>305</v>
      </c>
      <c r="J8" s="369" t="s">
        <v>352</v>
      </c>
      <c r="K8" s="369" t="s">
        <v>303</v>
      </c>
      <c r="L8" s="369" t="s">
        <v>352</v>
      </c>
      <c r="M8" s="369" t="s">
        <v>301</v>
      </c>
    </row>
    <row r="9" spans="2:22" ht="16">
      <c r="B9" s="365" t="s">
        <v>354</v>
      </c>
      <c r="C9" s="369" t="s">
        <v>355</v>
      </c>
      <c r="D9" s="369" t="s">
        <v>355</v>
      </c>
      <c r="E9" s="369" t="s">
        <v>355</v>
      </c>
      <c r="F9" s="369" t="s">
        <v>355</v>
      </c>
      <c r="G9" s="369" t="s">
        <v>355</v>
      </c>
      <c r="H9" s="369" t="s">
        <v>356</v>
      </c>
      <c r="I9" s="369" t="s">
        <v>355</v>
      </c>
      <c r="J9" s="369" t="s">
        <v>355</v>
      </c>
      <c r="K9" s="369" t="s">
        <v>355</v>
      </c>
      <c r="L9" s="369" t="s">
        <v>355</v>
      </c>
      <c r="M9" s="369" t="s">
        <v>355</v>
      </c>
    </row>
    <row r="11" spans="2:22" ht="16">
      <c r="B11" s="32" t="s">
        <v>357</v>
      </c>
    </row>
    <row r="12" spans="2:22" ht="16">
      <c r="B12" s="28" t="s">
        <v>358</v>
      </c>
      <c r="C12" s="455" cm="1">
        <f t="array" ref="C12:G20">TRANSPOSE(PubComps!N34:V38)</f>
        <v>3.8137988671185807</v>
      </c>
      <c r="D12" s="455">
        <v>2.390026770091922</v>
      </c>
      <c r="E12" s="455">
        <v>1.978244455945211</v>
      </c>
      <c r="F12" s="455">
        <v>1.5900165750737385</v>
      </c>
      <c r="G12" s="455">
        <v>1.0954752596060464</v>
      </c>
      <c r="H12" s="456" cm="1">
        <f t="array" ref="H12:H20">TRANSPOSE(PubComps!N21:V21)</f>
        <v>203.9</v>
      </c>
      <c r="I12" s="458">
        <f>(I34+SUM($E$33:$E$39))/$E$42</f>
        <v>1.3727182612853375</v>
      </c>
      <c r="J12" s="459">
        <f>(J34+SUM($E$33:$E$39))/$E$42</f>
        <v>1.8161721256763066</v>
      </c>
      <c r="K12" s="459">
        <f t="shared" ref="K12:M12" si="0">(K34+SUM($E$33:$E$39))/$E$42</f>
        <v>2.1642950198655551</v>
      </c>
      <c r="L12" s="459">
        <f t="shared" si="0"/>
        <v>2.5335391108744578</v>
      </c>
      <c r="M12" s="459">
        <f t="shared" si="0"/>
        <v>3.8102317120606828</v>
      </c>
      <c r="N12" s="117"/>
      <c r="O12" s="460"/>
      <c r="P12" s="117"/>
      <c r="Q12" s="117"/>
      <c r="R12" s="117"/>
      <c r="S12" s="117"/>
      <c r="T12" s="117"/>
      <c r="U12" s="117"/>
      <c r="V12" s="117"/>
    </row>
    <row r="13" spans="2:22" ht="16">
      <c r="B13" s="28" t="str">
        <f>"CY "&amp;TEXT(EOMONTH(Hist_Year,12),"YY")&amp;" TEV / Revenue:"</f>
        <v>CY 25 TEV / Revenue:</v>
      </c>
      <c r="C13" s="455">
        <v>9.7895338311688302</v>
      </c>
      <c r="D13" s="455">
        <v>4.6092280169684807</v>
      </c>
      <c r="E13" s="455">
        <v>2.139107753320872</v>
      </c>
      <c r="F13" s="455">
        <v>1.7826113228259772</v>
      </c>
      <c r="G13" s="455">
        <v>1.1954076086956522</v>
      </c>
      <c r="H13" s="457">
        <v>63.442999999999998</v>
      </c>
      <c r="I13" s="458">
        <f t="shared" ref="I13:M20" si="1">(I35+SUM($E$33:$E$39))/$E$42</f>
        <v>0.72393352794088683</v>
      </c>
      <c r="J13" s="459">
        <f t="shared" si="1"/>
        <v>0.88776643719622006</v>
      </c>
      <c r="K13" s="459">
        <f t="shared" ref="K13:M14" si="2">(K35+SUM($E$33:$E$39))/$E$42</f>
        <v>0.987230806956929</v>
      </c>
      <c r="L13" s="459">
        <f t="shared" si="2"/>
        <v>1.6764072873940428</v>
      </c>
      <c r="M13" s="459">
        <f t="shared" si="2"/>
        <v>3.1217397196483754</v>
      </c>
      <c r="N13" s="117"/>
      <c r="O13" s="460"/>
      <c r="P13" s="117"/>
      <c r="Q13" s="117"/>
      <c r="R13" s="117"/>
      <c r="S13" s="117"/>
      <c r="T13" s="117"/>
      <c r="U13" s="117"/>
      <c r="V13" s="117"/>
    </row>
    <row r="14" spans="2:22" ht="16">
      <c r="B14" s="28" t="str">
        <f>"CY "&amp;TEXT(EOMONTH(Hist_Year,24),"YY")&amp;" TEV / Revenue:"</f>
        <v>CY 26 TEV / Revenue:</v>
      </c>
      <c r="C14" s="455">
        <v>7.6140818686868679</v>
      </c>
      <c r="D14" s="455">
        <v>4.2940256470852116</v>
      </c>
      <c r="E14" s="455">
        <v>1.98089556566786</v>
      </c>
      <c r="F14" s="455">
        <v>1.69380825620066</v>
      </c>
      <c r="G14" s="455">
        <v>1.1485900783289817</v>
      </c>
      <c r="H14" s="457">
        <v>56.95</v>
      </c>
      <c r="I14" s="458">
        <f t="shared" si="1"/>
        <v>0.67807381573875514</v>
      </c>
      <c r="J14" s="459">
        <f t="shared" si="1"/>
        <v>0.81462412678933827</v>
      </c>
      <c r="K14" s="459">
        <f t="shared" si="2"/>
        <v>0.88652536375735369</v>
      </c>
      <c r="L14" s="459">
        <f t="shared" si="2"/>
        <v>1.4658505677536515</v>
      </c>
      <c r="M14" s="459">
        <f t="shared" si="2"/>
        <v>2.2973611962782758</v>
      </c>
      <c r="N14" s="461"/>
      <c r="O14" s="460"/>
      <c r="P14" s="461"/>
      <c r="Q14" s="461"/>
      <c r="R14" s="461"/>
      <c r="S14" s="461"/>
      <c r="T14" s="461"/>
      <c r="U14" s="461"/>
      <c r="V14" s="461"/>
    </row>
    <row r="15" spans="2:22" ht="16">
      <c r="B15" s="28" t="s">
        <v>359</v>
      </c>
      <c r="C15" s="455">
        <v>19.048183908045974</v>
      </c>
      <c r="D15" s="455">
        <v>14.799891558813767</v>
      </c>
      <c r="E15" s="455">
        <v>8.5982499753183461</v>
      </c>
      <c r="F15" s="455">
        <v>3.7193967212464276</v>
      </c>
      <c r="G15" s="455">
        <v>3.4394693602847228</v>
      </c>
      <c r="H15" s="457">
        <v>258.89999999999998</v>
      </c>
      <c r="I15" s="458">
        <f t="shared" si="1"/>
        <v>4.3064937656788542</v>
      </c>
      <c r="J15" s="459">
        <f t="shared" si="1"/>
        <v>4.6252113599133651</v>
      </c>
      <c r="K15" s="459">
        <f t="shared" si="1"/>
        <v>10.180139489906855</v>
      </c>
      <c r="L15" s="459">
        <f t="shared" si="1"/>
        <v>17.241158030594505</v>
      </c>
      <c r="M15" s="459">
        <f t="shared" si="1"/>
        <v>22.078146856911484</v>
      </c>
      <c r="N15" s="117"/>
      <c r="O15" s="460"/>
      <c r="P15" s="117"/>
      <c r="Q15" s="117"/>
      <c r="R15" s="117"/>
      <c r="S15" s="117"/>
      <c r="T15" s="117"/>
      <c r="U15" s="117"/>
      <c r="V15" s="117"/>
    </row>
    <row r="16" spans="2:22" ht="16">
      <c r="B16" s="28" t="str">
        <f>"CY "&amp;TEXT(EOMONTH(Hist_Year,12),"YY")&amp;" TEV / EBITDA:"</f>
        <v>CY 25 TEV / EBITDA:</v>
      </c>
      <c r="C16" s="455">
        <v>25.126470166666664</v>
      </c>
      <c r="D16" s="455">
        <v>16.527484909456739</v>
      </c>
      <c r="E16" s="455">
        <v>12.563107035313442</v>
      </c>
      <c r="F16" s="455">
        <v>8.8412646783439506</v>
      </c>
      <c r="G16" s="455">
        <v>4.6798936170212766</v>
      </c>
      <c r="H16" s="457">
        <v>-46.163567797883672</v>
      </c>
      <c r="I16" s="458">
        <f t="shared" si="1"/>
        <v>-0.55967978484649605</v>
      </c>
      <c r="J16" s="459">
        <f t="shared" si="1"/>
        <v>-1.4045002919994949</v>
      </c>
      <c r="K16" s="459">
        <f t="shared" ref="K16:M17" si="3">(K38+SUM($E$33:$E$39))/$E$42</f>
        <v>-2.1600899044670454</v>
      </c>
      <c r="L16" s="459">
        <f t="shared" si="3"/>
        <v>-2.9649178510321716</v>
      </c>
      <c r="M16" s="459">
        <f t="shared" si="3"/>
        <v>-4.7106403494455256</v>
      </c>
      <c r="N16" s="117"/>
      <c r="O16" s="460"/>
      <c r="P16" s="117"/>
      <c r="Q16" s="117"/>
      <c r="R16" s="117"/>
      <c r="S16" s="117"/>
      <c r="T16" s="117"/>
      <c r="U16" s="117"/>
      <c r="V16" s="117"/>
    </row>
    <row r="17" spans="2:15" ht="16">
      <c r="B17" s="28" t="str">
        <f>"CY "&amp;TEXT(EOMONTH(Hist_Year,24),"YY")&amp;" TEV / EBITDA:"</f>
        <v>CY 26 TEV / EBITDA:</v>
      </c>
      <c r="C17" s="455">
        <v>16.386828369565215</v>
      </c>
      <c r="D17" s="455">
        <v>15.099558823529412</v>
      </c>
      <c r="E17" s="455">
        <v>11.704419790869675</v>
      </c>
      <c r="F17" s="455">
        <v>8.3368081351351364</v>
      </c>
      <c r="G17" s="455">
        <v>4.3555445544554461</v>
      </c>
      <c r="H17" s="457">
        <v>-3.7799891246833668</v>
      </c>
      <c r="I17" s="458">
        <f t="shared" si="1"/>
        <v>0.31800470096347494</v>
      </c>
      <c r="J17" s="459">
        <f t="shared" si="1"/>
        <v>0.25182266552890353</v>
      </c>
      <c r="K17" s="459">
        <f t="shared" si="3"/>
        <v>0.19584159584759167</v>
      </c>
      <c r="L17" s="459">
        <f t="shared" si="3"/>
        <v>0.13940292827099721</v>
      </c>
      <c r="M17" s="459">
        <f t="shared" si="3"/>
        <v>0.11800416454105557</v>
      </c>
      <c r="O17" s="460"/>
    </row>
    <row r="18" spans="2:15" ht="16">
      <c r="B18" s="28" t="s">
        <v>340</v>
      </c>
      <c r="C18" s="455">
        <v>16.998703056768559</v>
      </c>
      <c r="D18" s="455">
        <v>16.966342430858809</v>
      </c>
      <c r="E18" s="455">
        <v>11.486024885962649</v>
      </c>
      <c r="F18" s="455">
        <v>5.8336593422616367</v>
      </c>
      <c r="G18" s="455">
        <v>5.2851547199373288</v>
      </c>
      <c r="H18" s="457">
        <v>-65.400000000000006</v>
      </c>
      <c r="I18" s="458">
        <f t="shared" si="1"/>
        <v>-1.1296632159897151</v>
      </c>
      <c r="J18" s="459">
        <f t="shared" si="1"/>
        <v>-1.2874195038652145</v>
      </c>
      <c r="K18" s="459">
        <f t="shared" si="1"/>
        <v>-2.9131053588194615</v>
      </c>
      <c r="L18" s="459">
        <f t="shared" si="1"/>
        <v>-4.489308214865062</v>
      </c>
      <c r="M18" s="459">
        <f t="shared" si="1"/>
        <v>-4.4986155060146178</v>
      </c>
      <c r="O18" s="460"/>
    </row>
    <row r="19" spans="2:15" ht="16">
      <c r="B19" s="28" t="str">
        <f>"CY "&amp;TEXT(EOMONTH(Hist_Year,12),"YY")&amp;" P / E:"</f>
        <v>CY 25 P / E:</v>
      </c>
      <c r="C19" s="455">
        <v>36.945263157894736</v>
      </c>
      <c r="D19" s="455">
        <v>23.165358012756126</v>
      </c>
      <c r="E19" s="455">
        <v>14.310017510557088</v>
      </c>
      <c r="F19" s="455">
        <v>9.0690566890028954</v>
      </c>
      <c r="G19" s="455">
        <v>6.1322905857988168</v>
      </c>
      <c r="H19" s="457">
        <v>-49.463490660383677</v>
      </c>
      <c r="I19" s="458">
        <f t="shared" si="1"/>
        <v>-0.9435309297568869</v>
      </c>
      <c r="J19" s="459">
        <f t="shared" si="1"/>
        <v>-1.5823571873652531</v>
      </c>
      <c r="K19" s="459">
        <f t="shared" ref="K19:M20" si="4">(K41+SUM($E$33:$E$39))/$E$42</f>
        <v>-2.7224082742573001</v>
      </c>
      <c r="L19" s="459">
        <f t="shared" si="4"/>
        <v>-4.6486849452852228</v>
      </c>
      <c r="M19" s="459">
        <f t="shared" si="4"/>
        <v>-7.6461879553012153</v>
      </c>
    </row>
    <row r="20" spans="2:15" ht="16">
      <c r="B20" s="28" t="str">
        <f>"CY "&amp;TEXT(EOMONTH(Hist_Year,24),"YY")&amp;" P / E:"</f>
        <v>CY 26 P / E:</v>
      </c>
      <c r="C20" s="455">
        <v>29.137962264150946</v>
      </c>
      <c r="D20" s="455">
        <v>20.882661269344677</v>
      </c>
      <c r="E20" s="455">
        <v>13.606360597076421</v>
      </c>
      <c r="F20" s="455">
        <v>8.242802663302168</v>
      </c>
      <c r="G20" s="455">
        <v>5.7257298839779009</v>
      </c>
      <c r="H20" s="457">
        <v>-8.5019707914333669</v>
      </c>
      <c r="I20" s="458">
        <f t="shared" si="1"/>
        <v>0.17632706700726827</v>
      </c>
      <c r="J20" s="459">
        <f t="shared" si="1"/>
        <v>8.2215279990570406E-2</v>
      </c>
      <c r="K20" s="459">
        <f t="shared" si="4"/>
        <v>-0.11832481803972733</v>
      </c>
      <c r="L20" s="459">
        <f t="shared" si="4"/>
        <v>-0.39038117841314607</v>
      </c>
      <c r="M20" s="459">
        <f t="shared" si="4"/>
        <v>-0.69904175245920663</v>
      </c>
    </row>
    <row r="21" spans="2:15" ht="16">
      <c r="B21" s="28"/>
      <c r="C21" s="455"/>
      <c r="D21" s="455"/>
      <c r="E21" s="455"/>
      <c r="F21" s="455"/>
      <c r="G21" s="455"/>
      <c r="H21" s="457"/>
      <c r="I21" s="458"/>
      <c r="J21" s="459"/>
      <c r="K21" s="459"/>
      <c r="L21" s="459"/>
      <c r="M21" s="459"/>
    </row>
    <row r="22" spans="2:15" ht="16">
      <c r="B22" s="300" t="s">
        <v>365</v>
      </c>
      <c r="C22" s="455"/>
      <c r="D22" s="455"/>
      <c r="E22" s="455"/>
      <c r="F22" s="455"/>
      <c r="G22" s="455"/>
      <c r="H22" s="457"/>
      <c r="I22" s="479"/>
      <c r="J22" s="479"/>
      <c r="K22" s="479"/>
      <c r="L22" s="479"/>
      <c r="M22" s="479"/>
    </row>
    <row r="23" spans="2:15" ht="16">
      <c r="B23" s="480" t="str">
        <f>TEXT(LTM,"yyyy-mm-dd")&amp;" EV / Revenue:"</f>
        <v>2025-09-30 EV / Revenue:</v>
      </c>
      <c r="C23" s="455" cm="1">
        <f t="array" ref="C23:G24">TRANSPOSE(MAComps!H18:I22)</f>
        <v>12.757589991032921</v>
      </c>
      <c r="D23" s="455">
        <v>8.5563396387671133</v>
      </c>
      <c r="E23" s="455">
        <v>5.9381414044309739</v>
      </c>
      <c r="F23" s="455">
        <v>4.3567004610065911</v>
      </c>
      <c r="G23" s="455">
        <v>3</v>
      </c>
      <c r="H23" s="457">
        <f>PubComps!O21</f>
        <v>63.442999999999998</v>
      </c>
      <c r="I23" s="458">
        <f>(I44+SUM($E$33:$E$39))/$E$42</f>
        <v>1.2274242490874712</v>
      </c>
      <c r="J23" s="458">
        <f t="shared" ref="J23:M23" si="5">(J44+SUM($E$33:$E$39))/$E$42</f>
        <v>1.6059507777283133</v>
      </c>
      <c r="K23" s="458">
        <f t="shared" si="5"/>
        <v>2.0471810770980006</v>
      </c>
      <c r="L23" s="458">
        <f t="shared" si="5"/>
        <v>2.7776720862936011</v>
      </c>
      <c r="M23" s="458">
        <f t="shared" si="5"/>
        <v>3.9498429209776225</v>
      </c>
    </row>
    <row r="24" spans="2:15" ht="16">
      <c r="B24" s="480" t="str">
        <f>TEXT(LTM,"yyyy-mm-dd")&amp;" EV / EBITDA:"</f>
        <v>2025-09-30 EV / EBITDA:</v>
      </c>
      <c r="C24" s="455">
        <v>75.7</v>
      </c>
      <c r="D24" s="455">
        <v>39.90902266869228</v>
      </c>
      <c r="E24" s="455">
        <v>27.308265564455048</v>
      </c>
      <c r="F24" s="455">
        <v>25.197776130478982</v>
      </c>
      <c r="G24" s="455">
        <v>20.877601809954751</v>
      </c>
      <c r="H24" s="457">
        <f>PubComps!R21</f>
        <v>-46.163567797883672</v>
      </c>
      <c r="I24" s="458">
        <f>(I45+SUM($E$33:$E$39))/$E$42</f>
        <v>-3.8480565838913985</v>
      </c>
      <c r="J24" s="458">
        <f t="shared" ref="J24:M24" si="6">(J45+SUM($E$33:$E$39))/$E$42</f>
        <v>-4.7251165255959426</v>
      </c>
      <c r="K24" s="458">
        <f t="shared" si="6"/>
        <v>-5.1535774168931461</v>
      </c>
      <c r="L24" s="458">
        <f t="shared" si="6"/>
        <v>-7.7117193971302722</v>
      </c>
      <c r="M24" s="458">
        <f t="shared" si="6"/>
        <v>-14.977822605654579</v>
      </c>
    </row>
    <row r="25" spans="2:15" ht="16">
      <c r="B25" s="480" t="s">
        <v>366</v>
      </c>
      <c r="C25" s="481" cm="1">
        <f t="array" ref="C25:G27">TRANSPOSE(MAComps!N18:P22)</f>
        <v>0.56657963446475201</v>
      </c>
      <c r="D25" s="481">
        <v>0.26161926389833273</v>
      </c>
      <c r="E25" s="481">
        <v>0.23848758452373442</v>
      </c>
      <c r="F25" s="481">
        <v>0.18238958379830422</v>
      </c>
      <c r="G25" s="481">
        <v>7.5417068799117581E-2</v>
      </c>
      <c r="H25" s="457">
        <f>Share_Price</f>
        <v>3.06</v>
      </c>
      <c r="I25" s="482">
        <f>+$H25*(1+G25)</f>
        <v>3.2907762305252999</v>
      </c>
      <c r="J25" s="482">
        <f>+$H25*(1+F25)</f>
        <v>3.6181121264228113</v>
      </c>
      <c r="K25" s="482">
        <f>+$H25*(1+E25)</f>
        <v>3.7897720086426272</v>
      </c>
      <c r="L25" s="482">
        <f>+$H25*(1+D25)</f>
        <v>3.8605549475288985</v>
      </c>
      <c r="M25" s="482">
        <f>+$H25*(1+C25)</f>
        <v>4.7937336814621414</v>
      </c>
    </row>
    <row r="26" spans="2:15" ht="16">
      <c r="B26" s="480" t="s">
        <v>367</v>
      </c>
      <c r="C26" s="481">
        <v>0.54772141014617359</v>
      </c>
      <c r="D26" s="481">
        <v>0.35647971797341937</v>
      </c>
      <c r="E26" s="481">
        <v>0.22387773234083652</v>
      </c>
      <c r="F26" s="481">
        <v>0.19115615622283411</v>
      </c>
      <c r="G26" s="481">
        <v>0.14092881246986999</v>
      </c>
      <c r="H26" s="457">
        <f>Share_Price</f>
        <v>3.06</v>
      </c>
      <c r="I26" s="482">
        <f t="shared" ref="I26:I27" si="7">+$H26*(1+G26)</f>
        <v>3.4912421661578024</v>
      </c>
      <c r="J26" s="482">
        <f t="shared" ref="J26:J27" si="8">+$H26*(1+F26)</f>
        <v>3.6449378380418724</v>
      </c>
      <c r="K26" s="482">
        <f t="shared" ref="K26:K27" si="9">+$H26*(1+E26)</f>
        <v>3.7450658609629599</v>
      </c>
      <c r="L26" s="482">
        <f t="shared" ref="L26:L27" si="10">+$H26*(1+D26)</f>
        <v>4.1508279369986631</v>
      </c>
      <c r="M26" s="482">
        <f t="shared" ref="M26:M27" si="11">+$H26*(1+C26)</f>
        <v>4.736027515047291</v>
      </c>
    </row>
    <row r="27" spans="2:15" ht="16">
      <c r="B27" s="480" t="s">
        <v>368</v>
      </c>
      <c r="C27" s="481">
        <v>0.62454873646209386</v>
      </c>
      <c r="D27" s="481">
        <v>0.50157068236971059</v>
      </c>
      <c r="E27" s="481">
        <v>0.41188271065178883</v>
      </c>
      <c r="F27" s="481">
        <v>0.28054089444181118</v>
      </c>
      <c r="G27" s="481">
        <v>0.12448641245584957</v>
      </c>
      <c r="H27" s="457">
        <f>Share_Price</f>
        <v>3.06</v>
      </c>
      <c r="I27" s="482">
        <f t="shared" si="7"/>
        <v>3.4409284221148999</v>
      </c>
      <c r="J27" s="482">
        <f t="shared" si="8"/>
        <v>3.918455136991942</v>
      </c>
      <c r="K27" s="482">
        <f t="shared" si="9"/>
        <v>4.3203610945944737</v>
      </c>
      <c r="L27" s="482">
        <f t="shared" si="10"/>
        <v>4.5948062880513145</v>
      </c>
      <c r="M27" s="482">
        <f t="shared" si="11"/>
        <v>4.9711191335740077</v>
      </c>
    </row>
    <row r="28" spans="2:15" ht="16">
      <c r="B28" s="28"/>
      <c r="C28" s="455"/>
      <c r="D28" s="455"/>
      <c r="E28" s="455"/>
      <c r="F28" s="455"/>
      <c r="G28" s="455"/>
      <c r="H28" s="457"/>
      <c r="I28" s="458"/>
      <c r="J28" s="459"/>
      <c r="K28" s="459"/>
      <c r="L28" s="459"/>
      <c r="M28" s="459"/>
    </row>
    <row r="29" spans="2:15" ht="16">
      <c r="B29" s="32" t="s">
        <v>360</v>
      </c>
    </row>
    <row r="30" spans="2:15" ht="16">
      <c r="B30" s="28" t="s">
        <v>361</v>
      </c>
      <c r="I30" s="462">
        <f>DCF!O79</f>
        <v>3.8333489864820489</v>
      </c>
      <c r="J30" s="462">
        <f>DCF!M78</f>
        <v>3.9189729955212562</v>
      </c>
      <c r="K30" s="462">
        <f>DCF!K76</f>
        <v>4.0620453635055478</v>
      </c>
      <c r="L30" s="462">
        <f>DCF!I74</f>
        <v>4.2075099931216338</v>
      </c>
      <c r="M30" s="462">
        <f>DCF!G73</f>
        <v>4.2982616453221532</v>
      </c>
    </row>
    <row r="31" spans="2:15" ht="16">
      <c r="B31" s="28"/>
      <c r="I31" s="462"/>
      <c r="J31" s="462"/>
      <c r="K31" s="462"/>
      <c r="L31" s="462"/>
      <c r="M31" s="462"/>
    </row>
    <row r="32" spans="2:15" ht="16">
      <c r="B32" s="463" t="s">
        <v>362</v>
      </c>
      <c r="C32" s="464"/>
      <c r="D32" s="464"/>
      <c r="E32" s="465">
        <f>K36</f>
        <v>112.81200246478463</v>
      </c>
    </row>
    <row r="33" spans="2:13" ht="16">
      <c r="B33" s="118" t="s">
        <v>170</v>
      </c>
      <c r="C33" s="21"/>
      <c r="D33" s="21"/>
      <c r="E33" s="466">
        <f>DCF!L25</f>
        <v>88.775000000000006</v>
      </c>
    </row>
    <row r="34" spans="2:13" ht="16">
      <c r="B34" s="118" t="s">
        <v>171</v>
      </c>
      <c r="C34" s="2"/>
      <c r="D34" s="2"/>
      <c r="E34" s="466">
        <f>DCF!L26</f>
        <v>0</v>
      </c>
      <c r="G34" s="454" t="s">
        <v>363</v>
      </c>
      <c r="H34" s="467"/>
      <c r="I34" s="52">
        <f t="shared" ref="I34:I42" si="12">IF(Premium_Case="yes",(G12*(1+Premium_Uplift))*$H12,G12*$H12)</f>
        <v>223.36740543367287</v>
      </c>
      <c r="J34" s="52">
        <f t="shared" ref="J34:J42" si="13">IF(Premium_Case="yes",(F12*(1+Premium_Uplift))*$H12,F12*$H12)</f>
        <v>324.2043796575353</v>
      </c>
      <c r="K34" s="52">
        <f t="shared" ref="K34:K42" si="14">IF(Premium_Case="yes",(E12*(1+Premium_Uplift))*$H12,E12*$H12)</f>
        <v>403.36404456722852</v>
      </c>
      <c r="L34" s="52">
        <f t="shared" ref="L34:L42" si="15">IF(Premium_Case="yes",(D12*(1+Premium_Uplift))*$H12,D12*$H12)</f>
        <v>487.32645842174293</v>
      </c>
      <c r="M34" s="52">
        <f t="shared" ref="M34:M42" si="16">IF(Premium_Case="yes",(C12*(1+Premium_Uplift))*$H12,C12*$H12)</f>
        <v>777.6335890054786</v>
      </c>
    </row>
    <row r="35" spans="2:13" ht="16">
      <c r="B35" s="118" t="s">
        <v>172</v>
      </c>
      <c r="C35" s="2"/>
      <c r="D35" s="2"/>
      <c r="E35" s="466">
        <f>DCF!L27</f>
        <v>0</v>
      </c>
      <c r="G35" s="454" t="s">
        <v>363</v>
      </c>
      <c r="H35" s="2"/>
      <c r="I35" s="52">
        <f t="shared" si="12"/>
        <v>75.840244918478263</v>
      </c>
      <c r="J35" s="52">
        <f t="shared" si="13"/>
        <v>113.09421015404847</v>
      </c>
      <c r="K35" s="52">
        <f t="shared" si="14"/>
        <v>135.71141319393607</v>
      </c>
      <c r="L35" s="52">
        <f t="shared" si="15"/>
        <v>292.42325308053131</v>
      </c>
      <c r="M35" s="52">
        <f t="shared" si="16"/>
        <v>621.07739485084403</v>
      </c>
    </row>
    <row r="36" spans="2:13" ht="16">
      <c r="B36" s="118" t="s">
        <v>173</v>
      </c>
      <c r="C36" s="2"/>
      <c r="D36" s="2"/>
      <c r="E36" s="466">
        <f>DCF!L28</f>
        <v>0</v>
      </c>
      <c r="G36" s="454" t="s">
        <v>363</v>
      </c>
      <c r="H36" s="2"/>
      <c r="I36" s="52">
        <f t="shared" si="12"/>
        <v>65.41220496083551</v>
      </c>
      <c r="J36" s="52">
        <f t="shared" si="13"/>
        <v>96.462380190627599</v>
      </c>
      <c r="K36" s="52">
        <f t="shared" si="14"/>
        <v>112.81200246478463</v>
      </c>
      <c r="L36" s="52">
        <f t="shared" si="15"/>
        <v>244.54476060150282</v>
      </c>
      <c r="M36" s="52">
        <f t="shared" si="16"/>
        <v>433.62196242171717</v>
      </c>
    </row>
    <row r="37" spans="2:13" ht="16">
      <c r="B37" s="118" t="s">
        <v>174</v>
      </c>
      <c r="C37" s="2"/>
      <c r="D37" s="2"/>
      <c r="E37" s="466">
        <f>DCF!L29</f>
        <v>0</v>
      </c>
      <c r="G37" s="454" t="s">
        <v>363</v>
      </c>
      <c r="H37" s="2"/>
      <c r="I37" s="52">
        <f t="shared" si="12"/>
        <v>890.47861737771461</v>
      </c>
      <c r="J37" s="52">
        <f t="shared" si="13"/>
        <v>962.95181113069998</v>
      </c>
      <c r="K37" s="52">
        <f t="shared" si="14"/>
        <v>2226.0869186099194</v>
      </c>
      <c r="L37" s="52">
        <f t="shared" si="15"/>
        <v>3831.691924576884</v>
      </c>
      <c r="M37" s="52">
        <f t="shared" si="16"/>
        <v>4931.5748137931023</v>
      </c>
    </row>
    <row r="38" spans="2:13" ht="16">
      <c r="B38" s="118" t="s">
        <v>175</v>
      </c>
      <c r="C38" s="2"/>
      <c r="D38" s="2"/>
      <c r="E38" s="466">
        <f>DCF!L30</f>
        <v>0</v>
      </c>
      <c r="G38" s="454" t="s">
        <v>363</v>
      </c>
      <c r="H38" s="2"/>
      <c r="I38" s="52">
        <f t="shared" si="12"/>
        <v>-216.04058627624474</v>
      </c>
      <c r="J38" s="52">
        <f t="shared" si="13"/>
        <v>-408.14432139776517</v>
      </c>
      <c r="K38" s="52">
        <f t="shared" si="14"/>
        <v>-579.95784337676139</v>
      </c>
      <c r="L38" s="52">
        <f t="shared" si="15"/>
        <v>-762.96767014620548</v>
      </c>
      <c r="M38" s="52">
        <f t="shared" si="16"/>
        <v>-1159.9275090604181</v>
      </c>
    </row>
    <row r="39" spans="2:13" ht="16">
      <c r="B39" s="118" t="s">
        <v>176</v>
      </c>
      <c r="C39" s="2"/>
      <c r="D39" s="2"/>
      <c r="E39" s="468">
        <f>DCF!L31</f>
        <v>0</v>
      </c>
      <c r="G39" s="454" t="s">
        <v>363</v>
      </c>
      <c r="H39" s="2"/>
      <c r="I39" s="52">
        <f t="shared" si="12"/>
        <v>-16.463911047915445</v>
      </c>
      <c r="J39" s="52">
        <f t="shared" si="13"/>
        <v>-31.513044085382635</v>
      </c>
      <c r="K39" s="52">
        <f t="shared" si="14"/>
        <v>-44.24257952021614</v>
      </c>
      <c r="L39" s="52">
        <f t="shared" si="15"/>
        <v>-57.076168140457952</v>
      </c>
      <c r="M39" s="52">
        <f t="shared" si="16"/>
        <v>-61.94203302500938</v>
      </c>
    </row>
    <row r="40" spans="2:13" ht="16">
      <c r="B40" s="469" t="s">
        <v>177</v>
      </c>
      <c r="C40" s="470"/>
      <c r="D40" s="470"/>
      <c r="E40" s="471">
        <f>SUM(E32:E39)</f>
        <v>201.58700246478463</v>
      </c>
      <c r="G40" s="454" t="s">
        <v>364</v>
      </c>
      <c r="H40" s="2"/>
      <c r="I40" s="52">
        <f t="shared" si="12"/>
        <v>-345.64911868390135</v>
      </c>
      <c r="J40" s="52">
        <f t="shared" si="13"/>
        <v>-381.5213209839111</v>
      </c>
      <c r="K40" s="52">
        <f t="shared" si="14"/>
        <v>-751.18602754195729</v>
      </c>
      <c r="L40" s="52">
        <f t="shared" si="15"/>
        <v>-1109.5987949781663</v>
      </c>
      <c r="M40" s="52">
        <f t="shared" si="16"/>
        <v>-1111.7151799126639</v>
      </c>
    </row>
    <row r="41" spans="2:13" ht="16">
      <c r="B41" s="2"/>
      <c r="C41" s="2"/>
      <c r="D41" s="2"/>
      <c r="E41" s="2"/>
      <c r="G41" s="454" t="s">
        <v>364</v>
      </c>
      <c r="H41" s="2"/>
      <c r="I41" s="52">
        <f t="shared" si="12"/>
        <v>-303.3244981174185</v>
      </c>
      <c r="J41" s="52">
        <f t="shared" si="13"/>
        <v>-448.58720083498486</v>
      </c>
      <c r="K41" s="52">
        <f t="shared" si="14"/>
        <v>-707.82341748336739</v>
      </c>
      <c r="L41" s="52">
        <f t="shared" si="15"/>
        <v>-1145.8394697084068</v>
      </c>
      <c r="M41" s="52">
        <f t="shared" si="16"/>
        <v>-1827.4416791559433</v>
      </c>
    </row>
    <row r="42" spans="2:13" ht="16">
      <c r="B42" s="21" t="s">
        <v>81</v>
      </c>
      <c r="C42" s="21"/>
      <c r="D42" s="21"/>
      <c r="E42" s="472">
        <f>Diluted</f>
        <v>227.39</v>
      </c>
      <c r="G42" s="454" t="s">
        <v>364</v>
      </c>
      <c r="H42" s="2"/>
      <c r="I42" s="52">
        <f t="shared" si="12"/>
        <v>-48.679988233217273</v>
      </c>
      <c r="J42" s="52">
        <f t="shared" si="13"/>
        <v>-70.080067482944202</v>
      </c>
      <c r="K42" s="52">
        <f t="shared" si="14"/>
        <v>-115.6808803740536</v>
      </c>
      <c r="L42" s="52">
        <f t="shared" si="15"/>
        <v>-177.54377615936528</v>
      </c>
      <c r="M42" s="52">
        <f t="shared" si="16"/>
        <v>-247.73010409169899</v>
      </c>
    </row>
    <row r="43" spans="2:13" ht="16">
      <c r="B43" s="21"/>
      <c r="C43" s="21"/>
      <c r="D43" s="21"/>
      <c r="E43" s="21"/>
    </row>
    <row r="44" spans="2:13" ht="16">
      <c r="B44" s="473" t="s">
        <v>178</v>
      </c>
      <c r="C44" s="474"/>
      <c r="D44" s="474"/>
      <c r="E44" s="475">
        <f>E40/E42</f>
        <v>0.88652536375735369</v>
      </c>
      <c r="G44" s="454" t="s">
        <v>363</v>
      </c>
      <c r="H44" s="454"/>
      <c r="I44" s="52">
        <f>+G23*$H23</f>
        <v>190.32900000000001</v>
      </c>
      <c r="J44" s="52">
        <f>H23*F23</f>
        <v>276.40214734764118</v>
      </c>
      <c r="K44" s="52">
        <f>H23*E23</f>
        <v>376.73350512131429</v>
      </c>
      <c r="L44" s="52">
        <f>H23*D23</f>
        <v>542.83985570230197</v>
      </c>
      <c r="M44" s="52">
        <f>H23*C23</f>
        <v>809.37978180110156</v>
      </c>
    </row>
    <row r="45" spans="2:13" ht="16">
      <c r="B45" s="476" t="s">
        <v>179</v>
      </c>
      <c r="C45" s="477"/>
      <c r="D45" s="477"/>
      <c r="E45" s="478">
        <f>E44/Share_Price-1</f>
        <v>-0.71028582883746605</v>
      </c>
      <c r="G45" s="454" t="s">
        <v>363</v>
      </c>
      <c r="H45" s="454"/>
      <c r="I45" s="52">
        <f>+G24*$H24</f>
        <v>-963.78458661106504</v>
      </c>
      <c r="J45" s="52">
        <f>H24*F24</f>
        <v>-1163.2192467552613</v>
      </c>
      <c r="K45" s="52">
        <f>H24*E24</f>
        <v>-1260.6469688273326</v>
      </c>
      <c r="L45" s="52">
        <f>H24*D24</f>
        <v>-1842.3428737134525</v>
      </c>
      <c r="M45" s="52">
        <f>H24*C24</f>
        <v>-3494.5820822997944</v>
      </c>
    </row>
    <row r="46" spans="2:13" ht="16">
      <c r="G46" s="454"/>
      <c r="I46" s="52"/>
      <c r="J46" s="52"/>
      <c r="K46" s="52"/>
      <c r="L46" s="52"/>
      <c r="M46" s="5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A9F4-A1CB-4419-8FD6-F4CDE26EE65C}">
  <dimension ref="B3:W54"/>
  <sheetViews>
    <sheetView showGridLines="0" zoomScale="54" workbookViewId="0">
      <selection activeCell="B41" sqref="B41"/>
    </sheetView>
  </sheetViews>
  <sheetFormatPr defaultRowHeight="14.5"/>
  <cols>
    <col min="2" max="2" width="69" bestFit="1" customWidth="1"/>
    <col min="5" max="9" width="10.54296875" bestFit="1" customWidth="1"/>
    <col min="10" max="10" width="11.1796875" bestFit="1" customWidth="1"/>
    <col min="11" max="11" width="10.7265625" bestFit="1" customWidth="1"/>
    <col min="12" max="12" width="11.7265625" bestFit="1" customWidth="1"/>
    <col min="13" max="13" width="14.1796875" bestFit="1" customWidth="1"/>
    <col min="14" max="14" width="11.7265625" bestFit="1" customWidth="1"/>
    <col min="15" max="15" width="10.81640625" bestFit="1" customWidth="1"/>
    <col min="16" max="16" width="8.7265625" bestFit="1" customWidth="1"/>
    <col min="17" max="18" width="9.54296875" bestFit="1" customWidth="1"/>
  </cols>
  <sheetData>
    <row r="3" spans="23:23" ht="16">
      <c r="W3" s="483" t="str">
        <f>Company_Name&amp;" Valuation - "&amp;Scenario&amp;" Case - Range of Implied Share Prices"</f>
        <v>Butterfly Network, inc. Valuation - Downside Case - Range of Implied Share Prices</v>
      </c>
    </row>
    <row r="34" spans="2:15" ht="16">
      <c r="E34" s="485" t="s">
        <v>376</v>
      </c>
      <c r="F34" s="485" t="s">
        <v>350</v>
      </c>
      <c r="G34" s="485" t="s">
        <v>303</v>
      </c>
      <c r="H34" s="485" t="s">
        <v>349</v>
      </c>
      <c r="I34" s="485" t="s">
        <v>369</v>
      </c>
      <c r="J34" s="486"/>
      <c r="K34" s="485" t="s">
        <v>370</v>
      </c>
      <c r="L34" s="485" t="s">
        <v>371</v>
      </c>
      <c r="M34" s="485" t="s">
        <v>372</v>
      </c>
      <c r="N34" s="485" t="s">
        <v>373</v>
      </c>
      <c r="O34" s="485" t="s">
        <v>374</v>
      </c>
    </row>
    <row r="35" spans="2:15" ht="16">
      <c r="E35" s="485"/>
      <c r="F35" s="485"/>
      <c r="G35" s="485"/>
      <c r="H35" s="485"/>
      <c r="I35" s="485"/>
      <c r="J35" s="486"/>
      <c r="K35" s="485"/>
      <c r="L35" s="485"/>
      <c r="M35" s="485"/>
      <c r="N35" s="485"/>
      <c r="O35" s="485"/>
    </row>
    <row r="36" spans="2:15" ht="16">
      <c r="B36" s="28" t="s">
        <v>500</v>
      </c>
      <c r="E36" s="486">
        <f>Valsum!I30</f>
        <v>3.8333489864820489</v>
      </c>
      <c r="F36" s="486">
        <f>Valsum!J30</f>
        <v>3.9189729955212562</v>
      </c>
      <c r="G36" s="486">
        <f>Valsum!K30</f>
        <v>4.0620453635055478</v>
      </c>
      <c r="H36" s="486">
        <f>Valsum!L30</f>
        <v>4.2075099931216338</v>
      </c>
      <c r="I36" s="486">
        <f>Valsum!M30</f>
        <v>4.2982616453221532</v>
      </c>
      <c r="J36" s="486"/>
      <c r="K36" s="487">
        <f>E36</f>
        <v>3.8333489864820489</v>
      </c>
      <c r="L36" s="487">
        <f t="shared" ref="L36:O36" si="0">F36-E36</f>
        <v>8.5624009039207305E-2</v>
      </c>
      <c r="M36" s="487">
        <f t="shared" si="0"/>
        <v>0.14307236798429157</v>
      </c>
      <c r="N36" s="487">
        <f t="shared" si="0"/>
        <v>0.14546462961608597</v>
      </c>
      <c r="O36" s="487">
        <f t="shared" si="0"/>
        <v>9.0751652200519395E-2</v>
      </c>
    </row>
    <row r="37" spans="2:15" ht="16">
      <c r="B37" s="483" t="s">
        <v>377</v>
      </c>
      <c r="E37" s="486"/>
      <c r="F37" s="486"/>
      <c r="G37" s="486"/>
      <c r="H37" s="486"/>
      <c r="I37" s="486"/>
      <c r="J37" s="486"/>
      <c r="K37" s="486"/>
      <c r="L37" s="486"/>
      <c r="M37" s="486"/>
      <c r="N37" s="486"/>
    </row>
    <row r="38" spans="2:15" ht="16">
      <c r="B38" s="483" t="str">
        <f>Valsum!B27</f>
        <v>1-Month Premiums:</v>
      </c>
      <c r="E38" s="486">
        <f>Valsum!I27</f>
        <v>3.4409284221148999</v>
      </c>
      <c r="F38" s="486">
        <f>Valsum!J27</f>
        <v>3.918455136991942</v>
      </c>
      <c r="G38" s="486">
        <f>Valsum!K27</f>
        <v>4.3203610945944737</v>
      </c>
      <c r="H38" s="486">
        <f>Valsum!L27</f>
        <v>4.5948062880513145</v>
      </c>
      <c r="I38" s="486">
        <f>Valsum!M27</f>
        <v>4.9711191335740077</v>
      </c>
      <c r="J38" s="486"/>
      <c r="K38" s="486"/>
      <c r="L38" s="486"/>
      <c r="M38" s="486"/>
      <c r="N38" s="486"/>
    </row>
    <row r="39" spans="2:15" ht="16">
      <c r="B39" s="484" t="str">
        <f>Valsum!B26</f>
        <v>1-Week Premiums:</v>
      </c>
      <c r="E39" s="486">
        <f>Valsum!I26</f>
        <v>3.4912421661578024</v>
      </c>
      <c r="F39" s="486">
        <f>Valsum!J26</f>
        <v>3.6449378380418724</v>
      </c>
      <c r="G39" s="486">
        <f>Valsum!K26</f>
        <v>3.7450658609629599</v>
      </c>
      <c r="H39" s="486">
        <f>Valsum!L26</f>
        <v>4.1508279369986631</v>
      </c>
      <c r="I39" s="486">
        <f>Valsum!M26</f>
        <v>4.736027515047291</v>
      </c>
      <c r="K39" s="487">
        <f>+E39</f>
        <v>3.4912421661578024</v>
      </c>
      <c r="L39" s="487">
        <f t="shared" ref="L39:O40" si="1">+F39-E39</f>
        <v>0.15369567188407007</v>
      </c>
      <c r="M39" s="487">
        <f t="shared" si="1"/>
        <v>0.10012802292108747</v>
      </c>
      <c r="N39" s="487">
        <f t="shared" si="1"/>
        <v>0.40576207603570325</v>
      </c>
      <c r="O39" s="487">
        <f t="shared" si="1"/>
        <v>0.58519957804862788</v>
      </c>
    </row>
    <row r="40" spans="2:15" ht="16">
      <c r="B40" s="484" t="str">
        <f>Valsum!B25</f>
        <v>1-Day Premiums:</v>
      </c>
      <c r="E40" s="486">
        <f>Valsum!I25</f>
        <v>3.2907762305252999</v>
      </c>
      <c r="F40" s="486">
        <f>Valsum!J25</f>
        <v>3.6181121264228113</v>
      </c>
      <c r="G40" s="486">
        <f>Valsum!K25</f>
        <v>3.7897720086426272</v>
      </c>
      <c r="H40" s="486">
        <f>Valsum!L25</f>
        <v>3.8605549475288985</v>
      </c>
      <c r="I40" s="486">
        <f>Valsum!M25</f>
        <v>4.7937336814621414</v>
      </c>
      <c r="K40" s="487">
        <f>+E40</f>
        <v>3.2907762305252999</v>
      </c>
      <c r="L40" s="487">
        <f t="shared" si="1"/>
        <v>0.32733589589751144</v>
      </c>
      <c r="M40" s="487">
        <f t="shared" si="1"/>
        <v>0.17165988221981587</v>
      </c>
      <c r="N40" s="487">
        <f t="shared" si="1"/>
        <v>7.0782938886271296E-2</v>
      </c>
      <c r="O40" s="487">
        <f t="shared" si="1"/>
        <v>0.93317873393324291</v>
      </c>
    </row>
    <row r="41" spans="2:15" ht="16">
      <c r="B41" s="484" t="str">
        <f>Valsum!B24</f>
        <v>2025-09-30 EV / EBITDA:</v>
      </c>
      <c r="E41" s="486">
        <f>Valsum!I24</f>
        <v>-3.8480565838913985</v>
      </c>
      <c r="F41" s="486">
        <f>Valsum!J24</f>
        <v>-4.7251165255959426</v>
      </c>
      <c r="G41" s="486">
        <f>Valsum!K24</f>
        <v>-5.1535774168931461</v>
      </c>
      <c r="H41" s="486">
        <f>Valsum!L24</f>
        <v>-7.7117193971302722</v>
      </c>
      <c r="I41" s="486">
        <f>Valsum!M24</f>
        <v>-14.977822605654579</v>
      </c>
      <c r="J41" s="486"/>
      <c r="K41" s="487">
        <f>E41</f>
        <v>-3.8480565838913985</v>
      </c>
      <c r="L41" s="487">
        <f>F41-E41</f>
        <v>-0.87705994170454415</v>
      </c>
      <c r="M41" s="487">
        <f t="shared" ref="M41:O52" si="2">G41-F41</f>
        <v>-0.42846089129720344</v>
      </c>
      <c r="N41" s="487">
        <f t="shared" si="2"/>
        <v>-2.5581419802371261</v>
      </c>
      <c r="O41" s="487">
        <f t="shared" si="2"/>
        <v>-7.2661032085243065</v>
      </c>
    </row>
    <row r="42" spans="2:15" ht="16">
      <c r="B42" s="484" t="str">
        <f>Valsum!B23</f>
        <v>2025-09-30 EV / Revenue:</v>
      </c>
      <c r="E42" s="486">
        <f>Valsum!I23</f>
        <v>1.2274242490874712</v>
      </c>
      <c r="F42" s="486">
        <f>Valsum!J23</f>
        <v>1.6059507777283133</v>
      </c>
      <c r="G42" s="486">
        <f>Valsum!K23</f>
        <v>2.0471810770980006</v>
      </c>
      <c r="H42" s="486">
        <f>Valsum!L23</f>
        <v>2.7776720862936011</v>
      </c>
      <c r="I42" s="486">
        <f>Valsum!M23</f>
        <v>3.9498429209776225</v>
      </c>
      <c r="J42" s="486"/>
      <c r="K42" s="487">
        <f>E42</f>
        <v>1.2274242490874712</v>
      </c>
      <c r="L42" s="487">
        <f>F42-E42</f>
        <v>0.37852652864084213</v>
      </c>
      <c r="M42" s="487">
        <f t="shared" si="2"/>
        <v>0.44123029936968727</v>
      </c>
      <c r="N42" s="487">
        <f t="shared" si="2"/>
        <v>0.7304910091956005</v>
      </c>
      <c r="O42" s="487">
        <f t="shared" si="2"/>
        <v>1.1721708346840214</v>
      </c>
    </row>
    <row r="43" spans="2:15" ht="16">
      <c r="B43" s="484" t="str">
        <f>Valsum!B22</f>
        <v>Precedent Transactions:</v>
      </c>
      <c r="E43" s="486"/>
      <c r="F43" s="486"/>
      <c r="G43" s="486"/>
      <c r="H43" s="486"/>
      <c r="I43" s="486"/>
      <c r="J43" s="486"/>
      <c r="K43" s="487"/>
      <c r="L43" s="487"/>
      <c r="M43" s="487"/>
      <c r="N43" s="487"/>
      <c r="O43" s="487"/>
    </row>
    <row r="44" spans="2:15" ht="16">
      <c r="B44" s="484" t="s">
        <v>378</v>
      </c>
      <c r="E44" s="486">
        <f>Valsum!I20</f>
        <v>0.17632706700726827</v>
      </c>
      <c r="F44" s="486">
        <f>Valsum!J20</f>
        <v>8.2215279990570406E-2</v>
      </c>
      <c r="G44" s="486">
        <f>Valsum!K20</f>
        <v>-0.11832481803972733</v>
      </c>
      <c r="H44" s="486">
        <f>Valsum!L20</f>
        <v>-0.39038117841314607</v>
      </c>
      <c r="I44" s="486">
        <f>Valsum!M20</f>
        <v>-0.69904175245920663</v>
      </c>
      <c r="J44" s="486"/>
      <c r="K44" s="487">
        <f t="shared" ref="K44:K52" si="3">E44</f>
        <v>0.17632706700726827</v>
      </c>
      <c r="L44" s="487">
        <f t="shared" ref="L44:L52" si="4">F44-E44</f>
        <v>-9.4111787016697868E-2</v>
      </c>
      <c r="M44" s="487">
        <f t="shared" si="2"/>
        <v>-0.20054009803029774</v>
      </c>
      <c r="N44" s="487">
        <f t="shared" si="2"/>
        <v>-0.27205636037341874</v>
      </c>
      <c r="O44" s="487">
        <f t="shared" si="2"/>
        <v>-0.30866057404606057</v>
      </c>
    </row>
    <row r="45" spans="2:15" ht="16">
      <c r="B45" s="484" t="s">
        <v>379</v>
      </c>
      <c r="E45" s="486">
        <f>Valsum!I19</f>
        <v>-0.9435309297568869</v>
      </c>
      <c r="F45" s="486">
        <f>Valsum!J19</f>
        <v>-1.5823571873652531</v>
      </c>
      <c r="G45" s="486">
        <f>Valsum!K19</f>
        <v>-2.7224082742573001</v>
      </c>
      <c r="H45" s="486">
        <f>Valsum!L19</f>
        <v>-4.6486849452852228</v>
      </c>
      <c r="I45" s="486">
        <f>Valsum!M19</f>
        <v>-7.6461879553012153</v>
      </c>
      <c r="J45" s="486"/>
      <c r="K45" s="487">
        <f t="shared" si="3"/>
        <v>-0.9435309297568869</v>
      </c>
      <c r="L45" s="487">
        <f t="shared" si="4"/>
        <v>-0.6388262576083662</v>
      </c>
      <c r="M45" s="487">
        <f t="shared" si="2"/>
        <v>-1.140051086892047</v>
      </c>
      <c r="N45" s="487">
        <f t="shared" si="2"/>
        <v>-1.9262766710279227</v>
      </c>
      <c r="O45" s="487">
        <f t="shared" si="2"/>
        <v>-2.9975030100159925</v>
      </c>
    </row>
    <row r="46" spans="2:15" ht="16">
      <c r="B46" s="484" t="s">
        <v>340</v>
      </c>
      <c r="E46" s="486">
        <f>Valsum!I18</f>
        <v>-1.1296632159897151</v>
      </c>
      <c r="F46" s="486">
        <f>Valsum!J18</f>
        <v>-1.2874195038652145</v>
      </c>
      <c r="G46" s="486">
        <f>Valsum!K18</f>
        <v>-2.9131053588194615</v>
      </c>
      <c r="H46" s="486">
        <f>Valsum!L18</f>
        <v>-4.489308214865062</v>
      </c>
      <c r="I46" s="486">
        <f>Valsum!M18</f>
        <v>-4.4986155060146178</v>
      </c>
      <c r="J46" s="486"/>
      <c r="K46" s="487">
        <f t="shared" si="3"/>
        <v>-1.1296632159897151</v>
      </c>
      <c r="L46" s="487">
        <f t="shared" si="4"/>
        <v>-0.15775628787549945</v>
      </c>
      <c r="M46" s="487">
        <f t="shared" si="2"/>
        <v>-1.625685854954247</v>
      </c>
      <c r="N46" s="487">
        <f t="shared" si="2"/>
        <v>-1.5762028560456005</v>
      </c>
      <c r="O46" s="487">
        <f t="shared" si="2"/>
        <v>-9.307291149555752E-3</v>
      </c>
    </row>
    <row r="47" spans="2:15" ht="16">
      <c r="B47" s="484" t="s">
        <v>380</v>
      </c>
      <c r="E47" s="486">
        <f>Valsum!I17</f>
        <v>0.31800470096347494</v>
      </c>
      <c r="F47" s="486">
        <f>Valsum!J17</f>
        <v>0.25182266552890353</v>
      </c>
      <c r="G47" s="486">
        <f>Valsum!K17</f>
        <v>0.19584159584759167</v>
      </c>
      <c r="H47" s="486">
        <f>Valsum!L17</f>
        <v>0.13940292827099721</v>
      </c>
      <c r="I47" s="486">
        <f>Valsum!M17</f>
        <v>0.11800416454105557</v>
      </c>
      <c r="J47" s="486"/>
      <c r="K47" s="487">
        <f t="shared" si="3"/>
        <v>0.31800470096347494</v>
      </c>
      <c r="L47" s="487">
        <f t="shared" si="4"/>
        <v>-6.6182035434571407E-2</v>
      </c>
      <c r="M47" s="487">
        <f t="shared" si="2"/>
        <v>-5.5981069681311862E-2</v>
      </c>
      <c r="N47" s="487">
        <f t="shared" si="2"/>
        <v>-5.6438667576594465E-2</v>
      </c>
      <c r="O47" s="487">
        <f t="shared" si="2"/>
        <v>-2.1398763729941636E-2</v>
      </c>
    </row>
    <row r="48" spans="2:15" ht="16">
      <c r="B48" s="484" t="s">
        <v>381</v>
      </c>
      <c r="E48" s="486">
        <f>Valsum!I16</f>
        <v>-0.55967978484649605</v>
      </c>
      <c r="F48" s="486">
        <f>Valsum!J16</f>
        <v>-1.4045002919994949</v>
      </c>
      <c r="G48" s="486">
        <f>Valsum!K16</f>
        <v>-2.1600899044670454</v>
      </c>
      <c r="H48" s="486">
        <f>Valsum!L16</f>
        <v>-2.9649178510321716</v>
      </c>
      <c r="I48" s="486">
        <f>Valsum!M16</f>
        <v>-4.7106403494455256</v>
      </c>
      <c r="J48" s="486"/>
      <c r="K48" s="487">
        <f t="shared" si="3"/>
        <v>-0.55967978484649605</v>
      </c>
      <c r="L48" s="487">
        <f t="shared" si="4"/>
        <v>-0.84482050715299883</v>
      </c>
      <c r="M48" s="487">
        <f t="shared" si="2"/>
        <v>-0.75558961246755052</v>
      </c>
      <c r="N48" s="487">
        <f t="shared" si="2"/>
        <v>-0.80482794656512624</v>
      </c>
      <c r="O48" s="487">
        <f t="shared" si="2"/>
        <v>-1.7457224984133539</v>
      </c>
    </row>
    <row r="49" spans="2:15" ht="16">
      <c r="B49" s="483" t="s">
        <v>359</v>
      </c>
      <c r="E49" s="486">
        <f>Valsum!I15</f>
        <v>4.3064937656788542</v>
      </c>
      <c r="F49" s="486">
        <f>Valsum!J15</f>
        <v>4.6252113599133651</v>
      </c>
      <c r="G49" s="486">
        <f>Valsum!K15</f>
        <v>10.180139489906855</v>
      </c>
      <c r="H49" s="486">
        <f>Valsum!L15</f>
        <v>17.241158030594505</v>
      </c>
      <c r="I49" s="486">
        <f>Valsum!M15</f>
        <v>22.078146856911484</v>
      </c>
      <c r="J49" s="486"/>
      <c r="K49" s="487">
        <f t="shared" si="3"/>
        <v>4.3064937656788542</v>
      </c>
      <c r="L49" s="487">
        <f t="shared" si="4"/>
        <v>0.31871759423451085</v>
      </c>
      <c r="M49" s="487">
        <f t="shared" si="2"/>
        <v>5.5549281299934901</v>
      </c>
      <c r="N49" s="487">
        <f t="shared" si="2"/>
        <v>7.06101854068765</v>
      </c>
      <c r="O49" s="487">
        <f t="shared" si="2"/>
        <v>4.8369888263169791</v>
      </c>
    </row>
    <row r="50" spans="2:15" ht="16">
      <c r="B50" s="484" t="s">
        <v>382</v>
      </c>
      <c r="E50" s="486">
        <f>Valsum!I14</f>
        <v>0.67807381573875514</v>
      </c>
      <c r="F50" s="486">
        <f>Valsum!J14</f>
        <v>0.81462412678933827</v>
      </c>
      <c r="G50" s="486">
        <f>Valsum!K14</f>
        <v>0.88652536375735369</v>
      </c>
      <c r="H50" s="486">
        <f>Valsum!L14</f>
        <v>1.4658505677536515</v>
      </c>
      <c r="I50" s="486">
        <f>Valsum!M14</f>
        <v>2.2973611962782758</v>
      </c>
      <c r="J50" s="486"/>
      <c r="K50" s="487">
        <f t="shared" si="3"/>
        <v>0.67807381573875514</v>
      </c>
      <c r="L50" s="487">
        <f t="shared" si="4"/>
        <v>0.13655031105058313</v>
      </c>
      <c r="M50" s="487">
        <f t="shared" si="2"/>
        <v>7.1901236968015425E-2</v>
      </c>
      <c r="N50" s="487">
        <f t="shared" si="2"/>
        <v>0.57932520399629783</v>
      </c>
      <c r="O50" s="487">
        <f t="shared" si="2"/>
        <v>0.83151062852462432</v>
      </c>
    </row>
    <row r="51" spans="2:15" ht="16">
      <c r="B51" s="484" t="s">
        <v>383</v>
      </c>
      <c r="E51" s="486">
        <f>Valsum!I13</f>
        <v>0.72393352794088683</v>
      </c>
      <c r="F51" s="486">
        <f>Valsum!J13</f>
        <v>0.88776643719622006</v>
      </c>
      <c r="G51" s="486">
        <f>Valsum!K13</f>
        <v>0.987230806956929</v>
      </c>
      <c r="H51" s="486">
        <f>Valsum!L13</f>
        <v>1.6764072873940428</v>
      </c>
      <c r="I51" s="486">
        <f>Valsum!M13</f>
        <v>3.1217397196483754</v>
      </c>
      <c r="J51" s="486"/>
      <c r="K51" s="487">
        <f t="shared" si="3"/>
        <v>0.72393352794088683</v>
      </c>
      <c r="L51" s="487">
        <f t="shared" si="4"/>
        <v>0.16383290925533323</v>
      </c>
      <c r="M51" s="487">
        <f t="shared" si="2"/>
        <v>9.9464369760708937E-2</v>
      </c>
      <c r="N51" s="487">
        <f t="shared" si="2"/>
        <v>0.68917648043711377</v>
      </c>
      <c r="O51" s="487">
        <f t="shared" si="2"/>
        <v>1.4453324322543326</v>
      </c>
    </row>
    <row r="52" spans="2:15" ht="16">
      <c r="B52" s="483" t="s">
        <v>358</v>
      </c>
      <c r="E52" s="486">
        <f>Valsum!I12</f>
        <v>1.3727182612853375</v>
      </c>
      <c r="F52" s="486">
        <f>Valsum!J12</f>
        <v>1.8161721256763066</v>
      </c>
      <c r="G52" s="486">
        <f>Valsum!K12</f>
        <v>2.1642950198655551</v>
      </c>
      <c r="H52" s="486">
        <f>Valsum!L12</f>
        <v>2.5335391108744578</v>
      </c>
      <c r="I52" s="486">
        <f>Valsum!M12</f>
        <v>3.8102317120606828</v>
      </c>
      <c r="J52" s="486"/>
      <c r="K52" s="487">
        <f t="shared" si="3"/>
        <v>1.3727182612853375</v>
      </c>
      <c r="L52" s="487">
        <f t="shared" si="4"/>
        <v>0.44345386439096912</v>
      </c>
      <c r="M52" s="487">
        <f t="shared" si="2"/>
        <v>0.34812289418924847</v>
      </c>
      <c r="N52" s="487">
        <f t="shared" si="2"/>
        <v>0.36924409100890276</v>
      </c>
      <c r="O52" s="487">
        <f t="shared" si="2"/>
        <v>1.276692601186225</v>
      </c>
    </row>
    <row r="53" spans="2:15" ht="16">
      <c r="B53" s="484" t="s">
        <v>384</v>
      </c>
    </row>
    <row r="54" spans="2:15" ht="16">
      <c r="B54" s="483" t="s">
        <v>375</v>
      </c>
      <c r="E54" s="488">
        <f>Share_Price</f>
        <v>3.06</v>
      </c>
      <c r="F54" s="488">
        <f>Share_Price</f>
        <v>3.06</v>
      </c>
      <c r="G54" s="488">
        <f>Share_Price</f>
        <v>3.06</v>
      </c>
      <c r="H54" s="488">
        <f>Share_Price</f>
        <v>3.06</v>
      </c>
      <c r="I54" s="488">
        <f>Share_Price</f>
        <v>3.06</v>
      </c>
      <c r="K54" s="489">
        <v>1000</v>
      </c>
      <c r="L54" s="487">
        <v>0</v>
      </c>
      <c r="M54" s="487">
        <v>0</v>
      </c>
      <c r="N54" s="487">
        <v>0</v>
      </c>
      <c r="O54" s="487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670F-4E80-4BAB-935F-B231FAC94F03}">
  <dimension ref="A2:AG40"/>
  <sheetViews>
    <sheetView showGridLines="0" zoomScale="65" workbookViewId="0">
      <selection activeCell="C9" sqref="C9:C14"/>
    </sheetView>
  </sheetViews>
  <sheetFormatPr defaultRowHeight="14.5"/>
  <cols>
    <col min="2" max="2" width="41.6328125" bestFit="1" customWidth="1"/>
    <col min="3" max="3" width="7.6328125" bestFit="1" customWidth="1"/>
    <col min="4" max="4" width="10.453125" bestFit="1" customWidth="1"/>
    <col min="5" max="5" width="8.453125" bestFit="1" customWidth="1"/>
    <col min="6" max="6" width="13.7265625" bestFit="1" customWidth="1"/>
    <col min="7" max="8" width="8.453125" bestFit="1" customWidth="1"/>
    <col min="9" max="10" width="10.7265625" bestFit="1" customWidth="1"/>
    <col min="11" max="11" width="10.26953125" bestFit="1" customWidth="1"/>
    <col min="12" max="12" width="9" bestFit="1" customWidth="1"/>
    <col min="13" max="13" width="13.7265625" bestFit="1" customWidth="1"/>
    <col min="14" max="16" width="12.453125" bestFit="1" customWidth="1"/>
    <col min="17" max="17" width="12" bestFit="1" customWidth="1"/>
    <col min="18" max="19" width="12.453125" bestFit="1" customWidth="1"/>
    <col min="20" max="20" width="12" bestFit="1" customWidth="1"/>
    <col min="21" max="22" width="12.453125" bestFit="1" customWidth="1"/>
    <col min="23" max="27" width="8.81640625" bestFit="1" customWidth="1"/>
    <col min="28" max="33" width="10.1796875" bestFit="1" customWidth="1"/>
  </cols>
  <sheetData>
    <row r="2" spans="2:31" ht="16">
      <c r="B2" s="32" t="s">
        <v>346</v>
      </c>
      <c r="C2" s="148"/>
      <c r="D2" s="148"/>
      <c r="E2" s="148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2:31" ht="16">
      <c r="B3" s="21" t="s">
        <v>247</v>
      </c>
      <c r="C3" s="21"/>
      <c r="D3" s="148"/>
      <c r="E3" s="148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2:31" ht="16">
      <c r="B4" s="21"/>
      <c r="C4" s="21"/>
      <c r="D4" s="148"/>
      <c r="E4" s="148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2:31" ht="16">
      <c r="B5" s="302" t="s">
        <v>73</v>
      </c>
      <c r="C5" s="361" t="s">
        <v>76</v>
      </c>
      <c r="D5" s="362" t="s">
        <v>221</v>
      </c>
      <c r="E5" s="222" t="s">
        <v>233</v>
      </c>
      <c r="F5" s="175" t="s">
        <v>235</v>
      </c>
      <c r="G5" s="175" t="s">
        <v>237</v>
      </c>
      <c r="H5" s="170" t="s">
        <v>84</v>
      </c>
      <c r="I5" s="190" t="s">
        <v>210</v>
      </c>
      <c r="J5" s="190" t="s">
        <v>213</v>
      </c>
      <c r="K5" s="190" t="s">
        <v>163</v>
      </c>
      <c r="L5" s="190" t="s">
        <v>166</v>
      </c>
      <c r="M5" s="175" t="s">
        <v>236</v>
      </c>
      <c r="N5" s="175" t="s">
        <v>203</v>
      </c>
      <c r="O5" s="170" t="s">
        <v>501</v>
      </c>
      <c r="P5" s="175" t="s">
        <v>502</v>
      </c>
      <c r="Q5" s="175" t="s">
        <v>208</v>
      </c>
      <c r="R5" s="363" t="s">
        <v>324</v>
      </c>
      <c r="S5" s="175" t="s">
        <v>503</v>
      </c>
      <c r="T5" s="175" t="s">
        <v>204</v>
      </c>
      <c r="U5" s="190" t="s">
        <v>325</v>
      </c>
      <c r="V5" s="175" t="s">
        <v>326</v>
      </c>
      <c r="W5" s="175" t="s">
        <v>243</v>
      </c>
      <c r="X5" s="175" t="s">
        <v>244</v>
      </c>
      <c r="Y5" s="175" t="s">
        <v>245</v>
      </c>
      <c r="Z5" s="175" t="s">
        <v>504</v>
      </c>
      <c r="AA5" s="175" t="s">
        <v>505</v>
      </c>
      <c r="AB5" s="175"/>
      <c r="AC5" s="21"/>
    </row>
    <row r="6" spans="2:31" ht="16">
      <c r="B6" s="364" t="s">
        <v>327</v>
      </c>
      <c r="C6" s="365"/>
      <c r="D6" s="365"/>
      <c r="E6" s="365"/>
      <c r="F6" s="366" t="s">
        <v>328</v>
      </c>
      <c r="G6" s="366"/>
      <c r="H6" s="366"/>
      <c r="I6" s="366"/>
      <c r="J6" s="366"/>
      <c r="K6" s="366"/>
      <c r="L6" s="366"/>
      <c r="M6" s="367"/>
      <c r="N6" s="368"/>
      <c r="O6" s="368"/>
      <c r="P6" s="368"/>
      <c r="Q6" s="368"/>
      <c r="R6" s="368"/>
      <c r="S6" s="368"/>
      <c r="T6" s="368"/>
      <c r="U6" s="368"/>
      <c r="V6" s="368"/>
      <c r="W6" s="369" t="s">
        <v>329</v>
      </c>
      <c r="X6" s="369" t="s">
        <v>329</v>
      </c>
      <c r="Y6" s="366"/>
      <c r="Z6" s="366"/>
      <c r="AA6" s="370"/>
    </row>
    <row r="7" spans="2:31" ht="16">
      <c r="B7" s="368"/>
      <c r="C7" s="368"/>
      <c r="D7" s="369" t="s">
        <v>330</v>
      </c>
      <c r="E7" s="369" t="s">
        <v>331</v>
      </c>
      <c r="F7" s="369" t="s">
        <v>256</v>
      </c>
      <c r="G7" s="369"/>
      <c r="H7" s="369"/>
      <c r="I7" s="369"/>
      <c r="J7" s="369"/>
      <c r="K7" s="369"/>
      <c r="L7" s="369" t="s">
        <v>332</v>
      </c>
      <c r="M7" s="369" t="s">
        <v>291</v>
      </c>
      <c r="N7" s="366" t="s">
        <v>180</v>
      </c>
      <c r="O7" s="366"/>
      <c r="P7" s="366"/>
      <c r="Q7" s="366" t="s">
        <v>191</v>
      </c>
      <c r="R7" s="366"/>
      <c r="S7" s="366"/>
      <c r="T7" s="366" t="s">
        <v>333</v>
      </c>
      <c r="U7" s="366"/>
      <c r="V7" s="366"/>
      <c r="W7" s="369" t="s">
        <v>180</v>
      </c>
      <c r="X7" s="369" t="s">
        <v>191</v>
      </c>
      <c r="Y7" s="366" t="s">
        <v>192</v>
      </c>
      <c r="Z7" s="366"/>
      <c r="AA7" s="366"/>
    </row>
    <row r="8" spans="2:31" ht="16">
      <c r="B8" s="371" t="s">
        <v>334</v>
      </c>
      <c r="C8" s="371" t="s">
        <v>258</v>
      </c>
      <c r="D8" s="372" t="s">
        <v>299</v>
      </c>
      <c r="E8" s="372" t="s">
        <v>335</v>
      </c>
      <c r="F8" s="372" t="s">
        <v>336</v>
      </c>
      <c r="G8" s="372" t="s">
        <v>259</v>
      </c>
      <c r="H8" s="372" t="s">
        <v>266</v>
      </c>
      <c r="I8" s="372" t="s">
        <v>337</v>
      </c>
      <c r="J8" s="372" t="s">
        <v>260</v>
      </c>
      <c r="K8" s="372" t="s">
        <v>255</v>
      </c>
      <c r="L8" s="372" t="s">
        <v>338</v>
      </c>
      <c r="M8" s="372" t="s">
        <v>264</v>
      </c>
      <c r="N8" s="373" t="s">
        <v>202</v>
      </c>
      <c r="O8" s="374">
        <v>46022</v>
      </c>
      <c r="P8" s="374">
        <f>EOMONTH(O8,12)</f>
        <v>46387</v>
      </c>
      <c r="Q8" s="373" t="str">
        <f>$N$8</f>
        <v>LTM</v>
      </c>
      <c r="R8" s="374">
        <f>+$O$8</f>
        <v>46022</v>
      </c>
      <c r="S8" s="374">
        <f>+$P$8</f>
        <v>46387</v>
      </c>
      <c r="T8" s="373" t="str">
        <f>$N$8</f>
        <v>LTM</v>
      </c>
      <c r="U8" s="374">
        <f>+$O$8</f>
        <v>46022</v>
      </c>
      <c r="V8" s="374">
        <f>+$P$8</f>
        <v>46387</v>
      </c>
      <c r="W8" s="372" t="s">
        <v>339</v>
      </c>
      <c r="X8" s="372" t="s">
        <v>339</v>
      </c>
      <c r="Y8" s="373" t="str">
        <f>$N$8</f>
        <v>LTM</v>
      </c>
      <c r="Z8" s="374">
        <f>+$O$8</f>
        <v>46022</v>
      </c>
      <c r="AA8" s="374">
        <f>+$P$8</f>
        <v>46387</v>
      </c>
    </row>
    <row r="9" spans="2:31" ht="16">
      <c r="B9" s="302" t="str">
        <f t="shared" ref="B9:B14" si="0">INDEX(Pub_Comps_Range,MATCH(B$5,Pub_Comps_Params,0),MATCH($C9,Pub_Comps_Tickers,0))</f>
        <v>GE Healthcare Technologies Inc.</v>
      </c>
      <c r="C9" s="269" t="s">
        <v>279</v>
      </c>
      <c r="D9" s="375">
        <f t="shared" ref="D9:S14" si="1">INDEX(Pub_Comps_Range,MATCH(D$5,Pub_Comps_Params,0),MATCH($C9,Pub_Comps_Tickers,0))</f>
        <v>85.46</v>
      </c>
      <c r="E9" s="302">
        <f t="shared" si="1"/>
        <v>455.5</v>
      </c>
      <c r="F9" s="376">
        <f t="shared" si="1"/>
        <v>38927.03</v>
      </c>
      <c r="G9" s="377">
        <f t="shared" si="1"/>
        <v>1.27</v>
      </c>
      <c r="H9" s="378">
        <f t="shared" si="1"/>
        <v>0.17699999999999999</v>
      </c>
      <c r="I9" s="376">
        <f t="shared" si="1"/>
        <v>-4005</v>
      </c>
      <c r="J9" s="376">
        <f t="shared" si="1"/>
        <v>10744</v>
      </c>
      <c r="K9" s="379">
        <f t="shared" si="1"/>
        <v>0</v>
      </c>
      <c r="L9" s="379">
        <f t="shared" si="1"/>
        <v>227</v>
      </c>
      <c r="M9" s="380">
        <f t="shared" ref="M9:AA9" si="2">INDEX(Pub_Comps_Range,MATCH(M$5,Pub_Comps_Params,0),MATCH($C9,Pub_Comps_Tickers,0))</f>
        <v>45893.03</v>
      </c>
      <c r="N9" s="380">
        <f t="shared" si="2"/>
        <v>20246</v>
      </c>
      <c r="O9" s="380">
        <f t="shared" si="2"/>
        <v>20530</v>
      </c>
      <c r="P9" s="380">
        <f t="shared" si="2"/>
        <v>21435</v>
      </c>
      <c r="Q9" s="380">
        <f t="shared" si="2"/>
        <v>3429</v>
      </c>
      <c r="R9" s="380">
        <f t="shared" si="2"/>
        <v>3653</v>
      </c>
      <c r="S9" s="380">
        <f t="shared" si="2"/>
        <v>3921</v>
      </c>
      <c r="T9" s="380">
        <f t="shared" si="2"/>
        <v>2290</v>
      </c>
      <c r="U9" s="380">
        <f t="shared" si="2"/>
        <v>2096</v>
      </c>
      <c r="V9" s="380">
        <f t="shared" si="2"/>
        <v>2147</v>
      </c>
      <c r="W9" s="381">
        <f t="shared" si="2"/>
        <v>4.4081831466147081E-2</v>
      </c>
      <c r="X9" s="381">
        <f t="shared" si="2"/>
        <v>7.336435806186703E-2</v>
      </c>
      <c r="Y9" s="381">
        <f t="shared" si="2"/>
        <v>0.16936678850143239</v>
      </c>
      <c r="Z9" s="381">
        <f t="shared" si="2"/>
        <v>0.17793472966390647</v>
      </c>
      <c r="AA9" s="381">
        <f t="shared" si="2"/>
        <v>0.18292512246326101</v>
      </c>
      <c r="AE9" s="175"/>
    </row>
    <row r="10" spans="2:31" ht="16">
      <c r="B10" s="302" t="str">
        <f t="shared" si="0"/>
        <v>Masimo Corporation</v>
      </c>
      <c r="C10" s="447" t="s">
        <v>281</v>
      </c>
      <c r="D10" s="302">
        <f t="shared" si="1"/>
        <v>141.68</v>
      </c>
      <c r="E10" s="302">
        <f t="shared" si="1"/>
        <v>54.5</v>
      </c>
      <c r="F10" s="376">
        <f t="shared" si="1"/>
        <v>7721.56</v>
      </c>
      <c r="G10" s="377">
        <f t="shared" si="1"/>
        <v>1.26</v>
      </c>
      <c r="H10" s="378">
        <f t="shared" si="1"/>
        <v>0.2</v>
      </c>
      <c r="I10" s="376">
        <f t="shared" si="1"/>
        <v>-149.6</v>
      </c>
      <c r="J10" s="376">
        <f t="shared" si="1"/>
        <v>642.20000000000005</v>
      </c>
      <c r="K10" s="379">
        <f t="shared" si="1"/>
        <v>0</v>
      </c>
      <c r="L10" s="379">
        <f t="shared" si="1"/>
        <v>0</v>
      </c>
      <c r="M10" s="380">
        <f t="shared" si="1"/>
        <v>8214.16</v>
      </c>
      <c r="N10" s="380">
        <f t="shared" si="1"/>
        <v>2153.8000000000002</v>
      </c>
      <c r="O10" s="380">
        <f t="shared" si="1"/>
        <v>1521</v>
      </c>
      <c r="P10" s="380">
        <f t="shared" si="1"/>
        <v>1639</v>
      </c>
      <c r="Q10" s="380">
        <f t="shared" si="1"/>
        <v>-177.2</v>
      </c>
      <c r="R10" s="380">
        <f t="shared" si="1"/>
        <v>497</v>
      </c>
      <c r="S10" s="380">
        <f t="shared" si="1"/>
        <v>544</v>
      </c>
      <c r="T10" s="380">
        <f t="shared" ref="T10:AA14" si="3">INDEX(Pub_Comps_Range,MATCH(T$5,Pub_Comps_Params,0),MATCH($C10,Pub_Comps_Tickers,0))</f>
        <v>-459.19999999999993</v>
      </c>
      <c r="U10" s="380">
        <f t="shared" si="3"/>
        <v>209</v>
      </c>
      <c r="V10" s="380">
        <f t="shared" si="3"/>
        <v>265</v>
      </c>
      <c r="W10" s="381">
        <f t="shared" si="3"/>
        <v>7.7580539119000758E-2</v>
      </c>
      <c r="X10" s="381">
        <f t="shared" si="3"/>
        <v>9.456740442655942E-2</v>
      </c>
      <c r="Y10" s="381">
        <f t="shared" si="3"/>
        <v>-8.2273191568390733E-2</v>
      </c>
      <c r="Z10" s="381">
        <f t="shared" si="3"/>
        <v>0.32675871137409601</v>
      </c>
      <c r="AA10" s="381">
        <f t="shared" si="3"/>
        <v>0.33190970103721784</v>
      </c>
      <c r="AE10" s="175"/>
    </row>
    <row r="11" spans="2:31" ht="16">
      <c r="B11" s="302" t="str">
        <f t="shared" si="0"/>
        <v>InMode, Ltd.</v>
      </c>
      <c r="C11" s="183" t="s">
        <v>283</v>
      </c>
      <c r="D11" s="302">
        <f t="shared" si="1"/>
        <v>14.42</v>
      </c>
      <c r="E11" s="302">
        <f t="shared" si="1"/>
        <v>65.5</v>
      </c>
      <c r="F11" s="376">
        <f t="shared" si="1"/>
        <v>944.51</v>
      </c>
      <c r="G11" s="377">
        <f t="shared" si="1"/>
        <v>2.15</v>
      </c>
      <c r="H11" s="378">
        <f t="shared" si="1"/>
        <v>0.2</v>
      </c>
      <c r="I11" s="376">
        <f t="shared" si="1"/>
        <v>-510.7</v>
      </c>
      <c r="J11" s="376">
        <f t="shared" si="1"/>
        <v>6.1</v>
      </c>
      <c r="K11" s="379">
        <f t="shared" si="1"/>
        <v>0</v>
      </c>
      <c r="L11" s="379">
        <f t="shared" si="1"/>
        <v>0</v>
      </c>
      <c r="M11" s="380">
        <f t="shared" si="1"/>
        <v>439.91</v>
      </c>
      <c r="N11" s="380">
        <f t="shared" si="1"/>
        <v>401.56999999999994</v>
      </c>
      <c r="O11" s="380">
        <f t="shared" si="1"/>
        <v>368</v>
      </c>
      <c r="P11" s="380">
        <f t="shared" si="1"/>
        <v>383</v>
      </c>
      <c r="Q11" s="380">
        <f t="shared" si="1"/>
        <v>115.38000000000001</v>
      </c>
      <c r="R11" s="380">
        <f t="shared" si="1"/>
        <v>94</v>
      </c>
      <c r="S11" s="380">
        <f t="shared" si="1"/>
        <v>101</v>
      </c>
      <c r="T11" s="380">
        <f t="shared" si="3"/>
        <v>178.71</v>
      </c>
      <c r="U11" s="380">
        <f t="shared" si="3"/>
        <v>94</v>
      </c>
      <c r="V11" s="380">
        <f t="shared" si="3"/>
        <v>104</v>
      </c>
      <c r="W11" s="381">
        <f t="shared" si="3"/>
        <v>4.0760869565217295E-2</v>
      </c>
      <c r="X11" s="381">
        <f t="shared" si="3"/>
        <v>7.4468085106383031E-2</v>
      </c>
      <c r="Y11" s="381">
        <f t="shared" si="3"/>
        <v>0.28732226012899376</v>
      </c>
      <c r="Z11" s="381">
        <f t="shared" si="3"/>
        <v>0.25543478260869568</v>
      </c>
      <c r="AA11" s="381">
        <f t="shared" si="3"/>
        <v>0.26370757180156656</v>
      </c>
      <c r="AE11" s="175"/>
    </row>
    <row r="12" spans="2:31" ht="16">
      <c r="B12" s="302" t="str">
        <f t="shared" si="0"/>
        <v>Integra LifeSciences Holdings Corporation</v>
      </c>
      <c r="C12" s="244" t="s">
        <v>309</v>
      </c>
      <c r="D12" s="302">
        <f t="shared" si="1"/>
        <v>13.24</v>
      </c>
      <c r="E12" s="302">
        <f t="shared" si="1"/>
        <v>78.274706117824778</v>
      </c>
      <c r="F12" s="376">
        <f t="shared" si="1"/>
        <v>1036.357109</v>
      </c>
      <c r="G12" s="377">
        <f t="shared" si="1"/>
        <v>1.08</v>
      </c>
      <c r="H12" s="378">
        <f t="shared" si="1"/>
        <v>0.2</v>
      </c>
      <c r="I12" s="376">
        <f t="shared" si="1"/>
        <v>-267.89999999999998</v>
      </c>
      <c r="J12" s="376">
        <f t="shared" si="1"/>
        <v>2007.7</v>
      </c>
      <c r="K12" s="379">
        <f t="shared" si="1"/>
        <v>0</v>
      </c>
      <c r="L12" s="379">
        <f t="shared" si="1"/>
        <v>0</v>
      </c>
      <c r="M12" s="380">
        <f t="shared" si="1"/>
        <v>2776.1571090000002</v>
      </c>
      <c r="N12" s="380">
        <f t="shared" si="1"/>
        <v>1642.9699999999998</v>
      </c>
      <c r="O12" s="380">
        <f t="shared" si="1"/>
        <v>1637</v>
      </c>
      <c r="P12" s="380">
        <f t="shared" si="1"/>
        <v>1681</v>
      </c>
      <c r="Q12" s="380">
        <f t="shared" si="1"/>
        <v>-313.56</v>
      </c>
      <c r="R12" s="380">
        <f t="shared" si="1"/>
        <v>314</v>
      </c>
      <c r="S12" s="380">
        <f t="shared" si="1"/>
        <v>333</v>
      </c>
      <c r="T12" s="380">
        <f t="shared" si="3"/>
        <v>-495.33000000000004</v>
      </c>
      <c r="U12" s="380">
        <f t="shared" si="3"/>
        <v>169</v>
      </c>
      <c r="V12" s="380">
        <f t="shared" si="3"/>
        <v>181</v>
      </c>
      <c r="W12" s="381">
        <f t="shared" si="3"/>
        <v>2.6878436163714214E-2</v>
      </c>
      <c r="X12" s="381">
        <f t="shared" si="3"/>
        <v>6.0509554140127486E-2</v>
      </c>
      <c r="Y12" s="381">
        <f t="shared" si="3"/>
        <v>-0.1908494981649087</v>
      </c>
      <c r="Z12" s="381">
        <f t="shared" si="3"/>
        <v>0.19181429444105069</v>
      </c>
      <c r="AA12" s="381">
        <f t="shared" si="3"/>
        <v>0.1980963712076145</v>
      </c>
      <c r="AD12" s="175"/>
      <c r="AE12" s="175"/>
    </row>
    <row r="13" spans="2:31" ht="16">
      <c r="B13" s="302" t="str">
        <f t="shared" si="0"/>
        <v>CureVac N.V.</v>
      </c>
      <c r="C13" s="448" t="s">
        <v>311</v>
      </c>
      <c r="D13" s="302">
        <f t="shared" si="1"/>
        <v>5.12</v>
      </c>
      <c r="E13" s="302">
        <f t="shared" si="1"/>
        <v>227.5574423828125</v>
      </c>
      <c r="F13" s="376">
        <f t="shared" si="1"/>
        <v>1165.0941049999999</v>
      </c>
      <c r="G13" s="377">
        <f t="shared" si="1"/>
        <v>1.78</v>
      </c>
      <c r="H13" s="378">
        <f t="shared" si="1"/>
        <v>0.121</v>
      </c>
      <c r="I13" s="376">
        <f t="shared" si="1"/>
        <v>-452.8</v>
      </c>
      <c r="J13" s="376">
        <f t="shared" si="1"/>
        <v>41.5</v>
      </c>
      <c r="K13" s="379">
        <f t="shared" si="1"/>
        <v>0</v>
      </c>
      <c r="L13" s="379">
        <f t="shared" si="1"/>
        <v>0</v>
      </c>
      <c r="M13" s="380">
        <f t="shared" si="1"/>
        <v>753.79410499999994</v>
      </c>
      <c r="N13" s="380">
        <f t="shared" si="1"/>
        <v>484.20000000000005</v>
      </c>
      <c r="O13" s="380">
        <f t="shared" si="1"/>
        <v>77</v>
      </c>
      <c r="P13" s="380">
        <f t="shared" si="1"/>
        <v>99</v>
      </c>
      <c r="Q13" s="380">
        <f t="shared" si="1"/>
        <v>219.16000000000003</v>
      </c>
      <c r="R13" s="380">
        <f t="shared" si="1"/>
        <v>-129</v>
      </c>
      <c r="S13" s="380">
        <f t="shared" si="1"/>
        <v>-130</v>
      </c>
      <c r="T13" s="380">
        <f t="shared" si="3"/>
        <v>193.64999999999998</v>
      </c>
      <c r="U13" s="380">
        <f t="shared" si="3"/>
        <v>-165</v>
      </c>
      <c r="V13" s="380">
        <f t="shared" si="3"/>
        <v>-197</v>
      </c>
      <c r="W13" s="381">
        <f t="shared" si="3"/>
        <v>0.28571428571428581</v>
      </c>
      <c r="X13" s="381">
        <f t="shared" si="3"/>
        <v>7.7519379844961378E-3</v>
      </c>
      <c r="Y13" s="381">
        <f t="shared" si="3"/>
        <v>0.45262288310615451</v>
      </c>
      <c r="Z13" s="381">
        <f t="shared" si="3"/>
        <v>-1.6753246753246753</v>
      </c>
      <c r="AA13" s="381">
        <f t="shared" si="3"/>
        <v>-1.3131313131313131</v>
      </c>
      <c r="AE13" s="175"/>
    </row>
    <row r="14" spans="2:31" ht="16">
      <c r="B14" s="302" t="str">
        <f t="shared" si="0"/>
        <v>CareDx, Inc</v>
      </c>
      <c r="C14" s="449" t="s">
        <v>313</v>
      </c>
      <c r="D14" s="302">
        <f t="shared" si="1"/>
        <v>18.53</v>
      </c>
      <c r="E14" s="302">
        <f t="shared" si="1"/>
        <v>53.2</v>
      </c>
      <c r="F14" s="376">
        <f t="shared" si="1"/>
        <v>985.79600000000016</v>
      </c>
      <c r="G14" s="377">
        <f t="shared" si="1"/>
        <v>2.56</v>
      </c>
      <c r="H14" s="378">
        <f t="shared" si="1"/>
        <v>5.0000000000000001E-3</v>
      </c>
      <c r="I14" s="376">
        <f t="shared" si="1"/>
        <v>-186.3</v>
      </c>
      <c r="J14" s="376">
        <f t="shared" si="1"/>
        <v>29.1</v>
      </c>
      <c r="K14" s="379">
        <f t="shared" si="1"/>
        <v>0</v>
      </c>
      <c r="L14" s="379">
        <f t="shared" si="1"/>
        <v>0</v>
      </c>
      <c r="M14" s="380">
        <f t="shared" si="1"/>
        <v>828.59600000000012</v>
      </c>
      <c r="N14" s="380">
        <f t="shared" si="1"/>
        <v>340.83000000000004</v>
      </c>
      <c r="O14" s="380">
        <f t="shared" si="1"/>
        <v>369</v>
      </c>
      <c r="P14" s="380">
        <f t="shared" si="1"/>
        <v>414</v>
      </c>
      <c r="Q14" s="380">
        <f t="shared" si="1"/>
        <v>43.500000000000014</v>
      </c>
      <c r="R14" s="380">
        <f t="shared" si="1"/>
        <v>30</v>
      </c>
      <c r="S14" s="380">
        <f t="shared" si="1"/>
        <v>46</v>
      </c>
      <c r="T14" s="380">
        <f t="shared" si="3"/>
        <v>58.14</v>
      </c>
      <c r="U14" s="380">
        <f t="shared" si="3"/>
        <v>-27</v>
      </c>
      <c r="V14" s="380">
        <f t="shared" si="3"/>
        <v>-4</v>
      </c>
      <c r="W14" s="381">
        <f t="shared" si="3"/>
        <v>0.12195121951219523</v>
      </c>
      <c r="X14" s="381">
        <f t="shared" si="3"/>
        <v>0.53333333333333344</v>
      </c>
      <c r="Y14" s="381">
        <f t="shared" si="3"/>
        <v>0.12762961006953616</v>
      </c>
      <c r="Z14" s="381">
        <f t="shared" si="3"/>
        <v>8.1300813008130079E-2</v>
      </c>
      <c r="AA14" s="381">
        <f t="shared" si="3"/>
        <v>0.1111111111111111</v>
      </c>
      <c r="AE14" s="175"/>
    </row>
    <row r="15" spans="2:31" ht="16">
      <c r="B15" s="382" t="s">
        <v>301</v>
      </c>
      <c r="C15" s="383"/>
      <c r="D15" s="375">
        <f>MAX(D9:D13)</f>
        <v>141.68</v>
      </c>
      <c r="E15" s="375"/>
      <c r="F15" s="384">
        <f>MAX(F9:F13)</f>
        <v>38927.03</v>
      </c>
      <c r="G15" s="384"/>
      <c r="H15" s="384"/>
      <c r="I15" s="384"/>
      <c r="J15" s="384"/>
      <c r="K15" s="384"/>
      <c r="L15" s="384"/>
      <c r="M15" s="384">
        <f>MAX(M9:M13)</f>
        <v>45893.03</v>
      </c>
      <c r="N15" s="384">
        <f>MAX(N9:N13)</f>
        <v>20246</v>
      </c>
      <c r="O15" s="384">
        <f>MAX(O9:O13)</f>
        <v>20530</v>
      </c>
      <c r="P15" s="384">
        <f>MAX(P9:P13)</f>
        <v>21435</v>
      </c>
      <c r="Q15" s="384">
        <f>MAX(Q9:Q13)</f>
        <v>3429</v>
      </c>
      <c r="R15" s="384">
        <f t="shared" ref="R15:S15" si="4">MAX(R9:R13)</f>
        <v>3653</v>
      </c>
      <c r="S15" s="384">
        <f t="shared" si="4"/>
        <v>3921</v>
      </c>
      <c r="T15" s="384">
        <f>MAX(T9:T13)</f>
        <v>2290</v>
      </c>
      <c r="U15" s="384">
        <f>MAX(U9:U13)</f>
        <v>2096</v>
      </c>
      <c r="V15" s="384">
        <f t="shared" ref="V15:AA15" si="5">MAX(V9:V13)</f>
        <v>2147</v>
      </c>
      <c r="W15" s="385">
        <f t="shared" si="5"/>
        <v>0.28571428571428581</v>
      </c>
      <c r="X15" s="385">
        <f t="shared" si="5"/>
        <v>9.456740442655942E-2</v>
      </c>
      <c r="Y15" s="385">
        <f t="shared" si="5"/>
        <v>0.45262288310615451</v>
      </c>
      <c r="Z15" s="385">
        <f t="shared" si="5"/>
        <v>0.32675871137409601</v>
      </c>
      <c r="AA15" s="386">
        <f t="shared" si="5"/>
        <v>0.33190970103721784</v>
      </c>
      <c r="AE15" s="175"/>
    </row>
    <row r="16" spans="2:31" ht="16">
      <c r="B16" s="387" t="s">
        <v>302</v>
      </c>
      <c r="C16" s="21"/>
      <c r="D16" s="388">
        <f>QUARTILE(D9:D13,3)</f>
        <v>85.46</v>
      </c>
      <c r="E16" s="388"/>
      <c r="F16" s="389">
        <f>QUARTILE(F9:F13,3)</f>
        <v>7721.56</v>
      </c>
      <c r="G16" s="389"/>
      <c r="H16" s="389"/>
      <c r="I16" s="389"/>
      <c r="J16" s="389"/>
      <c r="K16" s="389"/>
      <c r="L16" s="389"/>
      <c r="M16" s="389">
        <f>QUARTILE(M9:M13,3)</f>
        <v>8214.16</v>
      </c>
      <c r="N16" s="389">
        <f>QUARTILE(N9:N13,3)</f>
        <v>2153.8000000000002</v>
      </c>
      <c r="O16" s="389">
        <f>QUARTILE(O9:O13,3)</f>
        <v>1637</v>
      </c>
      <c r="P16" s="389">
        <f>QUARTILE(P9:P13,3)</f>
        <v>1681</v>
      </c>
      <c r="Q16" s="389">
        <f>QUARTILE(Q9:Q13,3)</f>
        <v>219.16000000000003</v>
      </c>
      <c r="R16" s="389">
        <f t="shared" ref="R16:S16" si="6">QUARTILE(R9:R13,3)</f>
        <v>497</v>
      </c>
      <c r="S16" s="389">
        <f t="shared" si="6"/>
        <v>544</v>
      </c>
      <c r="T16" s="389">
        <f>QUARTILE(T9:T13,3)</f>
        <v>193.64999999999998</v>
      </c>
      <c r="U16" s="389">
        <f>QUARTILE(U9:U13,3)</f>
        <v>209</v>
      </c>
      <c r="V16" s="389">
        <f t="shared" ref="V16:AA16" si="7">QUARTILE(V9:V13,3)</f>
        <v>265</v>
      </c>
      <c r="W16" s="390">
        <f t="shared" si="7"/>
        <v>7.7580539119000758E-2</v>
      </c>
      <c r="X16" s="390">
        <f t="shared" si="7"/>
        <v>7.4468085106383031E-2</v>
      </c>
      <c r="Y16" s="390">
        <f t="shared" si="7"/>
        <v>0.28732226012899376</v>
      </c>
      <c r="Z16" s="390">
        <f t="shared" si="7"/>
        <v>0.25543478260869568</v>
      </c>
      <c r="AA16" s="391">
        <f t="shared" si="7"/>
        <v>0.26370757180156656</v>
      </c>
      <c r="AD16" s="175"/>
      <c r="AE16" s="175"/>
    </row>
    <row r="17" spans="1:33" ht="16">
      <c r="B17" s="392" t="s">
        <v>303</v>
      </c>
      <c r="C17" s="393"/>
      <c r="D17" s="394">
        <f>MEDIAN(D9:D13)</f>
        <v>14.42</v>
      </c>
      <c r="E17" s="394"/>
      <c r="F17" s="395">
        <f>MEDIAN(F9:F13)</f>
        <v>1165.0941049999999</v>
      </c>
      <c r="G17" s="395"/>
      <c r="H17" s="395"/>
      <c r="I17" s="396"/>
      <c r="J17" s="396"/>
      <c r="K17" s="396"/>
      <c r="L17" s="396"/>
      <c r="M17" s="395">
        <f>MEDIAN(M9:M13)</f>
        <v>2776.1571090000002</v>
      </c>
      <c r="N17" s="395">
        <f>MEDIAN(N9:N13)</f>
        <v>1642.9699999999998</v>
      </c>
      <c r="O17" s="395">
        <f>MEDIAN(O9:O13)</f>
        <v>1521</v>
      </c>
      <c r="P17" s="395">
        <f>MEDIAN(P9:P13)</f>
        <v>1639</v>
      </c>
      <c r="Q17" s="395">
        <f>MEDIAN(Q9:Q13)</f>
        <v>115.38000000000001</v>
      </c>
      <c r="R17" s="395">
        <f t="shared" ref="R17:S17" si="8">MEDIAN(R9:R13)</f>
        <v>314</v>
      </c>
      <c r="S17" s="395">
        <f t="shared" si="8"/>
        <v>333</v>
      </c>
      <c r="T17" s="395">
        <f>MEDIAN(T9:T13)</f>
        <v>178.71</v>
      </c>
      <c r="U17" s="395">
        <f>MEDIAN(U9:U13)</f>
        <v>169</v>
      </c>
      <c r="V17" s="395">
        <f t="shared" ref="V17:AA17" si="9">MEDIAN(V9:V13)</f>
        <v>181</v>
      </c>
      <c r="W17" s="397">
        <f t="shared" si="9"/>
        <v>4.4081831466147081E-2</v>
      </c>
      <c r="X17" s="397">
        <f t="shared" si="9"/>
        <v>7.336435806186703E-2</v>
      </c>
      <c r="Y17" s="397">
        <f t="shared" si="9"/>
        <v>0.16936678850143239</v>
      </c>
      <c r="Z17" s="397">
        <f t="shared" si="9"/>
        <v>0.19181429444105069</v>
      </c>
      <c r="AA17" s="398">
        <f t="shared" si="9"/>
        <v>0.1980963712076145</v>
      </c>
      <c r="AD17" s="175"/>
      <c r="AE17" s="175"/>
    </row>
    <row r="18" spans="1:33" ht="16">
      <c r="B18" s="387" t="s">
        <v>304</v>
      </c>
      <c r="C18" s="148"/>
      <c r="D18" s="388">
        <f>QUARTILE(D9:D13,1)</f>
        <v>13.24</v>
      </c>
      <c r="E18" s="388"/>
      <c r="F18" s="389">
        <f>QUARTILE(F9:F13,1)</f>
        <v>1036.357109</v>
      </c>
      <c r="G18" s="389"/>
      <c r="H18" s="389"/>
      <c r="I18" s="389"/>
      <c r="J18" s="389"/>
      <c r="K18" s="389"/>
      <c r="L18" s="389"/>
      <c r="M18" s="389">
        <f>QUARTILE(M9:M13,1)</f>
        <v>753.79410499999994</v>
      </c>
      <c r="N18" s="389">
        <f>QUARTILE(N9:N13,1)</f>
        <v>484.20000000000005</v>
      </c>
      <c r="O18" s="389">
        <f>QUARTILE(O9:O13,1)</f>
        <v>368</v>
      </c>
      <c r="P18" s="389">
        <f>QUARTILE(P9:P13,1)</f>
        <v>383</v>
      </c>
      <c r="Q18" s="389">
        <f>QUARTILE(Q9:Q13,1)</f>
        <v>-177.2</v>
      </c>
      <c r="R18" s="389">
        <f t="shared" ref="R18:S18" si="10">QUARTILE(R9:R13,1)</f>
        <v>94</v>
      </c>
      <c r="S18" s="389">
        <f t="shared" si="10"/>
        <v>101</v>
      </c>
      <c r="T18" s="389">
        <f>QUARTILE(T9:T13,1)</f>
        <v>-459.19999999999993</v>
      </c>
      <c r="U18" s="389">
        <f>QUARTILE(U9:U13,1)</f>
        <v>94</v>
      </c>
      <c r="V18" s="389">
        <f t="shared" ref="V18:AA18" si="11">QUARTILE(V9:V13,1)</f>
        <v>104</v>
      </c>
      <c r="W18" s="390">
        <f t="shared" si="11"/>
        <v>4.0760869565217295E-2</v>
      </c>
      <c r="X18" s="390">
        <f t="shared" si="11"/>
        <v>6.0509554140127486E-2</v>
      </c>
      <c r="Y18" s="390">
        <f t="shared" si="11"/>
        <v>-8.2273191568390733E-2</v>
      </c>
      <c r="Z18" s="390">
        <f t="shared" si="11"/>
        <v>0.17793472966390647</v>
      </c>
      <c r="AA18" s="391">
        <f t="shared" si="11"/>
        <v>0.18292512246326101</v>
      </c>
      <c r="AD18" s="175"/>
      <c r="AE18" s="175"/>
    </row>
    <row r="19" spans="1:33" ht="16">
      <c r="B19" s="399" t="s">
        <v>305</v>
      </c>
      <c r="C19" s="400"/>
      <c r="D19" s="401">
        <f>MIN(D9:D13)</f>
        <v>5.12</v>
      </c>
      <c r="E19" s="401"/>
      <c r="F19" s="402">
        <f>MIN(F9:F13)</f>
        <v>944.51</v>
      </c>
      <c r="G19" s="402"/>
      <c r="H19" s="402"/>
      <c r="I19" s="402"/>
      <c r="J19" s="402"/>
      <c r="K19" s="402"/>
      <c r="L19" s="402"/>
      <c r="M19" s="402">
        <f>MIN(M9:M13)</f>
        <v>439.91</v>
      </c>
      <c r="N19" s="402">
        <f>MIN(N9:N13)</f>
        <v>401.56999999999994</v>
      </c>
      <c r="O19" s="402">
        <f>MIN(O9:O13)</f>
        <v>77</v>
      </c>
      <c r="P19" s="402">
        <f>MIN(P9:P13)</f>
        <v>99</v>
      </c>
      <c r="Q19" s="402">
        <f>MIN(Q9:Q13)</f>
        <v>-313.56</v>
      </c>
      <c r="R19" s="402">
        <f t="shared" ref="R19:S19" si="12">MIN(R9:R13)</f>
        <v>-129</v>
      </c>
      <c r="S19" s="402">
        <f t="shared" si="12"/>
        <v>-130</v>
      </c>
      <c r="T19" s="402">
        <f>MIN(T9:T13)</f>
        <v>-495.33000000000004</v>
      </c>
      <c r="U19" s="402">
        <f>MIN(U9:U13)</f>
        <v>-165</v>
      </c>
      <c r="V19" s="402">
        <f t="shared" ref="V19:AA19" si="13">MIN(V9:V13)</f>
        <v>-197</v>
      </c>
      <c r="W19" s="403">
        <f t="shared" si="13"/>
        <v>2.6878436163714214E-2</v>
      </c>
      <c r="X19" s="403">
        <f t="shared" si="13"/>
        <v>7.7519379844961378E-3</v>
      </c>
      <c r="Y19" s="403">
        <f t="shared" si="13"/>
        <v>-0.1908494981649087</v>
      </c>
      <c r="Z19" s="403">
        <f t="shared" si="13"/>
        <v>-1.6753246753246753</v>
      </c>
      <c r="AA19" s="404">
        <f t="shared" si="13"/>
        <v>-1.3131313131313131</v>
      </c>
      <c r="AD19" s="175"/>
      <c r="AE19" s="175"/>
    </row>
    <row r="20" spans="1:33" ht="16"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D20" s="175"/>
      <c r="AE20" s="175"/>
    </row>
    <row r="21" spans="1:33" ht="16">
      <c r="A21" s="405"/>
      <c r="B21" s="406" t="str">
        <f t="shared" ref="B21:L21" si="14">INDEX(Pub_Comps_Range,MATCH(B$5,Pub_Comps_Params,0),MATCH($C21,Pub_Comps_Tickers,0))</f>
        <v>Butterfly Network, inc.</v>
      </c>
      <c r="C21" s="407" t="str">
        <f>Ticker</f>
        <v>BFLY</v>
      </c>
      <c r="D21" s="408">
        <f>Share_Price</f>
        <v>3.06</v>
      </c>
      <c r="E21" s="409">
        <f t="shared" si="14"/>
        <v>227.97799999999998</v>
      </c>
      <c r="F21" s="410">
        <f t="shared" si="14"/>
        <v>697.61267999999995</v>
      </c>
      <c r="G21" s="411">
        <f t="shared" si="14"/>
        <v>2.2400000000000002</v>
      </c>
      <c r="H21" s="412">
        <f t="shared" si="14"/>
        <v>0.12</v>
      </c>
      <c r="I21" s="410">
        <f t="shared" si="14"/>
        <v>-88.775000000000006</v>
      </c>
      <c r="J21" s="410">
        <f t="shared" si="14"/>
        <v>0</v>
      </c>
      <c r="K21" s="410">
        <f t="shared" si="14"/>
        <v>0</v>
      </c>
      <c r="L21" s="410">
        <f t="shared" si="14"/>
        <v>0</v>
      </c>
      <c r="M21" s="410">
        <f t="shared" ref="M21:V21" si="15">INDEX(Pub_Comps_Range,MATCH(M$5,Pub_Comps_Params,0),MATCH($C21,Pub_Comps_Tickers,0))</f>
        <v>608.83767999999998</v>
      </c>
      <c r="N21" s="410">
        <f t="shared" si="15"/>
        <v>203.9</v>
      </c>
      <c r="O21" s="410">
        <f t="shared" si="15"/>
        <v>63.442999999999998</v>
      </c>
      <c r="P21" s="410">
        <f t="shared" si="15"/>
        <v>56.95</v>
      </c>
      <c r="Q21" s="410">
        <f t="shared" si="15"/>
        <v>258.89999999999998</v>
      </c>
      <c r="R21" s="410">
        <f t="shared" si="15"/>
        <v>-46.163567797883672</v>
      </c>
      <c r="S21" s="410">
        <f t="shared" si="15"/>
        <v>-3.7799891246833668</v>
      </c>
      <c r="T21" s="410">
        <f t="shared" si="15"/>
        <v>-65.400000000000006</v>
      </c>
      <c r="U21" s="410">
        <f t="shared" si="15"/>
        <v>-49.463490660383677</v>
      </c>
      <c r="V21" s="410">
        <f t="shared" si="15"/>
        <v>-8.5019707914333669</v>
      </c>
      <c r="W21" s="413">
        <f t="shared" ref="W21:AA21" si="16">MIN(W10:W15)</f>
        <v>2.6878436163714214E-2</v>
      </c>
      <c r="X21" s="413">
        <f t="shared" si="16"/>
        <v>7.7519379844961378E-3</v>
      </c>
      <c r="Y21" s="413">
        <f t="shared" si="16"/>
        <v>-0.1908494981649087</v>
      </c>
      <c r="Z21" s="413">
        <f t="shared" si="16"/>
        <v>-1.6753246753246753</v>
      </c>
      <c r="AA21" s="414">
        <f t="shared" si="16"/>
        <v>-1.3131313131313131</v>
      </c>
      <c r="AE21" s="175"/>
    </row>
    <row r="22" spans="1:33" ht="16">
      <c r="B22" s="415"/>
      <c r="C22" s="415"/>
      <c r="D22" s="416"/>
      <c r="E22" s="417"/>
      <c r="F22" s="418"/>
      <c r="G22" s="419"/>
      <c r="H22" s="420"/>
      <c r="I22" s="418"/>
      <c r="J22" s="418"/>
      <c r="K22" s="418"/>
      <c r="L22" s="418"/>
      <c r="M22" s="418"/>
      <c r="N22" s="418"/>
      <c r="O22" s="418"/>
      <c r="P22" s="418"/>
      <c r="Q22" s="418"/>
      <c r="R22" s="418"/>
      <c r="S22" s="418"/>
      <c r="T22" s="418"/>
      <c r="U22" s="418"/>
      <c r="V22" s="418"/>
      <c r="W22" s="421"/>
      <c r="X22" s="421"/>
      <c r="Y22" s="421"/>
      <c r="Z22" s="421"/>
      <c r="AA22" s="421"/>
      <c r="AE22" s="175"/>
    </row>
    <row r="23" spans="1:33" ht="16">
      <c r="B23" s="302" t="s">
        <v>73</v>
      </c>
      <c r="C23" s="361" t="s">
        <v>76</v>
      </c>
      <c r="D23" s="362" t="s">
        <v>221</v>
      </c>
      <c r="F23" s="362" t="s">
        <v>235</v>
      </c>
      <c r="M23" s="362" t="s">
        <v>236</v>
      </c>
      <c r="N23" s="175" t="s">
        <v>506</v>
      </c>
      <c r="O23" s="175" t="s">
        <v>507</v>
      </c>
      <c r="P23" s="175" t="s">
        <v>508</v>
      </c>
      <c r="Q23" s="175" t="s">
        <v>509</v>
      </c>
      <c r="R23" s="175" t="s">
        <v>510</v>
      </c>
      <c r="S23" s="175" t="s">
        <v>511</v>
      </c>
      <c r="T23" s="175" t="s">
        <v>340</v>
      </c>
      <c r="U23" s="175" t="s">
        <v>341</v>
      </c>
      <c r="V23" s="175" t="s">
        <v>342</v>
      </c>
      <c r="W23" s="21"/>
      <c r="X23" s="21"/>
      <c r="Y23" s="21"/>
      <c r="Z23" s="21"/>
      <c r="AA23" s="21"/>
      <c r="AE23" s="175"/>
    </row>
    <row r="24" spans="1:33" ht="16">
      <c r="B24" s="365" t="s">
        <v>343</v>
      </c>
      <c r="C24" s="365"/>
      <c r="D24" s="365"/>
      <c r="E24" s="365"/>
      <c r="F24" s="366" t="s">
        <v>328</v>
      </c>
      <c r="G24" s="366"/>
      <c r="H24" s="366"/>
      <c r="I24" s="366"/>
      <c r="J24" s="366"/>
      <c r="K24" s="366"/>
      <c r="L24" s="366"/>
      <c r="M24" s="367"/>
      <c r="N24" s="366" t="s">
        <v>344</v>
      </c>
      <c r="O24" s="367"/>
      <c r="P24" s="367"/>
      <c r="Q24" s="366" t="s">
        <v>344</v>
      </c>
      <c r="R24" s="367"/>
      <c r="S24" s="367"/>
      <c r="T24" s="368"/>
      <c r="U24" s="368"/>
      <c r="V24" s="368"/>
      <c r="W24" s="21"/>
      <c r="X24" s="21"/>
      <c r="Y24" s="21"/>
      <c r="Z24" s="21"/>
      <c r="AA24" s="21"/>
      <c r="AD24" s="175"/>
      <c r="AE24" s="175"/>
    </row>
    <row r="25" spans="1:33" ht="16">
      <c r="B25" s="368"/>
      <c r="C25" s="368"/>
      <c r="D25" s="369"/>
      <c r="E25" s="369"/>
      <c r="F25" s="369" t="s">
        <v>256</v>
      </c>
      <c r="G25" s="369"/>
      <c r="H25" s="369"/>
      <c r="I25" s="369"/>
      <c r="J25" s="369"/>
      <c r="K25" s="369"/>
      <c r="L25" s="369"/>
      <c r="M25" s="369" t="s">
        <v>291</v>
      </c>
      <c r="N25" s="366" t="s">
        <v>180</v>
      </c>
      <c r="O25" s="367"/>
      <c r="P25" s="367"/>
      <c r="Q25" s="366" t="s">
        <v>191</v>
      </c>
      <c r="R25" s="370"/>
      <c r="S25" s="370"/>
      <c r="T25" s="366" t="s">
        <v>345</v>
      </c>
      <c r="U25" s="366"/>
      <c r="V25" s="366"/>
      <c r="W25" s="269"/>
      <c r="X25" s="269"/>
      <c r="Y25" s="422"/>
      <c r="Z25" s="422"/>
      <c r="AA25" s="422"/>
      <c r="AB25" s="422"/>
      <c r="AC25" s="422"/>
      <c r="AE25" s="175"/>
      <c r="AF25" s="422"/>
      <c r="AG25" s="422"/>
    </row>
    <row r="26" spans="1:33" ht="16">
      <c r="B26" s="371" t="s">
        <v>334</v>
      </c>
      <c r="C26" s="371"/>
      <c r="D26" s="372"/>
      <c r="E26" s="372"/>
      <c r="F26" s="372" t="s">
        <v>264</v>
      </c>
      <c r="G26" s="372"/>
      <c r="H26" s="372"/>
      <c r="I26" s="372"/>
      <c r="J26" s="372"/>
      <c r="K26" s="372"/>
      <c r="L26" s="372"/>
      <c r="M26" s="372" t="s">
        <v>264</v>
      </c>
      <c r="N26" s="423" t="str">
        <f>$N$8</f>
        <v>LTM</v>
      </c>
      <c r="O26" s="424">
        <f>+$O$8</f>
        <v>46022</v>
      </c>
      <c r="P26" s="424">
        <f>+$P$8</f>
        <v>46387</v>
      </c>
      <c r="Q26" s="423" t="str">
        <f>$N$8</f>
        <v>LTM</v>
      </c>
      <c r="R26" s="424">
        <f>+$O$8</f>
        <v>46022</v>
      </c>
      <c r="S26" s="424">
        <f>+$P$8</f>
        <v>46387</v>
      </c>
      <c r="T26" s="423" t="str">
        <f>$N$8</f>
        <v>LTM</v>
      </c>
      <c r="U26" s="424">
        <f>+$O$8</f>
        <v>46022</v>
      </c>
      <c r="V26" s="424">
        <f>+$P$8</f>
        <v>46387</v>
      </c>
      <c r="W26" s="425"/>
      <c r="X26" s="425"/>
      <c r="Y26" s="422"/>
      <c r="Z26" s="422"/>
      <c r="AA26" s="422"/>
      <c r="AB26" s="422"/>
      <c r="AC26" s="422"/>
      <c r="AE26" s="175"/>
      <c r="AF26" s="422"/>
      <c r="AG26" s="422"/>
    </row>
    <row r="27" spans="1:33" ht="16">
      <c r="B27" s="302" t="str">
        <f t="shared" ref="B27:B32" si="17">INDEX(Pub_Comps_Range,MATCH(B$23,Pub_Comps_Params,0),MATCH($C27,Pub_Comps_Tickers,0))</f>
        <v>GE Healthcare Technologies Inc.</v>
      </c>
      <c r="C27" s="269" t="s">
        <v>279</v>
      </c>
      <c r="D27" s="375">
        <f t="shared" ref="D27:D32" si="18">INDEX(Pub_Comps_Range,MATCH(D$23,Pub_Comps_Params,0),MATCH($C27,Pub_Comps_Tickers,0))</f>
        <v>85.46</v>
      </c>
      <c r="E27" s="302"/>
      <c r="F27" s="376">
        <f t="shared" ref="F27:F32" si="19">INDEX(Pub_Comps_Range,MATCH(F$23,Pub_Comps_Params,0),MATCH($C27,Pub_Comps_Tickers,0))</f>
        <v>38927.03</v>
      </c>
      <c r="G27" s="376"/>
      <c r="H27" s="376"/>
      <c r="I27" s="376"/>
      <c r="J27" s="376"/>
      <c r="K27" s="376"/>
      <c r="L27" s="376"/>
      <c r="M27" s="376">
        <f t="shared" ref="M27:V32" si="20">INDEX(Pub_Comps_Range,MATCH(M$23,Pub_Comps_Params,0),MATCH($C27,Pub_Comps_Tickers,0))</f>
        <v>45893.03</v>
      </c>
      <c r="N27" s="426">
        <f t="shared" si="20"/>
        <v>2.2667702262175244</v>
      </c>
      <c r="O27" s="426">
        <f t="shared" si="20"/>
        <v>2.2354130540672186</v>
      </c>
      <c r="P27" s="426">
        <f t="shared" si="20"/>
        <v>2.1410324236062515</v>
      </c>
      <c r="Q27" s="426">
        <f t="shared" si="20"/>
        <v>13.383794109069699</v>
      </c>
      <c r="R27" s="426">
        <f t="shared" si="20"/>
        <v>12.563107035313442</v>
      </c>
      <c r="S27" s="426">
        <f t="shared" si="20"/>
        <v>11.704419790869675</v>
      </c>
      <c r="T27" s="426">
        <f t="shared" si="20"/>
        <v>16.998703056768559</v>
      </c>
      <c r="U27" s="426">
        <f t="shared" si="20"/>
        <v>18.572056297709924</v>
      </c>
      <c r="V27" s="426">
        <f t="shared" si="20"/>
        <v>18.13089427107592</v>
      </c>
      <c r="W27" s="21"/>
      <c r="X27" s="427"/>
      <c r="Y27" s="422"/>
      <c r="Z27" s="422"/>
      <c r="AA27" s="422"/>
      <c r="AB27" s="422"/>
      <c r="AC27" s="422"/>
      <c r="AE27" s="175"/>
      <c r="AF27" s="422"/>
      <c r="AG27" s="422"/>
    </row>
    <row r="28" spans="1:33" ht="16">
      <c r="B28" s="302" t="str">
        <f t="shared" si="17"/>
        <v>Masimo Corporation</v>
      </c>
      <c r="C28" s="447" t="s">
        <v>281</v>
      </c>
      <c r="D28" s="302">
        <f t="shared" si="18"/>
        <v>141.68</v>
      </c>
      <c r="E28" s="302"/>
      <c r="F28" s="376">
        <f t="shared" si="19"/>
        <v>7721.56</v>
      </c>
      <c r="G28" s="376"/>
      <c r="H28" s="376"/>
      <c r="I28" s="376"/>
      <c r="J28" s="376"/>
      <c r="K28" s="376"/>
      <c r="L28" s="376"/>
      <c r="M28" s="376">
        <f t="shared" si="20"/>
        <v>8214.16</v>
      </c>
      <c r="N28" s="426">
        <f t="shared" si="20"/>
        <v>3.8137988671185807</v>
      </c>
      <c r="O28" s="426">
        <f t="shared" si="20"/>
        <v>5.4004996712689017</v>
      </c>
      <c r="P28" s="426">
        <f t="shared" si="20"/>
        <v>5.0116900549115311</v>
      </c>
      <c r="Q28" s="426" t="str">
        <f t="shared" si="20"/>
        <v>NM</v>
      </c>
      <c r="R28" s="426">
        <f t="shared" si="20"/>
        <v>16.527484909456739</v>
      </c>
      <c r="S28" s="426">
        <f t="shared" si="20"/>
        <v>15.099558823529412</v>
      </c>
      <c r="T28" s="426" t="str">
        <f t="shared" si="20"/>
        <v>NM</v>
      </c>
      <c r="U28" s="426">
        <f t="shared" si="20"/>
        <v>36.945263157894736</v>
      </c>
      <c r="V28" s="426">
        <f t="shared" si="20"/>
        <v>29.137962264150946</v>
      </c>
      <c r="W28" s="21"/>
      <c r="X28" s="427"/>
      <c r="Y28" s="427"/>
      <c r="Z28" s="21"/>
      <c r="AA28" s="21"/>
      <c r="AD28" s="175"/>
      <c r="AE28" s="175"/>
    </row>
    <row r="29" spans="1:33" ht="16">
      <c r="B29" s="302" t="str">
        <f t="shared" si="17"/>
        <v>InMode, Ltd.</v>
      </c>
      <c r="C29" s="183" t="s">
        <v>283</v>
      </c>
      <c r="D29" s="302">
        <f t="shared" si="18"/>
        <v>14.42</v>
      </c>
      <c r="E29" s="302"/>
      <c r="F29" s="376">
        <f t="shared" si="19"/>
        <v>944.51</v>
      </c>
      <c r="G29" s="376"/>
      <c r="H29" s="376"/>
      <c r="I29" s="376"/>
      <c r="J29" s="376"/>
      <c r="K29" s="376"/>
      <c r="L29" s="376"/>
      <c r="M29" s="376">
        <f t="shared" si="20"/>
        <v>439.91</v>
      </c>
      <c r="N29" s="426">
        <f t="shared" si="20"/>
        <v>1.0954752596060464</v>
      </c>
      <c r="O29" s="426">
        <f t="shared" si="20"/>
        <v>1.1954076086956522</v>
      </c>
      <c r="P29" s="426">
        <f t="shared" si="20"/>
        <v>1.1485900783289817</v>
      </c>
      <c r="Q29" s="426">
        <f t="shared" si="20"/>
        <v>3.8127058415669959</v>
      </c>
      <c r="R29" s="426">
        <f t="shared" si="20"/>
        <v>4.6798936170212766</v>
      </c>
      <c r="S29" s="426">
        <f t="shared" si="20"/>
        <v>4.3555445544554461</v>
      </c>
      <c r="T29" s="426">
        <f t="shared" si="20"/>
        <v>5.2851547199373288</v>
      </c>
      <c r="U29" s="426">
        <f t="shared" si="20"/>
        <v>10.047978723404254</v>
      </c>
      <c r="V29" s="426">
        <f t="shared" si="20"/>
        <v>9.0818269230769229</v>
      </c>
      <c r="W29" s="21"/>
      <c r="X29" s="427"/>
      <c r="Y29" s="427"/>
      <c r="Z29" s="21"/>
      <c r="AA29" s="21"/>
      <c r="AE29" s="175"/>
    </row>
    <row r="30" spans="1:33" ht="16">
      <c r="B30" s="302" t="str">
        <f t="shared" si="17"/>
        <v>Integra LifeSciences Holdings Corporation</v>
      </c>
      <c r="C30" s="244" t="s">
        <v>309</v>
      </c>
      <c r="D30" s="302">
        <f t="shared" si="18"/>
        <v>13.24</v>
      </c>
      <c r="E30" s="302"/>
      <c r="F30" s="376">
        <f t="shared" si="19"/>
        <v>1036.357109</v>
      </c>
      <c r="G30" s="376"/>
      <c r="H30" s="376"/>
      <c r="I30" s="376"/>
      <c r="J30" s="376"/>
      <c r="K30" s="376"/>
      <c r="L30" s="376"/>
      <c r="M30" s="376">
        <f t="shared" si="20"/>
        <v>2776.1571090000002</v>
      </c>
      <c r="N30" s="426">
        <f t="shared" si="20"/>
        <v>1.6897186856728976</v>
      </c>
      <c r="O30" s="426">
        <f t="shared" si="20"/>
        <v>1.6958809462431279</v>
      </c>
      <c r="P30" s="426">
        <f t="shared" si="20"/>
        <v>1.6514914390243904</v>
      </c>
      <c r="Q30" s="426" t="str">
        <f t="shared" si="20"/>
        <v>NM</v>
      </c>
      <c r="R30" s="426">
        <f t="shared" si="20"/>
        <v>8.8412646783439506</v>
      </c>
      <c r="S30" s="426">
        <f t="shared" si="20"/>
        <v>8.3368081351351364</v>
      </c>
      <c r="T30" s="426" t="str">
        <f t="shared" si="20"/>
        <v>NM</v>
      </c>
      <c r="U30" s="426">
        <f t="shared" si="20"/>
        <v>6.1322905857988168</v>
      </c>
      <c r="V30" s="426">
        <f t="shared" si="20"/>
        <v>5.7257298839779009</v>
      </c>
      <c r="W30" s="21"/>
      <c r="X30" s="427"/>
      <c r="Y30" s="427"/>
      <c r="Z30" s="21"/>
      <c r="AA30" s="21"/>
      <c r="AE30" s="175"/>
    </row>
    <row r="31" spans="1:33" ht="16">
      <c r="B31" s="302" t="str">
        <f t="shared" si="17"/>
        <v>CureVac N.V.</v>
      </c>
      <c r="C31" s="448" t="s">
        <v>311</v>
      </c>
      <c r="D31" s="302">
        <f t="shared" si="18"/>
        <v>5.12</v>
      </c>
      <c r="E31" s="302"/>
      <c r="F31" s="376">
        <f t="shared" si="19"/>
        <v>1165.0941049999999</v>
      </c>
      <c r="G31" s="376"/>
      <c r="H31" s="376"/>
      <c r="I31" s="376"/>
      <c r="J31" s="376"/>
      <c r="K31" s="376"/>
      <c r="L31" s="376"/>
      <c r="M31" s="376">
        <f t="shared" si="20"/>
        <v>753.79410499999994</v>
      </c>
      <c r="N31" s="426">
        <f t="shared" si="20"/>
        <v>1.5567825382073521</v>
      </c>
      <c r="O31" s="426">
        <f t="shared" si="20"/>
        <v>9.7895338311688302</v>
      </c>
      <c r="P31" s="426">
        <f t="shared" si="20"/>
        <v>7.6140818686868679</v>
      </c>
      <c r="Q31" s="426">
        <f t="shared" si="20"/>
        <v>3.4394693602847228</v>
      </c>
      <c r="R31" s="426" t="str">
        <f t="shared" si="20"/>
        <v>NM</v>
      </c>
      <c r="S31" s="426" t="str">
        <f t="shared" si="20"/>
        <v>NM</v>
      </c>
      <c r="T31" s="426">
        <f t="shared" si="20"/>
        <v>6.0164942163697397</v>
      </c>
      <c r="U31" s="426" t="str">
        <f t="shared" si="20"/>
        <v>NM</v>
      </c>
      <c r="V31" s="426" t="str">
        <f t="shared" si="20"/>
        <v>NM</v>
      </c>
      <c r="W31" s="21"/>
      <c r="X31" s="427"/>
      <c r="Y31" s="21"/>
      <c r="Z31" s="21"/>
      <c r="AA31" s="21"/>
      <c r="AE31" s="175"/>
    </row>
    <row r="32" spans="1:33" ht="16">
      <c r="B32" s="302" t="str">
        <f t="shared" si="17"/>
        <v>CareDx, Inc</v>
      </c>
      <c r="C32" s="449" t="s">
        <v>313</v>
      </c>
      <c r="D32" s="302">
        <f t="shared" si="18"/>
        <v>18.53</v>
      </c>
      <c r="E32" s="302"/>
      <c r="F32" s="376">
        <f t="shared" si="19"/>
        <v>985.79600000000016</v>
      </c>
      <c r="G32" s="376"/>
      <c r="H32" s="376"/>
      <c r="I32" s="376"/>
      <c r="J32" s="376"/>
      <c r="K32" s="376"/>
      <c r="L32" s="376"/>
      <c r="M32" s="376">
        <f t="shared" si="20"/>
        <v>828.59600000000012</v>
      </c>
      <c r="N32" s="426">
        <f t="shared" si="20"/>
        <v>2.431112284716721</v>
      </c>
      <c r="O32" s="426">
        <f t="shared" si="20"/>
        <v>2.0428024525745254</v>
      </c>
      <c r="P32" s="426">
        <f t="shared" si="20"/>
        <v>1.8207587077294685</v>
      </c>
      <c r="Q32" s="426">
        <f t="shared" si="20"/>
        <v>19.048183908045974</v>
      </c>
      <c r="R32" s="426">
        <f t="shared" si="20"/>
        <v>25.126470166666664</v>
      </c>
      <c r="S32" s="426">
        <f t="shared" si="20"/>
        <v>16.386828369565215</v>
      </c>
      <c r="T32" s="426">
        <f t="shared" si="20"/>
        <v>16.955555555555559</v>
      </c>
      <c r="U32" s="426" t="str">
        <f t="shared" si="20"/>
        <v>NM</v>
      </c>
      <c r="V32" s="426" t="str">
        <f t="shared" si="20"/>
        <v>NM</v>
      </c>
      <c r="W32" s="21"/>
      <c r="X32" s="21"/>
      <c r="Y32" s="21"/>
      <c r="Z32" s="21"/>
      <c r="AA32" s="21"/>
      <c r="AD32" s="175"/>
      <c r="AE32" s="175"/>
    </row>
    <row r="33" spans="2:31" ht="16"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E33" s="175"/>
    </row>
    <row r="34" spans="2:31" ht="16">
      <c r="B34" s="382" t="s">
        <v>301</v>
      </c>
      <c r="C34" s="383"/>
      <c r="D34" s="375"/>
      <c r="E34" s="375"/>
      <c r="F34" s="384">
        <f>MAX(F27:F32)</f>
        <v>38927.03</v>
      </c>
      <c r="G34" s="384"/>
      <c r="H34" s="384"/>
      <c r="I34" s="384"/>
      <c r="J34" s="384"/>
      <c r="K34" s="384"/>
      <c r="L34" s="384"/>
      <c r="M34" s="384">
        <f t="shared" ref="M34:V34" si="21">MAX(M27:M32)</f>
        <v>45893.03</v>
      </c>
      <c r="N34" s="428">
        <f t="shared" si="21"/>
        <v>3.8137988671185807</v>
      </c>
      <c r="O34" s="428">
        <f t="shared" si="21"/>
        <v>9.7895338311688302</v>
      </c>
      <c r="P34" s="428">
        <f t="shared" si="21"/>
        <v>7.6140818686868679</v>
      </c>
      <c r="Q34" s="428">
        <f t="shared" si="21"/>
        <v>19.048183908045974</v>
      </c>
      <c r="R34" s="428">
        <f t="shared" si="21"/>
        <v>25.126470166666664</v>
      </c>
      <c r="S34" s="428">
        <f t="shared" si="21"/>
        <v>16.386828369565215</v>
      </c>
      <c r="T34" s="428">
        <f t="shared" si="21"/>
        <v>16.998703056768559</v>
      </c>
      <c r="U34" s="428">
        <f t="shared" si="21"/>
        <v>36.945263157894736</v>
      </c>
      <c r="V34" s="429">
        <f t="shared" si="21"/>
        <v>29.137962264150946</v>
      </c>
      <c r="W34" s="21"/>
      <c r="X34" s="21"/>
      <c r="Y34" s="21"/>
      <c r="Z34" s="21"/>
      <c r="AA34" s="21"/>
      <c r="AE34" s="175"/>
    </row>
    <row r="35" spans="2:31" ht="16">
      <c r="B35" s="387" t="s">
        <v>302</v>
      </c>
      <c r="C35" s="21"/>
      <c r="D35" s="388"/>
      <c r="E35" s="388"/>
      <c r="F35" s="389">
        <f>QUARTILE(F27:F32,3)</f>
        <v>6082.4435262500001</v>
      </c>
      <c r="G35" s="389"/>
      <c r="H35" s="389"/>
      <c r="I35" s="389"/>
      <c r="J35" s="389"/>
      <c r="K35" s="389"/>
      <c r="L35" s="389"/>
      <c r="M35" s="389">
        <f t="shared" ref="M35:V35" si="22">QUARTILE(M27:M32,3)</f>
        <v>6854.6592772500007</v>
      </c>
      <c r="N35" s="117">
        <f t="shared" si="22"/>
        <v>2.390026770091922</v>
      </c>
      <c r="O35" s="117">
        <f t="shared" si="22"/>
        <v>4.6092280169684807</v>
      </c>
      <c r="P35" s="117">
        <f t="shared" si="22"/>
        <v>4.2940256470852116</v>
      </c>
      <c r="Q35" s="117">
        <f t="shared" si="22"/>
        <v>14.799891558813767</v>
      </c>
      <c r="R35" s="117">
        <f t="shared" si="22"/>
        <v>16.527484909456739</v>
      </c>
      <c r="S35" s="117">
        <f t="shared" si="22"/>
        <v>15.099558823529412</v>
      </c>
      <c r="T35" s="117">
        <f t="shared" si="22"/>
        <v>16.966342430858809</v>
      </c>
      <c r="U35" s="117">
        <f t="shared" si="22"/>
        <v>23.165358012756126</v>
      </c>
      <c r="V35" s="430">
        <f t="shared" si="22"/>
        <v>20.882661269344677</v>
      </c>
      <c r="W35" s="21"/>
      <c r="X35" s="21"/>
      <c r="Y35" s="21"/>
      <c r="Z35" s="21"/>
      <c r="AA35" s="21"/>
      <c r="AE35" s="175"/>
    </row>
    <row r="36" spans="2:31" ht="16">
      <c r="B36" s="431" t="s">
        <v>303</v>
      </c>
      <c r="C36" s="432"/>
      <c r="D36" s="433"/>
      <c r="E36" s="433"/>
      <c r="F36" s="434">
        <f>MEDIAN(F27:F32)</f>
        <v>1100.7256069999999</v>
      </c>
      <c r="G36" s="434"/>
      <c r="H36" s="434"/>
      <c r="I36" s="435"/>
      <c r="J36" s="435"/>
      <c r="K36" s="435"/>
      <c r="L36" s="435"/>
      <c r="M36" s="434">
        <f t="shared" ref="M36:V36" si="23">MEDIAN(M27:M32)</f>
        <v>1802.3765545000001</v>
      </c>
      <c r="N36" s="436">
        <f t="shared" si="23"/>
        <v>1.978244455945211</v>
      </c>
      <c r="O36" s="436">
        <f t="shared" si="23"/>
        <v>2.139107753320872</v>
      </c>
      <c r="P36" s="436">
        <f t="shared" si="23"/>
        <v>1.98089556566786</v>
      </c>
      <c r="Q36" s="436">
        <f t="shared" si="23"/>
        <v>8.5982499753183461</v>
      </c>
      <c r="R36" s="436">
        <f t="shared" si="23"/>
        <v>12.563107035313442</v>
      </c>
      <c r="S36" s="436">
        <f t="shared" si="23"/>
        <v>11.704419790869675</v>
      </c>
      <c r="T36" s="436">
        <f t="shared" si="23"/>
        <v>11.486024885962649</v>
      </c>
      <c r="U36" s="436">
        <f t="shared" si="23"/>
        <v>14.310017510557088</v>
      </c>
      <c r="V36" s="437">
        <f t="shared" si="23"/>
        <v>13.606360597076421</v>
      </c>
      <c r="W36" s="21"/>
      <c r="X36" s="21"/>
      <c r="Y36" s="21"/>
      <c r="Z36" s="21"/>
      <c r="AA36" s="21"/>
      <c r="AD36" s="175"/>
      <c r="AE36" s="175"/>
    </row>
    <row r="37" spans="2:31" ht="16">
      <c r="B37" s="387" t="s">
        <v>304</v>
      </c>
      <c r="C37" s="148"/>
      <c r="D37" s="388"/>
      <c r="E37" s="388"/>
      <c r="F37" s="389">
        <f>QUARTILE(F27:F32,1)</f>
        <v>998.4362772500001</v>
      </c>
      <c r="G37" s="389"/>
      <c r="H37" s="389"/>
      <c r="I37" s="389"/>
      <c r="J37" s="389"/>
      <c r="K37" s="389"/>
      <c r="L37" s="389"/>
      <c r="M37" s="389">
        <f t="shared" ref="M37:V37" si="24">QUARTILE(M27:M32,1)</f>
        <v>772.49457874999996</v>
      </c>
      <c r="N37" s="117">
        <f t="shared" si="24"/>
        <v>1.5900165750737385</v>
      </c>
      <c r="O37" s="117">
        <f t="shared" si="24"/>
        <v>1.7826113228259772</v>
      </c>
      <c r="P37" s="117">
        <f t="shared" si="24"/>
        <v>1.69380825620066</v>
      </c>
      <c r="Q37" s="117">
        <f t="shared" si="24"/>
        <v>3.7193967212464276</v>
      </c>
      <c r="R37" s="117">
        <f t="shared" si="24"/>
        <v>8.8412646783439506</v>
      </c>
      <c r="S37" s="117">
        <f t="shared" si="24"/>
        <v>8.3368081351351364</v>
      </c>
      <c r="T37" s="117">
        <f t="shared" si="24"/>
        <v>5.8336593422616367</v>
      </c>
      <c r="U37" s="117">
        <f t="shared" si="24"/>
        <v>9.0690566890028954</v>
      </c>
      <c r="V37" s="430">
        <f t="shared" si="24"/>
        <v>8.242802663302168</v>
      </c>
      <c r="W37" s="21"/>
      <c r="X37" s="21"/>
      <c r="Y37" s="21"/>
      <c r="Z37" s="21"/>
      <c r="AA37" s="21"/>
      <c r="AE37" s="175"/>
    </row>
    <row r="38" spans="2:31" ht="16">
      <c r="B38" s="399" t="s">
        <v>305</v>
      </c>
      <c r="C38" s="400"/>
      <c r="D38" s="401"/>
      <c r="E38" s="401"/>
      <c r="F38" s="402">
        <f>MIN(F27:F32)</f>
        <v>944.51</v>
      </c>
      <c r="G38" s="402"/>
      <c r="H38" s="402"/>
      <c r="I38" s="402"/>
      <c r="J38" s="402"/>
      <c r="K38" s="402"/>
      <c r="L38" s="402"/>
      <c r="M38" s="402">
        <f t="shared" ref="M38:V38" si="25">MIN(M27:M32)</f>
        <v>439.91</v>
      </c>
      <c r="N38" s="438">
        <f t="shared" si="25"/>
        <v>1.0954752596060464</v>
      </c>
      <c r="O38" s="438">
        <f t="shared" si="25"/>
        <v>1.1954076086956522</v>
      </c>
      <c r="P38" s="438">
        <f t="shared" si="25"/>
        <v>1.1485900783289817</v>
      </c>
      <c r="Q38" s="438">
        <f t="shared" si="25"/>
        <v>3.4394693602847228</v>
      </c>
      <c r="R38" s="438">
        <f t="shared" si="25"/>
        <v>4.6798936170212766</v>
      </c>
      <c r="S38" s="438">
        <f t="shared" si="25"/>
        <v>4.3555445544554461</v>
      </c>
      <c r="T38" s="438">
        <f t="shared" si="25"/>
        <v>5.2851547199373288</v>
      </c>
      <c r="U38" s="438">
        <f t="shared" si="25"/>
        <v>6.1322905857988168</v>
      </c>
      <c r="V38" s="439">
        <f t="shared" si="25"/>
        <v>5.7257298839779009</v>
      </c>
      <c r="W38" s="21"/>
      <c r="X38" s="21"/>
      <c r="Y38" s="21"/>
      <c r="Z38" s="21"/>
      <c r="AA38" s="21"/>
      <c r="AE38" s="175"/>
    </row>
    <row r="39" spans="2:31" ht="16"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E39" s="175"/>
    </row>
    <row r="40" spans="2:31" ht="16">
      <c r="B40" s="440" t="str">
        <f>INDEX(Pub_Comps_Range,MATCH(B$23,Pub_Comps_Params,0),MATCH($C40,Pub_Comps_Tickers,0))</f>
        <v>Butterfly Network, inc.</v>
      </c>
      <c r="C40" s="407" t="str">
        <f>Ticker</f>
        <v>BFLY</v>
      </c>
      <c r="D40" s="441"/>
      <c r="E40" s="441"/>
      <c r="F40" s="410">
        <f>INDEX(Pub_Comps_Range,MATCH(F$23,Pub_Comps_Params,0),MATCH($C40,Pub_Comps_Tickers,0))</f>
        <v>697.61267999999995</v>
      </c>
      <c r="G40" s="410"/>
      <c r="H40" s="410"/>
      <c r="I40" s="410"/>
      <c r="J40" s="410"/>
      <c r="K40" s="410"/>
      <c r="L40" s="410"/>
      <c r="M40" s="410">
        <f t="shared" ref="M40:V40" si="26">INDEX(Pub_Comps_Range,MATCH(M$23,Pub_Comps_Params,0),MATCH($C40,Pub_Comps_Tickers,0))</f>
        <v>608.83767999999998</v>
      </c>
      <c r="N40" s="442">
        <f t="shared" si="26"/>
        <v>2.9859621383030897</v>
      </c>
      <c r="O40" s="442">
        <f t="shared" si="26"/>
        <v>9.5966092397900482</v>
      </c>
      <c r="P40" s="442">
        <f t="shared" si="26"/>
        <v>10.690740649692712</v>
      </c>
      <c r="Q40" s="442">
        <f t="shared" si="26"/>
        <v>2.3516325994592506</v>
      </c>
      <c r="R40" s="442" t="str">
        <f t="shared" si="26"/>
        <v>NM</v>
      </c>
      <c r="S40" s="442" t="str">
        <f t="shared" si="26"/>
        <v>NM</v>
      </c>
      <c r="T40" s="442" t="str">
        <f t="shared" si="26"/>
        <v>NM</v>
      </c>
      <c r="U40" s="442" t="str">
        <f t="shared" si="26"/>
        <v>NM</v>
      </c>
      <c r="V40" s="443" t="str">
        <f t="shared" si="26"/>
        <v>NM</v>
      </c>
      <c r="W40" s="21"/>
      <c r="X40" s="21"/>
      <c r="Y40" s="21"/>
      <c r="Z40" s="21"/>
      <c r="AA40" s="2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1272E-20E5-4D72-9D41-9ED0913FF64B}">
  <dimension ref="B3:AS104"/>
  <sheetViews>
    <sheetView showGridLines="0" workbookViewId="0">
      <pane xSplit="4" ySplit="6" topLeftCell="S9" activePane="bottomRight" state="frozen"/>
      <selection pane="topRight" activeCell="E1" sqref="E1"/>
      <selection pane="bottomLeft" activeCell="A7" sqref="A7"/>
      <selection pane="bottomRight" activeCell="W9" sqref="W9"/>
    </sheetView>
  </sheetViews>
  <sheetFormatPr defaultRowHeight="14.5"/>
  <cols>
    <col min="3" max="3" width="24.81640625" customWidth="1"/>
    <col min="5" max="7" width="11.453125" bestFit="1" customWidth="1"/>
    <col min="8" max="8" width="12.7265625" bestFit="1" customWidth="1"/>
    <col min="9" max="11" width="13.7265625" bestFit="1" customWidth="1"/>
    <col min="12" max="12" width="11.453125" bestFit="1" customWidth="1"/>
    <col min="13" max="13" width="14.1796875" bestFit="1" customWidth="1"/>
    <col min="14" max="14" width="13.7265625" bestFit="1" customWidth="1"/>
    <col min="15" max="16" width="11.453125" bestFit="1" customWidth="1"/>
    <col min="17" max="17" width="13.453125" bestFit="1" customWidth="1"/>
    <col min="18" max="18" width="14.26953125" bestFit="1" customWidth="1"/>
    <col min="19" max="19" width="13.7265625" bestFit="1" customWidth="1"/>
    <col min="20" max="22" width="11.453125" bestFit="1" customWidth="1"/>
    <col min="23" max="23" width="18.453125" bestFit="1" customWidth="1"/>
    <col min="24" max="24" width="13.7265625" bestFit="1" customWidth="1"/>
    <col min="25" max="28" width="11.453125" bestFit="1" customWidth="1"/>
    <col min="30" max="33" width="11.453125" bestFit="1" customWidth="1"/>
    <col min="34" max="34" width="10.453125" bestFit="1" customWidth="1"/>
    <col min="35" max="35" width="12.6328125" customWidth="1"/>
    <col min="36" max="37" width="11" bestFit="1" customWidth="1"/>
    <col min="38" max="38" width="11.81640625" bestFit="1" customWidth="1"/>
    <col min="39" max="42" width="10.453125" customWidth="1"/>
  </cols>
  <sheetData>
    <row r="3" spans="2:45" ht="16">
      <c r="B3" s="169"/>
      <c r="C3" s="170" t="s">
        <v>76</v>
      </c>
      <c r="D3" s="171"/>
      <c r="E3" s="172"/>
      <c r="F3" s="172"/>
      <c r="G3" s="173"/>
      <c r="H3" s="174" t="str">
        <f>Ticker</f>
        <v>BFLY</v>
      </c>
      <c r="I3" s="175"/>
      <c r="J3" s="172"/>
      <c r="K3" s="172"/>
      <c r="L3" s="173"/>
      <c r="M3" s="174" t="s">
        <v>279</v>
      </c>
      <c r="N3" s="175"/>
      <c r="O3" s="172"/>
      <c r="P3" s="172"/>
      <c r="Q3" s="173"/>
      <c r="R3" s="174" t="s">
        <v>281</v>
      </c>
      <c r="S3" s="175"/>
      <c r="T3" s="172"/>
      <c r="U3" s="172"/>
      <c r="V3" s="173"/>
      <c r="W3" s="174" t="s">
        <v>283</v>
      </c>
      <c r="X3" s="175"/>
      <c r="Y3" s="172"/>
      <c r="Z3" s="172"/>
      <c r="AA3" s="173"/>
      <c r="AB3" s="174" t="s">
        <v>309</v>
      </c>
      <c r="AC3" s="175"/>
      <c r="AD3" s="172"/>
      <c r="AE3" s="172"/>
      <c r="AF3" s="173"/>
      <c r="AG3" s="174" t="s">
        <v>311</v>
      </c>
      <c r="AH3" s="176"/>
      <c r="AI3" s="172"/>
      <c r="AJ3" s="172"/>
      <c r="AK3" s="173"/>
      <c r="AL3" s="174" t="s">
        <v>313</v>
      </c>
      <c r="AM3" s="176"/>
      <c r="AN3" s="176"/>
      <c r="AO3" s="176"/>
      <c r="AP3" s="176"/>
      <c r="AQ3" s="176"/>
      <c r="AR3" s="176"/>
      <c r="AS3" s="176"/>
    </row>
    <row r="4" spans="2:45" ht="16">
      <c r="B4" s="169"/>
      <c r="C4" s="170" t="s">
        <v>73</v>
      </c>
      <c r="D4" s="171"/>
      <c r="E4" s="172"/>
      <c r="F4" s="172"/>
      <c r="G4" s="173"/>
      <c r="H4" s="177" t="str">
        <f>Company_Name</f>
        <v>Butterfly Network, inc.</v>
      </c>
      <c r="I4" s="175"/>
      <c r="J4" s="172"/>
      <c r="K4" s="172"/>
      <c r="L4" s="173"/>
      <c r="M4" s="177" t="s">
        <v>280</v>
      </c>
      <c r="N4" s="175"/>
      <c r="O4" s="172"/>
      <c r="P4" s="172"/>
      <c r="Q4" s="173"/>
      <c r="R4" s="177" t="s">
        <v>282</v>
      </c>
      <c r="S4" s="175"/>
      <c r="T4" s="172"/>
      <c r="U4" s="172"/>
      <c r="V4" s="173"/>
      <c r="W4" s="177" t="s">
        <v>284</v>
      </c>
      <c r="X4" s="175"/>
      <c r="Y4" s="172"/>
      <c r="Z4" s="172"/>
      <c r="AA4" s="173"/>
      <c r="AB4" s="177" t="s">
        <v>310</v>
      </c>
      <c r="AC4" s="175"/>
      <c r="AD4" s="172"/>
      <c r="AE4" s="172"/>
      <c r="AF4" s="173"/>
      <c r="AG4" s="177" t="s">
        <v>312</v>
      </c>
      <c r="AH4" s="178"/>
      <c r="AI4" s="172"/>
      <c r="AJ4" s="172"/>
      <c r="AK4" s="173"/>
      <c r="AL4" s="177" t="s">
        <v>314</v>
      </c>
      <c r="AM4" s="178"/>
      <c r="AN4" s="425"/>
      <c r="AO4" s="178"/>
      <c r="AP4" s="178"/>
    </row>
    <row r="5" spans="2:45" ht="16">
      <c r="B5" s="169"/>
      <c r="C5" s="171"/>
      <c r="D5" s="171"/>
      <c r="E5" s="179" t="s">
        <v>197</v>
      </c>
      <c r="F5" s="180"/>
      <c r="G5" s="180"/>
      <c r="H5" s="180"/>
      <c r="I5" s="175"/>
      <c r="J5" s="179" t="s">
        <v>197</v>
      </c>
      <c r="K5" s="180"/>
      <c r="L5" s="180"/>
      <c r="M5" s="180"/>
      <c r="N5" s="175"/>
      <c r="O5" s="179" t="s">
        <v>197</v>
      </c>
      <c r="P5" s="180"/>
      <c r="Q5" s="180"/>
      <c r="R5" s="180"/>
      <c r="S5" s="175"/>
      <c r="T5" s="179" t="s">
        <v>197</v>
      </c>
      <c r="U5" s="180"/>
      <c r="V5" s="180"/>
      <c r="W5" s="180"/>
      <c r="X5" s="175"/>
      <c r="Y5" s="179" t="s">
        <v>197</v>
      </c>
      <c r="Z5" s="180"/>
      <c r="AA5" s="180"/>
      <c r="AB5" s="180"/>
      <c r="AC5" s="175"/>
      <c r="AD5" s="635" t="s">
        <v>197</v>
      </c>
      <c r="AE5" s="636"/>
      <c r="AF5" s="636"/>
      <c r="AG5" s="636"/>
      <c r="AH5" s="181"/>
      <c r="AI5" s="635" t="s">
        <v>197</v>
      </c>
      <c r="AJ5" s="636"/>
      <c r="AK5" s="636"/>
      <c r="AL5" s="636"/>
      <c r="AM5" s="181"/>
      <c r="AN5" s="450"/>
      <c r="AO5" s="181"/>
      <c r="AP5" s="181"/>
    </row>
    <row r="6" spans="2:45" ht="16">
      <c r="B6" s="169"/>
      <c r="C6" s="171"/>
      <c r="D6" s="171"/>
      <c r="E6" s="182" t="s">
        <v>198</v>
      </c>
      <c r="F6" s="182" t="s">
        <v>198</v>
      </c>
      <c r="G6" s="182">
        <f>Hist_Year</f>
        <v>45657</v>
      </c>
      <c r="H6" s="182">
        <f>Hist_Year</f>
        <v>45657</v>
      </c>
      <c r="I6" s="175"/>
      <c r="J6" s="182">
        <v>45565</v>
      </c>
      <c r="K6" s="182">
        <v>45930</v>
      </c>
      <c r="L6" s="182">
        <v>45657</v>
      </c>
      <c r="M6" s="182">
        <v>45930</v>
      </c>
      <c r="N6" s="175"/>
      <c r="O6" s="182">
        <v>45472</v>
      </c>
      <c r="P6" s="182">
        <v>45836</v>
      </c>
      <c r="Q6" s="182">
        <v>45654</v>
      </c>
      <c r="R6" s="182">
        <v>45836</v>
      </c>
      <c r="S6" s="175"/>
      <c r="T6" s="182">
        <v>45473</v>
      </c>
      <c r="U6" s="182">
        <v>45838</v>
      </c>
      <c r="V6" s="182">
        <v>45657</v>
      </c>
      <c r="W6" s="182">
        <v>45838</v>
      </c>
      <c r="X6" s="175"/>
      <c r="Y6" s="182">
        <v>45565</v>
      </c>
      <c r="Z6" s="182">
        <v>45930</v>
      </c>
      <c r="AA6" s="182">
        <v>45657</v>
      </c>
      <c r="AB6" s="182">
        <v>45930</v>
      </c>
      <c r="AC6" s="175"/>
      <c r="AD6" s="182">
        <v>45565</v>
      </c>
      <c r="AE6" s="182">
        <v>45930</v>
      </c>
      <c r="AF6" s="182">
        <v>45657</v>
      </c>
      <c r="AG6" s="182">
        <v>45930</v>
      </c>
      <c r="AH6" s="183"/>
      <c r="AI6" s="182">
        <v>45473</v>
      </c>
      <c r="AJ6" s="182">
        <v>45838</v>
      </c>
      <c r="AK6" s="182">
        <v>45657</v>
      </c>
      <c r="AL6" s="182">
        <v>45838</v>
      </c>
      <c r="AM6" s="183"/>
      <c r="AN6" s="445"/>
      <c r="AO6" s="183"/>
      <c r="AP6" s="183"/>
    </row>
    <row r="7" spans="2:45" ht="16">
      <c r="B7" s="169"/>
      <c r="C7" s="171"/>
      <c r="D7" s="171"/>
      <c r="E7" s="184" t="s">
        <v>199</v>
      </c>
      <c r="F7" s="184" t="s">
        <v>200</v>
      </c>
      <c r="G7" s="184" t="s">
        <v>201</v>
      </c>
      <c r="H7" s="184" t="s">
        <v>202</v>
      </c>
      <c r="I7" s="175"/>
      <c r="J7" s="185" t="s">
        <v>199</v>
      </c>
      <c r="K7" s="185" t="s">
        <v>200</v>
      </c>
      <c r="L7" s="185" t="s">
        <v>201</v>
      </c>
      <c r="M7" s="185" t="s">
        <v>202</v>
      </c>
      <c r="N7" s="175"/>
      <c r="O7" s="185" t="s">
        <v>199</v>
      </c>
      <c r="P7" s="185" t="s">
        <v>200</v>
      </c>
      <c r="Q7" s="185" t="s">
        <v>201</v>
      </c>
      <c r="R7" s="185" t="s">
        <v>202</v>
      </c>
      <c r="S7" s="175"/>
      <c r="T7" s="185" t="s">
        <v>199</v>
      </c>
      <c r="U7" s="185" t="s">
        <v>200</v>
      </c>
      <c r="V7" s="185" t="s">
        <v>201</v>
      </c>
      <c r="W7" s="185" t="s">
        <v>202</v>
      </c>
      <c r="X7" s="175"/>
      <c r="Y7" s="185" t="s">
        <v>199</v>
      </c>
      <c r="Z7" s="185" t="s">
        <v>200</v>
      </c>
      <c r="AA7" s="185" t="s">
        <v>201</v>
      </c>
      <c r="AB7" s="185" t="s">
        <v>202</v>
      </c>
      <c r="AC7" s="175"/>
      <c r="AD7" s="185" t="s">
        <v>199</v>
      </c>
      <c r="AE7" s="185" t="s">
        <v>200</v>
      </c>
      <c r="AF7" s="185" t="s">
        <v>201</v>
      </c>
      <c r="AG7" s="185" t="s">
        <v>202</v>
      </c>
      <c r="AH7" s="185"/>
      <c r="AI7" s="185" t="s">
        <v>199</v>
      </c>
      <c r="AJ7" s="185" t="s">
        <v>200</v>
      </c>
      <c r="AK7" s="185" t="s">
        <v>201</v>
      </c>
      <c r="AL7" s="185" t="s">
        <v>202</v>
      </c>
      <c r="AM7" s="185"/>
      <c r="AN7" s="446"/>
      <c r="AO7" s="185"/>
      <c r="AP7" s="185"/>
    </row>
    <row r="8" spans="2:45" ht="16">
      <c r="B8" s="169"/>
      <c r="C8" s="170" t="s">
        <v>203</v>
      </c>
      <c r="D8" s="171"/>
      <c r="E8" s="186"/>
      <c r="F8" s="186"/>
      <c r="G8" s="187">
        <v>203.9</v>
      </c>
      <c r="H8" s="189">
        <f>G8+F8-E8</f>
        <v>203.9</v>
      </c>
      <c r="I8" s="175"/>
      <c r="J8" s="186">
        <v>14353</v>
      </c>
      <c r="K8" s="186">
        <v>14927</v>
      </c>
      <c r="L8" s="186">
        <v>19672</v>
      </c>
      <c r="M8" s="189">
        <f>L8+K8-J8</f>
        <v>20246</v>
      </c>
      <c r="N8" s="175"/>
      <c r="O8" s="186">
        <v>683.5</v>
      </c>
      <c r="P8" s="186">
        <v>742.9</v>
      </c>
      <c r="Q8" s="186">
        <v>2094.4</v>
      </c>
      <c r="R8" s="189">
        <f t="shared" ref="R8:R13" si="0">+Q8+P8-O8</f>
        <v>2153.8000000000002</v>
      </c>
      <c r="S8" s="175"/>
      <c r="T8" s="186">
        <v>166.73</v>
      </c>
      <c r="U8" s="186">
        <v>173.48</v>
      </c>
      <c r="V8" s="186">
        <v>394.82</v>
      </c>
      <c r="W8" s="189">
        <f t="shared" ref="W8:W13" si="1">+V8+U8-T8</f>
        <v>401.56999999999994</v>
      </c>
      <c r="X8" s="175"/>
      <c r="Y8" s="186">
        <v>1167.8800000000001</v>
      </c>
      <c r="Z8" s="186">
        <v>1200.32</v>
      </c>
      <c r="AA8" s="186">
        <v>1610.53</v>
      </c>
      <c r="AB8" s="189">
        <f t="shared" ref="AB8" si="2">+AA8+Z8-Y8</f>
        <v>1642.9699999999998</v>
      </c>
      <c r="AC8" s="175"/>
      <c r="AD8" s="186">
        <v>-55.6</v>
      </c>
      <c r="AE8" s="186">
        <v>-0.95</v>
      </c>
      <c r="AF8" s="186">
        <v>429.55</v>
      </c>
      <c r="AG8" s="189">
        <f t="shared" ref="AG8:AG13" si="3">+AF8+AE8-AD8</f>
        <v>484.20000000000005</v>
      </c>
      <c r="AH8" s="189"/>
      <c r="AI8" s="186">
        <v>164.32</v>
      </c>
      <c r="AJ8" s="186">
        <v>171.36</v>
      </c>
      <c r="AK8" s="186">
        <v>333.79</v>
      </c>
      <c r="AL8" s="189">
        <f t="shared" ref="AL8:AL13" si="4">+AK8+AJ8-AI8</f>
        <v>340.83000000000004</v>
      </c>
      <c r="AM8" s="189"/>
      <c r="AN8" s="451"/>
      <c r="AO8" s="189"/>
      <c r="AP8" s="189"/>
    </row>
    <row r="9" spans="2:45" ht="16">
      <c r="B9" s="169"/>
      <c r="C9" s="190" t="s">
        <v>204</v>
      </c>
      <c r="D9" s="191"/>
      <c r="E9" s="186"/>
      <c r="F9" s="186"/>
      <c r="G9" s="187">
        <v>-65.400000000000006</v>
      </c>
      <c r="H9" s="192">
        <f>G9+F9-E9</f>
        <v>-65.400000000000006</v>
      </c>
      <c r="I9" s="175"/>
      <c r="J9" s="186">
        <v>1312</v>
      </c>
      <c r="K9" s="186">
        <v>1552</v>
      </c>
      <c r="L9" s="186">
        <v>2050</v>
      </c>
      <c r="M9" s="192">
        <f>L9+K9-J9</f>
        <v>2290</v>
      </c>
      <c r="N9" s="175"/>
      <c r="O9" s="186">
        <v>34.9</v>
      </c>
      <c r="P9" s="186">
        <v>-119.4</v>
      </c>
      <c r="Q9" s="186">
        <v>-304.89999999999998</v>
      </c>
      <c r="R9" s="192">
        <f>+Q9+P9-O9</f>
        <v>-459.19999999999993</v>
      </c>
      <c r="S9" s="175"/>
      <c r="T9" s="186">
        <v>47.51</v>
      </c>
      <c r="U9" s="186">
        <v>44.94</v>
      </c>
      <c r="V9" s="186">
        <v>181.28</v>
      </c>
      <c r="W9" s="192">
        <f>+V9+U9-T9</f>
        <v>178.71</v>
      </c>
      <c r="X9" s="175"/>
      <c r="Y9" s="186">
        <v>-26.38</v>
      </c>
      <c r="Z9" s="186">
        <v>-514.77</v>
      </c>
      <c r="AA9" s="186">
        <v>-6.94</v>
      </c>
      <c r="AB9" s="192">
        <f>+AA9+Z9-Y9</f>
        <v>-495.33000000000004</v>
      </c>
      <c r="AC9" s="175"/>
      <c r="AD9" s="186">
        <v>-143.1</v>
      </c>
      <c r="AE9" s="186">
        <v>-111.64</v>
      </c>
      <c r="AF9" s="186">
        <v>162.19</v>
      </c>
      <c r="AG9" s="192">
        <f t="shared" si="3"/>
        <v>193.64999999999998</v>
      </c>
      <c r="AH9" s="192"/>
      <c r="AI9" s="186">
        <v>-24.51</v>
      </c>
      <c r="AJ9" s="186">
        <v>-18.920000000000002</v>
      </c>
      <c r="AK9" s="186">
        <v>52.55</v>
      </c>
      <c r="AL9" s="192">
        <f t="shared" si="4"/>
        <v>58.14</v>
      </c>
      <c r="AM9" s="192"/>
      <c r="AN9" s="452"/>
      <c r="AO9" s="192"/>
      <c r="AP9" s="192"/>
    </row>
    <row r="10" spans="2:45" ht="16">
      <c r="B10" s="169"/>
      <c r="C10" s="171"/>
      <c r="D10" s="171"/>
      <c r="E10" s="193"/>
      <c r="F10" s="193"/>
      <c r="G10" s="194"/>
      <c r="H10" s="195"/>
      <c r="I10" s="175"/>
      <c r="J10" s="195"/>
      <c r="K10" s="195"/>
      <c r="L10" s="195"/>
      <c r="M10" s="195"/>
      <c r="N10" s="175"/>
      <c r="O10" s="195"/>
      <c r="P10" s="195"/>
      <c r="Q10" s="195"/>
      <c r="R10" s="195"/>
      <c r="S10" s="175"/>
      <c r="T10" s="195"/>
      <c r="U10" s="195"/>
      <c r="V10" s="195"/>
      <c r="W10" s="195"/>
      <c r="X10" s="175"/>
      <c r="Y10" s="195"/>
      <c r="Z10" s="195"/>
      <c r="AA10" s="195"/>
      <c r="AB10" s="195"/>
      <c r="AC10" s="175"/>
      <c r="AD10" s="195"/>
      <c r="AE10" s="195"/>
      <c r="AF10" s="186"/>
      <c r="AG10" s="195"/>
      <c r="AH10" s="195"/>
      <c r="AI10" s="195"/>
      <c r="AJ10" s="195"/>
      <c r="AK10" s="186"/>
      <c r="AL10" s="195"/>
      <c r="AM10" s="195"/>
      <c r="AN10" s="195"/>
      <c r="AO10" s="195"/>
      <c r="AP10" s="195"/>
    </row>
    <row r="11" spans="2:45" ht="16">
      <c r="B11" s="169"/>
      <c r="C11" s="170" t="s">
        <v>205</v>
      </c>
      <c r="D11" s="171"/>
      <c r="E11" s="186"/>
      <c r="F11" s="186"/>
      <c r="G11" s="187">
        <v>-162.30000000000001</v>
      </c>
      <c r="H11" s="192">
        <f t="shared" ref="H11:H13" si="5">G11+F11-E11</f>
        <v>-162.30000000000001</v>
      </c>
      <c r="I11" s="175"/>
      <c r="J11" s="186">
        <v>2140</v>
      </c>
      <c r="K11" s="186">
        <v>2168</v>
      </c>
      <c r="L11" s="186">
        <v>3026</v>
      </c>
      <c r="M11" s="192">
        <f>L11+K11-J11</f>
        <v>3054</v>
      </c>
      <c r="N11" s="175"/>
      <c r="O11" s="186">
        <v>95.1</v>
      </c>
      <c r="P11" s="186">
        <v>145.19999999999999</v>
      </c>
      <c r="Q11" s="186">
        <v>27.8</v>
      </c>
      <c r="R11" s="192">
        <f t="shared" si="0"/>
        <v>77.900000000000006</v>
      </c>
      <c r="S11" s="175"/>
      <c r="T11" s="186">
        <v>36.409999999999997</v>
      </c>
      <c r="U11" s="186">
        <v>38.5</v>
      </c>
      <c r="V11" s="186">
        <v>112.53</v>
      </c>
      <c r="W11" s="192">
        <f t="shared" si="1"/>
        <v>114.62</v>
      </c>
      <c r="X11" s="175"/>
      <c r="Y11" s="186">
        <v>113.06</v>
      </c>
      <c r="Z11" s="186">
        <v>84.5</v>
      </c>
      <c r="AA11" s="186">
        <v>181.98</v>
      </c>
      <c r="AB11" s="192">
        <f t="shared" ref="AB11:AB13" si="6">+AA11+Z11-Y11</f>
        <v>153.42000000000002</v>
      </c>
      <c r="AC11" s="175"/>
      <c r="AD11" s="186">
        <v>-143.69</v>
      </c>
      <c r="AE11" s="186">
        <v>-116.57</v>
      </c>
      <c r="AF11" s="186">
        <v>209.78</v>
      </c>
      <c r="AG11" s="192">
        <f t="shared" si="3"/>
        <v>236.9</v>
      </c>
      <c r="AH11" s="192"/>
      <c r="AI11" s="186">
        <v>-29.89</v>
      </c>
      <c r="AJ11" s="186">
        <v>-18.79</v>
      </c>
      <c r="AK11" s="186">
        <v>-53.75</v>
      </c>
      <c r="AL11" s="192">
        <f t="shared" si="4"/>
        <v>-42.649999999999991</v>
      </c>
      <c r="AM11" s="192"/>
      <c r="AN11" s="192"/>
      <c r="AO11" s="192"/>
      <c r="AP11" s="192"/>
    </row>
    <row r="12" spans="2:45" ht="16">
      <c r="B12" s="169"/>
      <c r="C12" s="196" t="s">
        <v>206</v>
      </c>
      <c r="D12" s="191"/>
      <c r="E12" s="186"/>
      <c r="F12" s="186"/>
      <c r="G12" s="187">
        <v>61.5</v>
      </c>
      <c r="H12" s="192">
        <f t="shared" si="5"/>
        <v>61.5</v>
      </c>
      <c r="I12" s="175"/>
      <c r="J12" s="186">
        <v>0</v>
      </c>
      <c r="K12" s="186">
        <v>0</v>
      </c>
      <c r="L12" s="186">
        <v>97</v>
      </c>
      <c r="M12" s="192">
        <f>L12+K12-J12</f>
        <v>97</v>
      </c>
      <c r="N12" s="175"/>
      <c r="O12" s="186"/>
      <c r="P12" s="186"/>
      <c r="Q12" s="186">
        <v>-294</v>
      </c>
      <c r="R12" s="192">
        <f t="shared" si="0"/>
        <v>-294</v>
      </c>
      <c r="S12" s="175"/>
      <c r="T12" s="186"/>
      <c r="U12" s="186"/>
      <c r="V12" s="186">
        <v>0</v>
      </c>
      <c r="W12" s="192">
        <f t="shared" si="1"/>
        <v>0</v>
      </c>
      <c r="X12" s="175"/>
      <c r="Y12" s="186"/>
      <c r="Z12" s="186">
        <v>-511.37</v>
      </c>
      <c r="AA12" s="186">
        <v>0</v>
      </c>
      <c r="AB12" s="192">
        <f t="shared" si="6"/>
        <v>-511.37</v>
      </c>
      <c r="AC12" s="175"/>
      <c r="AD12" s="186"/>
      <c r="AE12" s="186"/>
      <c r="AF12" s="186">
        <v>-32.1</v>
      </c>
      <c r="AG12" s="192">
        <f t="shared" si="3"/>
        <v>-32.1</v>
      </c>
      <c r="AH12" s="192"/>
      <c r="AI12" s="186"/>
      <c r="AJ12" s="186"/>
      <c r="AK12" s="186">
        <v>-4.5</v>
      </c>
      <c r="AL12" s="192">
        <f t="shared" si="4"/>
        <v>-4.5</v>
      </c>
      <c r="AM12" s="192"/>
      <c r="AN12" s="192"/>
      <c r="AO12" s="192"/>
      <c r="AP12" s="192"/>
    </row>
    <row r="13" spans="2:45" ht="16">
      <c r="B13" s="169"/>
      <c r="C13" s="196" t="s">
        <v>207</v>
      </c>
      <c r="D13" s="191"/>
      <c r="E13" s="186"/>
      <c r="F13" s="186"/>
      <c r="G13" s="187">
        <v>359.7</v>
      </c>
      <c r="H13" s="197">
        <f t="shared" si="5"/>
        <v>359.7</v>
      </c>
      <c r="I13" s="50"/>
      <c r="J13" s="186">
        <v>203</v>
      </c>
      <c r="K13" s="186">
        <v>213</v>
      </c>
      <c r="L13" s="186">
        <v>268</v>
      </c>
      <c r="M13" s="197">
        <f>L13+K13-J13</f>
        <v>278</v>
      </c>
      <c r="N13" s="175"/>
      <c r="O13" s="186">
        <v>15.3</v>
      </c>
      <c r="P13" s="186">
        <v>12.9</v>
      </c>
      <c r="Q13" s="186">
        <v>41.3</v>
      </c>
      <c r="R13" s="197">
        <f t="shared" si="0"/>
        <v>38.899999999999991</v>
      </c>
      <c r="S13" s="175"/>
      <c r="T13" s="186">
        <v>0.34</v>
      </c>
      <c r="U13" s="186">
        <v>0.37</v>
      </c>
      <c r="V13" s="186">
        <v>0.73</v>
      </c>
      <c r="W13" s="197">
        <f t="shared" si="1"/>
        <v>0.76</v>
      </c>
      <c r="X13" s="175"/>
      <c r="Y13" s="186">
        <v>24.6</v>
      </c>
      <c r="Z13" s="186">
        <v>33.299999999999997</v>
      </c>
      <c r="AA13" s="186">
        <v>35.69</v>
      </c>
      <c r="AB13" s="197">
        <f t="shared" si="6"/>
        <v>44.389999999999993</v>
      </c>
      <c r="AC13" s="175"/>
      <c r="AD13" s="186">
        <v>9.99</v>
      </c>
      <c r="AE13" s="186">
        <v>8.99</v>
      </c>
      <c r="AF13" s="186">
        <v>15.36</v>
      </c>
      <c r="AG13" s="197">
        <f t="shared" si="3"/>
        <v>14.360000000000001</v>
      </c>
      <c r="AH13" s="192"/>
      <c r="AI13" s="186">
        <v>0</v>
      </c>
      <c r="AJ13" s="186">
        <v>-5.71</v>
      </c>
      <c r="AK13" s="186">
        <v>96.36</v>
      </c>
      <c r="AL13" s="197">
        <f t="shared" si="4"/>
        <v>90.65</v>
      </c>
      <c r="AM13" s="192"/>
      <c r="AN13" s="192"/>
      <c r="AO13" s="192"/>
      <c r="AP13" s="192"/>
    </row>
    <row r="14" spans="2:45" ht="16">
      <c r="B14" s="169"/>
      <c r="C14" s="198" t="s">
        <v>208</v>
      </c>
      <c r="D14" s="199"/>
      <c r="E14" s="200"/>
      <c r="F14" s="200"/>
      <c r="G14" s="200"/>
      <c r="H14" s="201">
        <f>SUM(H11:H13)</f>
        <v>258.89999999999998</v>
      </c>
      <c r="I14" s="50"/>
      <c r="J14" s="200"/>
      <c r="K14" s="200"/>
      <c r="L14" s="200"/>
      <c r="M14" s="201">
        <f>SUM(M11:M13)</f>
        <v>3429</v>
      </c>
      <c r="N14" s="175"/>
      <c r="O14" s="200"/>
      <c r="P14" s="200"/>
      <c r="Q14" s="200"/>
      <c r="R14" s="201">
        <f>SUM(R11:R13)</f>
        <v>-177.2</v>
      </c>
      <c r="S14" s="175"/>
      <c r="T14" s="200"/>
      <c r="U14" s="200"/>
      <c r="V14" s="200"/>
      <c r="W14" s="201">
        <f>SUM(W11:W13)</f>
        <v>115.38000000000001</v>
      </c>
      <c r="X14" s="175"/>
      <c r="Y14" s="200"/>
      <c r="Z14" s="200"/>
      <c r="AA14" s="200"/>
      <c r="AB14" s="201">
        <f>SUM(AB11:AB13)</f>
        <v>-313.56</v>
      </c>
      <c r="AC14" s="175"/>
      <c r="AD14" s="200"/>
      <c r="AE14" s="200"/>
      <c r="AF14" s="200"/>
      <c r="AG14" s="201">
        <f>SUM(AG11:AG13)</f>
        <v>219.16000000000003</v>
      </c>
      <c r="AH14" s="201"/>
      <c r="AI14" s="200"/>
      <c r="AJ14" s="200"/>
      <c r="AK14" s="200"/>
      <c r="AL14" s="201">
        <f>SUM(AL11:AL13)</f>
        <v>43.500000000000014</v>
      </c>
      <c r="AM14" s="201"/>
      <c r="AN14" s="201"/>
      <c r="AO14" s="201"/>
      <c r="AP14" s="201"/>
    </row>
    <row r="15" spans="2:45" ht="16">
      <c r="B15" s="169"/>
      <c r="C15" s="202"/>
      <c r="D15" s="191"/>
      <c r="E15" s="203"/>
      <c r="F15" s="203"/>
      <c r="G15" s="203"/>
      <c r="H15" s="203"/>
      <c r="I15" s="175"/>
      <c r="J15" s="203"/>
      <c r="K15" s="203"/>
      <c r="L15" s="203"/>
      <c r="M15" s="203"/>
      <c r="N15" s="175"/>
      <c r="O15" s="203"/>
      <c r="P15" s="203"/>
      <c r="Q15" s="203"/>
      <c r="R15" s="203"/>
      <c r="S15" s="175"/>
      <c r="T15" s="203"/>
      <c r="U15" s="203"/>
      <c r="V15" s="203"/>
      <c r="W15" s="203"/>
      <c r="X15" s="175"/>
      <c r="Y15" s="203"/>
      <c r="Z15" s="203"/>
      <c r="AA15" s="203"/>
      <c r="AB15" s="203"/>
      <c r="AC15" s="175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</row>
    <row r="16" spans="2:45" ht="16">
      <c r="B16" s="169"/>
      <c r="C16" s="170" t="s">
        <v>84</v>
      </c>
      <c r="D16" s="171"/>
      <c r="E16" s="204"/>
      <c r="F16" s="204"/>
      <c r="G16" s="204"/>
      <c r="H16" s="205">
        <f>Tax_Rate</f>
        <v>0.12</v>
      </c>
      <c r="I16" s="175"/>
      <c r="J16" s="204"/>
      <c r="K16" s="204"/>
      <c r="L16" s="204"/>
      <c r="M16" s="205">
        <v>0.17699999999999999</v>
      </c>
      <c r="N16" s="206"/>
      <c r="O16" s="204"/>
      <c r="P16" s="204"/>
      <c r="Q16" s="204"/>
      <c r="R16" s="205">
        <v>0.2</v>
      </c>
      <c r="S16" s="175"/>
      <c r="T16" s="204"/>
      <c r="U16" s="204"/>
      <c r="V16" s="204"/>
      <c r="W16" s="205">
        <v>0.2</v>
      </c>
      <c r="X16" s="175"/>
      <c r="Y16" s="204"/>
      <c r="Z16" s="204"/>
      <c r="AA16" s="204"/>
      <c r="AB16" s="205">
        <v>0.2</v>
      </c>
      <c r="AC16" s="175"/>
      <c r="AD16" s="204"/>
      <c r="AE16" s="204"/>
      <c r="AF16" s="204"/>
      <c r="AG16" s="205">
        <v>0.121</v>
      </c>
      <c r="AH16" s="205"/>
      <c r="AI16" s="204"/>
      <c r="AJ16" s="204"/>
      <c r="AK16" s="204"/>
      <c r="AL16" s="205">
        <v>5.0000000000000001E-3</v>
      </c>
      <c r="AM16" s="205"/>
      <c r="AN16" s="205"/>
      <c r="AO16" s="205"/>
      <c r="AP16" s="205"/>
    </row>
    <row r="17" spans="2:42" ht="16">
      <c r="B17" s="169"/>
      <c r="C17" s="171"/>
      <c r="D17" s="171"/>
      <c r="E17" s="171"/>
      <c r="F17" s="171"/>
      <c r="G17" s="207"/>
      <c r="H17" s="204"/>
      <c r="I17" s="175"/>
      <c r="J17" s="171"/>
      <c r="K17" s="171"/>
      <c r="L17" s="207"/>
      <c r="M17" s="204"/>
      <c r="N17" s="175"/>
      <c r="O17" s="171"/>
      <c r="P17" s="171"/>
      <c r="Q17" s="207"/>
      <c r="R17" s="204"/>
      <c r="S17" s="175"/>
      <c r="T17" s="171"/>
      <c r="U17" s="171"/>
      <c r="V17" s="207"/>
      <c r="W17" s="204"/>
      <c r="X17" s="175"/>
      <c r="Y17" s="171"/>
      <c r="Z17" s="171"/>
      <c r="AA17" s="207"/>
      <c r="AB17" s="204"/>
      <c r="AC17" s="175"/>
      <c r="AD17" s="171"/>
      <c r="AE17" s="171"/>
      <c r="AF17" s="207"/>
      <c r="AG17" s="204"/>
      <c r="AH17" s="204"/>
      <c r="AI17" s="171"/>
      <c r="AJ17" s="171"/>
      <c r="AK17" s="207"/>
      <c r="AL17" s="204"/>
      <c r="AM17" s="204"/>
      <c r="AN17" s="204"/>
      <c r="AO17" s="204"/>
      <c r="AP17" s="204"/>
    </row>
    <row r="18" spans="2:42" ht="16">
      <c r="B18" s="169"/>
      <c r="C18" s="191"/>
      <c r="D18" s="191"/>
      <c r="E18" s="208" t="s">
        <v>209</v>
      </c>
      <c r="F18" s="209"/>
      <c r="G18" s="209"/>
      <c r="H18" s="209"/>
      <c r="I18" s="175"/>
      <c r="J18" s="208" t="s">
        <v>209</v>
      </c>
      <c r="K18" s="209"/>
      <c r="L18" s="209"/>
      <c r="M18" s="209"/>
      <c r="N18" s="175"/>
      <c r="O18" s="208" t="s">
        <v>209</v>
      </c>
      <c r="P18" s="209"/>
      <c r="Q18" s="209"/>
      <c r="R18" s="209"/>
      <c r="S18" s="175"/>
      <c r="T18" s="208" t="s">
        <v>209</v>
      </c>
      <c r="U18" s="209"/>
      <c r="V18" s="209"/>
      <c r="W18" s="209"/>
      <c r="X18" s="175"/>
      <c r="Y18" s="208" t="s">
        <v>209</v>
      </c>
      <c r="Z18" s="209"/>
      <c r="AA18" s="209"/>
      <c r="AB18" s="209"/>
      <c r="AC18" s="175"/>
      <c r="AD18" s="208" t="s">
        <v>209</v>
      </c>
      <c r="AE18" s="209"/>
      <c r="AF18" s="209"/>
      <c r="AG18" s="209"/>
      <c r="AH18" s="210"/>
      <c r="AI18" s="208" t="s">
        <v>209</v>
      </c>
      <c r="AJ18" s="209"/>
      <c r="AK18" s="209"/>
      <c r="AL18" s="209"/>
      <c r="AM18" s="210"/>
      <c r="AN18" s="210"/>
      <c r="AO18" s="210"/>
      <c r="AP18" s="210"/>
    </row>
    <row r="19" spans="2:42" ht="16">
      <c r="B19" s="169"/>
      <c r="C19" s="190" t="s">
        <v>210</v>
      </c>
      <c r="D19" s="202"/>
      <c r="E19" s="211"/>
      <c r="F19" s="212"/>
      <c r="G19" s="212"/>
      <c r="H19" s="213">
        <f>DCF!G21</f>
        <v>-88.775000000000006</v>
      </c>
      <c r="I19" s="175"/>
      <c r="J19" s="211"/>
      <c r="K19" s="212"/>
      <c r="L19" s="212"/>
      <c r="M19" s="213">
        <v>-4005</v>
      </c>
      <c r="N19" s="175"/>
      <c r="O19" s="211"/>
      <c r="P19" s="212"/>
      <c r="Q19" s="212"/>
      <c r="R19" s="213">
        <v>-149.6</v>
      </c>
      <c r="S19" s="175"/>
      <c r="T19" s="211"/>
      <c r="U19" s="212"/>
      <c r="V19" s="212"/>
      <c r="W19" s="213">
        <v>-510.7</v>
      </c>
      <c r="X19" s="175"/>
      <c r="Y19" s="211"/>
      <c r="Z19" s="212"/>
      <c r="AA19" s="212"/>
      <c r="AB19" s="213">
        <v>-267.89999999999998</v>
      </c>
      <c r="AC19" s="175"/>
      <c r="AD19" s="211"/>
      <c r="AE19" s="212"/>
      <c r="AF19" s="212"/>
      <c r="AG19" s="187">
        <v>-452.8</v>
      </c>
      <c r="AH19" s="213"/>
      <c r="AI19" s="211"/>
      <c r="AJ19" s="212"/>
      <c r="AK19" s="212"/>
      <c r="AL19" s="213">
        <v>-186.3</v>
      </c>
      <c r="AM19" s="213"/>
      <c r="AN19" s="213"/>
      <c r="AO19" s="213"/>
      <c r="AP19" s="213"/>
    </row>
    <row r="20" spans="2:42" ht="16">
      <c r="B20" s="169"/>
      <c r="C20" s="190" t="s">
        <v>211</v>
      </c>
      <c r="D20" s="202"/>
      <c r="E20" s="211"/>
      <c r="F20" s="212"/>
      <c r="G20" s="212"/>
      <c r="H20" s="213">
        <f>DCF!G22</f>
        <v>0</v>
      </c>
      <c r="I20" s="175"/>
      <c r="J20" s="211"/>
      <c r="K20" s="212"/>
      <c r="L20" s="212"/>
      <c r="M20" s="187">
        <v>0</v>
      </c>
      <c r="N20" s="175"/>
      <c r="O20" s="211"/>
      <c r="P20" s="212"/>
      <c r="Q20" s="212"/>
      <c r="R20" s="187">
        <v>0</v>
      </c>
      <c r="S20" s="175"/>
      <c r="T20" s="211"/>
      <c r="U20" s="212"/>
      <c r="V20" s="212"/>
      <c r="W20" s="187">
        <v>0</v>
      </c>
      <c r="X20" s="175"/>
      <c r="Y20" s="211"/>
      <c r="Z20" s="212"/>
      <c r="AA20" s="212"/>
      <c r="AB20" s="187">
        <v>0</v>
      </c>
      <c r="AC20" s="175"/>
      <c r="AD20" s="211"/>
      <c r="AE20" s="212"/>
      <c r="AF20" s="212"/>
      <c r="AG20" s="187">
        <v>0</v>
      </c>
      <c r="AH20" s="187"/>
      <c r="AI20" s="211"/>
      <c r="AJ20" s="212"/>
      <c r="AK20" s="212"/>
      <c r="AL20" s="187">
        <v>0</v>
      </c>
      <c r="AM20" s="187"/>
      <c r="AN20" s="187"/>
      <c r="AO20" s="187"/>
      <c r="AP20" s="187"/>
    </row>
    <row r="21" spans="2:42" ht="16">
      <c r="B21" s="169"/>
      <c r="C21" s="190" t="s">
        <v>212</v>
      </c>
      <c r="D21" s="202"/>
      <c r="E21" s="211"/>
      <c r="F21" s="212"/>
      <c r="G21" s="212"/>
      <c r="H21" s="213">
        <f>DCF!G23</f>
        <v>0</v>
      </c>
      <c r="I21" s="175"/>
      <c r="J21" s="211"/>
      <c r="K21" s="212"/>
      <c r="L21" s="212"/>
      <c r="M21" s="187">
        <v>0</v>
      </c>
      <c r="N21" s="175"/>
      <c r="O21" s="211"/>
      <c r="P21" s="212"/>
      <c r="Q21" s="212"/>
      <c r="R21" s="187">
        <v>0</v>
      </c>
      <c r="S21" s="175"/>
      <c r="T21" s="211"/>
      <c r="U21" s="212"/>
      <c r="V21" s="212"/>
      <c r="W21" s="187">
        <v>0</v>
      </c>
      <c r="X21" s="175"/>
      <c r="Y21" s="211"/>
      <c r="Z21" s="212"/>
      <c r="AA21" s="212"/>
      <c r="AB21" s="187">
        <v>0</v>
      </c>
      <c r="AC21" s="175"/>
      <c r="AD21" s="211"/>
      <c r="AE21" s="212"/>
      <c r="AF21" s="212"/>
      <c r="AG21" s="187">
        <v>0</v>
      </c>
      <c r="AH21" s="187"/>
      <c r="AI21" s="211"/>
      <c r="AJ21" s="212"/>
      <c r="AK21" s="212"/>
      <c r="AL21" s="187">
        <v>0</v>
      </c>
      <c r="AM21" s="187"/>
      <c r="AN21" s="187"/>
      <c r="AO21" s="187"/>
      <c r="AP21" s="187"/>
    </row>
    <row r="22" spans="2:42" ht="16">
      <c r="B22" s="169"/>
      <c r="C22" s="190" t="s">
        <v>159</v>
      </c>
      <c r="D22" s="202"/>
      <c r="E22" s="211"/>
      <c r="F22" s="212"/>
      <c r="G22" s="212"/>
      <c r="H22" s="213">
        <f>DCF!G24</f>
        <v>0</v>
      </c>
      <c r="I22" s="175"/>
      <c r="J22" s="211"/>
      <c r="K22" s="212"/>
      <c r="L22" s="212"/>
      <c r="M22" s="187">
        <v>0</v>
      </c>
      <c r="N22" s="175"/>
      <c r="O22" s="211"/>
      <c r="P22" s="212"/>
      <c r="Q22" s="212"/>
      <c r="R22" s="187">
        <v>0</v>
      </c>
      <c r="S22" s="175"/>
      <c r="T22" s="211"/>
      <c r="U22" s="212"/>
      <c r="V22" s="212"/>
      <c r="W22" s="187">
        <v>0</v>
      </c>
      <c r="X22" s="175"/>
      <c r="Y22" s="211"/>
      <c r="Z22" s="212"/>
      <c r="AA22" s="212"/>
      <c r="AB22" s="187">
        <v>0</v>
      </c>
      <c r="AC22" s="175"/>
      <c r="AD22" s="211"/>
      <c r="AE22" s="212"/>
      <c r="AF22" s="212"/>
      <c r="AG22" s="187">
        <v>0</v>
      </c>
      <c r="AH22" s="187"/>
      <c r="AI22" s="211"/>
      <c r="AJ22" s="212"/>
      <c r="AK22" s="212"/>
      <c r="AL22" s="187">
        <v>0</v>
      </c>
      <c r="AM22" s="187"/>
      <c r="AN22" s="187"/>
      <c r="AO22" s="187"/>
      <c r="AP22" s="187"/>
    </row>
    <row r="23" spans="2:42" ht="16">
      <c r="B23" s="169"/>
      <c r="C23" s="190" t="s">
        <v>213</v>
      </c>
      <c r="D23" s="202"/>
      <c r="E23" s="211"/>
      <c r="F23" s="212"/>
      <c r="G23" s="212"/>
      <c r="H23" s="213">
        <f>DCF!G25</f>
        <v>0</v>
      </c>
      <c r="I23" s="175"/>
      <c r="J23" s="211"/>
      <c r="K23" s="212"/>
      <c r="L23" s="212"/>
      <c r="M23" s="187">
        <v>10744</v>
      </c>
      <c r="N23" s="175"/>
      <c r="O23" s="211"/>
      <c r="P23" s="212"/>
      <c r="Q23" s="212"/>
      <c r="R23" s="187">
        <v>642.20000000000005</v>
      </c>
      <c r="S23" s="175"/>
      <c r="T23" s="211"/>
      <c r="U23" s="212"/>
      <c r="V23" s="212"/>
      <c r="W23" s="187">
        <v>6.1</v>
      </c>
      <c r="X23" s="175"/>
      <c r="Y23" s="211"/>
      <c r="Z23" s="212"/>
      <c r="AA23" s="212"/>
      <c r="AB23" s="187">
        <v>2007.7</v>
      </c>
      <c r="AC23" s="175"/>
      <c r="AD23" s="211"/>
      <c r="AE23" s="212"/>
      <c r="AF23" s="212"/>
      <c r="AG23" s="187">
        <v>41.5</v>
      </c>
      <c r="AH23" s="187"/>
      <c r="AI23" s="211"/>
      <c r="AJ23" s="212"/>
      <c r="AK23" s="212"/>
      <c r="AL23" s="187">
        <v>29.1</v>
      </c>
      <c r="AM23" s="187"/>
      <c r="AN23" s="187"/>
      <c r="AO23" s="187"/>
      <c r="AP23" s="187"/>
    </row>
    <row r="24" spans="2:42" ht="16">
      <c r="B24" s="169"/>
      <c r="C24" s="190" t="s">
        <v>163</v>
      </c>
      <c r="D24" s="202"/>
      <c r="E24" s="211"/>
      <c r="F24" s="212"/>
      <c r="G24" s="212"/>
      <c r="H24" s="213">
        <f>DCF!G26</f>
        <v>0</v>
      </c>
      <c r="I24" s="175"/>
      <c r="J24" s="211"/>
      <c r="K24" s="212"/>
      <c r="L24" s="212"/>
      <c r="M24" s="187">
        <v>0</v>
      </c>
      <c r="N24" s="175"/>
      <c r="O24" s="211"/>
      <c r="P24" s="212"/>
      <c r="Q24" s="212"/>
      <c r="R24" s="187">
        <v>0</v>
      </c>
      <c r="S24" s="175"/>
      <c r="T24" s="211"/>
      <c r="U24" s="212"/>
      <c r="V24" s="212"/>
      <c r="W24" s="187">
        <v>0</v>
      </c>
      <c r="X24" s="175"/>
      <c r="Y24" s="211"/>
      <c r="Z24" s="212"/>
      <c r="AA24" s="212"/>
      <c r="AB24" s="187">
        <v>0</v>
      </c>
      <c r="AC24" s="175"/>
      <c r="AD24" s="211"/>
      <c r="AE24" s="212"/>
      <c r="AF24" s="212"/>
      <c r="AG24" s="187">
        <v>0</v>
      </c>
      <c r="AH24" s="187"/>
      <c r="AI24" s="211"/>
      <c r="AJ24" s="212"/>
      <c r="AK24" s="212"/>
      <c r="AL24" s="187">
        <v>0</v>
      </c>
      <c r="AM24" s="187"/>
      <c r="AN24" s="187"/>
      <c r="AO24" s="187"/>
      <c r="AP24" s="187"/>
    </row>
    <row r="25" spans="2:42" ht="16">
      <c r="B25" s="169"/>
      <c r="C25" s="190" t="s">
        <v>166</v>
      </c>
      <c r="D25" s="202"/>
      <c r="E25" s="211"/>
      <c r="F25" s="212"/>
      <c r="G25" s="212"/>
      <c r="H25" s="213">
        <f>DCF!G27</f>
        <v>0</v>
      </c>
      <c r="I25" s="214"/>
      <c r="J25" s="211"/>
      <c r="K25" s="212"/>
      <c r="L25" s="212"/>
      <c r="M25" s="187">
        <v>227</v>
      </c>
      <c r="N25" s="175"/>
      <c r="O25" s="211"/>
      <c r="P25" s="212"/>
      <c r="Q25" s="212"/>
      <c r="R25" s="187">
        <v>0</v>
      </c>
      <c r="S25" s="175"/>
      <c r="T25" s="211"/>
      <c r="U25" s="212"/>
      <c r="V25" s="212"/>
      <c r="W25" s="187">
        <v>0</v>
      </c>
      <c r="X25" s="175"/>
      <c r="Y25" s="211"/>
      <c r="Z25" s="212"/>
      <c r="AA25" s="212"/>
      <c r="AB25" s="187">
        <v>0</v>
      </c>
      <c r="AC25" s="175"/>
      <c r="AD25" s="211"/>
      <c r="AE25" s="212"/>
      <c r="AF25" s="212"/>
      <c r="AG25" s="187">
        <v>0</v>
      </c>
      <c r="AH25" s="187"/>
      <c r="AI25" s="211"/>
      <c r="AJ25" s="212"/>
      <c r="AK25" s="212"/>
      <c r="AL25" s="187">
        <v>0</v>
      </c>
      <c r="AM25" s="187"/>
      <c r="AN25" s="187"/>
      <c r="AO25" s="187"/>
      <c r="AP25" s="187"/>
    </row>
    <row r="26" spans="2:42" ht="16">
      <c r="B26" s="169"/>
      <c r="C26" s="190" t="s">
        <v>214</v>
      </c>
      <c r="D26" s="202"/>
      <c r="E26" s="211"/>
      <c r="F26" s="212"/>
      <c r="G26" s="212"/>
      <c r="H26" s="213">
        <v>0</v>
      </c>
      <c r="I26" s="175"/>
      <c r="J26" s="211"/>
      <c r="K26" s="212"/>
      <c r="L26" s="212"/>
      <c r="M26" s="187">
        <v>0</v>
      </c>
      <c r="N26" s="175"/>
      <c r="O26" s="211"/>
      <c r="P26" s="212"/>
      <c r="Q26" s="212"/>
      <c r="R26" s="187">
        <v>0</v>
      </c>
      <c r="S26" s="175"/>
      <c r="T26" s="211"/>
      <c r="U26" s="212"/>
      <c r="V26" s="212"/>
      <c r="W26" s="187">
        <v>0</v>
      </c>
      <c r="X26" s="175"/>
      <c r="Y26" s="211"/>
      <c r="Z26" s="212"/>
      <c r="AA26" s="212"/>
      <c r="AB26" s="187">
        <v>0</v>
      </c>
      <c r="AC26" s="175"/>
      <c r="AD26" s="211"/>
      <c r="AE26" s="212"/>
      <c r="AF26" s="212"/>
      <c r="AG26" s="187">
        <v>0</v>
      </c>
      <c r="AH26" s="187"/>
      <c r="AI26" s="211"/>
      <c r="AJ26" s="212"/>
      <c r="AK26" s="212"/>
      <c r="AL26" s="187">
        <v>0</v>
      </c>
      <c r="AM26" s="187"/>
      <c r="AN26" s="187"/>
      <c r="AO26" s="187"/>
      <c r="AP26" s="187"/>
    </row>
    <row r="27" spans="2:42" ht="16">
      <c r="B27" s="169"/>
      <c r="C27" s="190" t="s">
        <v>215</v>
      </c>
      <c r="D27" s="202"/>
      <c r="E27" s="211"/>
      <c r="F27" s="212"/>
      <c r="G27" s="212"/>
      <c r="H27" s="213">
        <f>DCF!G29</f>
        <v>0</v>
      </c>
      <c r="I27" s="175"/>
      <c r="J27" s="211"/>
      <c r="K27" s="212"/>
      <c r="L27" s="212"/>
      <c r="M27" s="187">
        <v>0</v>
      </c>
      <c r="N27" s="175"/>
      <c r="O27" s="211"/>
      <c r="P27" s="212"/>
      <c r="Q27" s="212"/>
      <c r="R27" s="187">
        <v>0</v>
      </c>
      <c r="S27" s="175"/>
      <c r="T27" s="211"/>
      <c r="U27" s="212"/>
      <c r="V27" s="212"/>
      <c r="W27" s="187"/>
      <c r="X27" s="175"/>
      <c r="Y27" s="211"/>
      <c r="Z27" s="212"/>
      <c r="AA27" s="212"/>
      <c r="AB27" s="187">
        <v>0</v>
      </c>
      <c r="AC27" s="175"/>
      <c r="AD27" s="211"/>
      <c r="AE27" s="212"/>
      <c r="AF27" s="212"/>
      <c r="AG27" s="187">
        <v>0</v>
      </c>
      <c r="AH27" s="187"/>
      <c r="AI27" s="211"/>
      <c r="AJ27" s="212"/>
      <c r="AK27" s="212"/>
      <c r="AL27" s="187"/>
      <c r="AM27" s="187"/>
      <c r="AN27" s="187"/>
      <c r="AO27" s="187"/>
      <c r="AP27" s="187"/>
    </row>
    <row r="28" spans="2:42" ht="16">
      <c r="B28" s="169"/>
      <c r="C28" s="171"/>
      <c r="D28" s="171"/>
      <c r="E28" s="171"/>
      <c r="F28" s="171"/>
      <c r="G28" s="171"/>
      <c r="H28" s="171"/>
      <c r="I28" s="175"/>
      <c r="J28" s="171"/>
      <c r="K28" s="171"/>
      <c r="L28" s="171"/>
      <c r="M28" s="171"/>
      <c r="N28" s="175"/>
      <c r="O28" s="171"/>
      <c r="P28" s="171"/>
      <c r="Q28" s="171"/>
      <c r="R28" s="171"/>
      <c r="S28" s="175"/>
      <c r="T28" s="171"/>
      <c r="U28" s="171"/>
      <c r="V28" s="171"/>
      <c r="W28" s="171"/>
      <c r="X28" s="175"/>
      <c r="Y28" s="171"/>
      <c r="Z28" s="171"/>
      <c r="AA28" s="171"/>
      <c r="AB28" s="171"/>
      <c r="AC28" s="175"/>
      <c r="AD28" s="171"/>
      <c r="AE28" s="171"/>
      <c r="AF28" s="171"/>
      <c r="AG28" s="171"/>
      <c r="AH28" s="171"/>
      <c r="AI28" s="171"/>
      <c r="AJ28" s="171"/>
      <c r="AK28" s="171"/>
      <c r="AL28" s="171"/>
      <c r="AM28" s="171"/>
      <c r="AN28" s="171"/>
      <c r="AO28" s="171"/>
      <c r="AP28" s="171"/>
    </row>
    <row r="29" spans="2:42" ht="16">
      <c r="B29" s="169"/>
      <c r="C29" s="171"/>
      <c r="D29" s="171"/>
      <c r="E29" s="208" t="s">
        <v>216</v>
      </c>
      <c r="F29" s="215"/>
      <c r="G29" s="215"/>
      <c r="H29" s="216"/>
      <c r="I29" s="175"/>
      <c r="J29" s="208" t="s">
        <v>216</v>
      </c>
      <c r="K29" s="215"/>
      <c r="L29" s="215"/>
      <c r="M29" s="216"/>
      <c r="N29" s="175"/>
      <c r="O29" s="208" t="s">
        <v>216</v>
      </c>
      <c r="P29" s="215"/>
      <c r="Q29" s="215"/>
      <c r="R29" s="216"/>
      <c r="S29" s="175"/>
      <c r="T29" s="208" t="s">
        <v>216</v>
      </c>
      <c r="U29" s="215"/>
      <c r="V29" s="215"/>
      <c r="W29" s="216"/>
      <c r="X29" s="175"/>
      <c r="Y29" s="208" t="s">
        <v>216</v>
      </c>
      <c r="Z29" s="215"/>
      <c r="AA29" s="215"/>
      <c r="AB29" s="216"/>
      <c r="AC29" s="175"/>
      <c r="AD29" s="208" t="s">
        <v>216</v>
      </c>
      <c r="AE29" s="215"/>
      <c r="AF29" s="215"/>
      <c r="AG29" s="216"/>
      <c r="AH29" s="212"/>
      <c r="AI29" s="208" t="s">
        <v>216</v>
      </c>
      <c r="AJ29" s="215"/>
      <c r="AK29" s="215"/>
      <c r="AL29" s="216"/>
      <c r="AM29" s="212"/>
      <c r="AN29" s="212"/>
      <c r="AO29" s="212"/>
      <c r="AP29" s="212"/>
    </row>
    <row r="30" spans="2:42" ht="16">
      <c r="B30" s="169"/>
      <c r="C30" s="171"/>
      <c r="D30" s="171"/>
      <c r="E30" s="182">
        <f>Forward_Year_1</f>
        <v>46022</v>
      </c>
      <c r="F30" s="182">
        <f>Forward_Year_2</f>
        <v>46387</v>
      </c>
      <c r="G30" s="182">
        <f>Forward_Year_3</f>
        <v>46752</v>
      </c>
      <c r="H30" s="217"/>
      <c r="I30" s="175"/>
      <c r="J30" s="182">
        <f>Forward_Year_1</f>
        <v>46022</v>
      </c>
      <c r="K30" s="182">
        <f>Forward_Year_2</f>
        <v>46387</v>
      </c>
      <c r="L30" s="182">
        <f>Forward_Year_3</f>
        <v>46752</v>
      </c>
      <c r="M30" s="217"/>
      <c r="N30" s="175"/>
      <c r="O30" s="182">
        <f>Forward_Year_1</f>
        <v>46022</v>
      </c>
      <c r="P30" s="182">
        <f>Forward_Year_2</f>
        <v>46387</v>
      </c>
      <c r="Q30" s="182">
        <f>Forward_Year_3</f>
        <v>46752</v>
      </c>
      <c r="R30" s="217"/>
      <c r="S30" s="175"/>
      <c r="T30" s="182">
        <f>Forward_Year_1</f>
        <v>46022</v>
      </c>
      <c r="U30" s="182">
        <f>Forward_Year_2</f>
        <v>46387</v>
      </c>
      <c r="V30" s="182">
        <f>Forward_Year_3</f>
        <v>46752</v>
      </c>
      <c r="W30" s="217"/>
      <c r="X30" s="175"/>
      <c r="Y30" s="182">
        <f>Forward_Year_1</f>
        <v>46022</v>
      </c>
      <c r="Z30" s="182">
        <f>Forward_Year_2</f>
        <v>46387</v>
      </c>
      <c r="AA30" s="182">
        <f>Forward_Year_3</f>
        <v>46752</v>
      </c>
      <c r="AB30" s="217"/>
      <c r="AC30" s="175"/>
      <c r="AD30" s="182">
        <f>Forward_Year_1</f>
        <v>46022</v>
      </c>
      <c r="AE30" s="182">
        <f>Forward_Year_2</f>
        <v>46387</v>
      </c>
      <c r="AF30" s="182">
        <f>Forward_Year_3</f>
        <v>46752</v>
      </c>
      <c r="AG30" s="217"/>
      <c r="AH30" s="212"/>
      <c r="AI30" s="182">
        <f>Forward_Year_1</f>
        <v>46022</v>
      </c>
      <c r="AJ30" s="182">
        <f>Forward_Year_2</f>
        <v>46387</v>
      </c>
      <c r="AK30" s="182">
        <f>Forward_Year_3</f>
        <v>46752</v>
      </c>
      <c r="AL30" s="217"/>
      <c r="AM30" s="212"/>
      <c r="AN30" s="212"/>
      <c r="AO30" s="212"/>
      <c r="AP30" s="212"/>
    </row>
    <row r="31" spans="2:42" ht="16">
      <c r="B31" s="169"/>
      <c r="C31" s="196" t="s">
        <v>217</v>
      </c>
      <c r="D31" s="191"/>
      <c r="E31" s="188">
        <f>Model!J68/Units</f>
        <v>63.442999999999998</v>
      </c>
      <c r="F31" s="188">
        <f>Model!K68/Units</f>
        <v>56.95</v>
      </c>
      <c r="G31" s="188">
        <f>Model!L68/Units</f>
        <v>77</v>
      </c>
      <c r="H31" s="212"/>
      <c r="I31" s="175"/>
      <c r="J31" s="188">
        <v>20530</v>
      </c>
      <c r="K31" s="188">
        <v>21435</v>
      </c>
      <c r="L31" s="188">
        <v>22411</v>
      </c>
      <c r="M31" s="212"/>
      <c r="N31" s="175"/>
      <c r="O31" s="188">
        <v>1521</v>
      </c>
      <c r="P31" s="188">
        <v>1639</v>
      </c>
      <c r="Q31" s="188">
        <v>1773</v>
      </c>
      <c r="R31" s="212"/>
      <c r="S31" s="175"/>
      <c r="T31" s="188">
        <v>368</v>
      </c>
      <c r="U31" s="188">
        <v>383</v>
      </c>
      <c r="V31" s="188">
        <v>402</v>
      </c>
      <c r="W31" s="212"/>
      <c r="X31" s="175"/>
      <c r="Y31" s="188">
        <v>1637</v>
      </c>
      <c r="Z31" s="188">
        <v>1681</v>
      </c>
      <c r="AA31" s="188">
        <v>1735</v>
      </c>
      <c r="AB31" s="212"/>
      <c r="AC31" s="175"/>
      <c r="AD31" s="188">
        <v>77</v>
      </c>
      <c r="AE31" s="188">
        <v>99</v>
      </c>
      <c r="AF31" s="188">
        <v>134</v>
      </c>
      <c r="AG31" s="212"/>
      <c r="AH31" s="212"/>
      <c r="AI31" s="188">
        <v>369</v>
      </c>
      <c r="AJ31" s="188">
        <v>414</v>
      </c>
      <c r="AK31" s="188">
        <v>462</v>
      </c>
      <c r="AL31" s="212"/>
      <c r="AM31" s="212"/>
      <c r="AN31" s="212"/>
      <c r="AO31" s="212"/>
      <c r="AP31" s="212"/>
    </row>
    <row r="32" spans="2:42" ht="16">
      <c r="B32" s="169"/>
      <c r="C32" s="196" t="s">
        <v>218</v>
      </c>
      <c r="D32" s="191"/>
      <c r="E32" s="218">
        <f>Summary!J45/Units</f>
        <v>-46.163567797883672</v>
      </c>
      <c r="F32" s="218">
        <f>Summary!K45/Units</f>
        <v>-3.7799891246833668</v>
      </c>
      <c r="G32" s="218">
        <f>Summary!L45/Units</f>
        <v>14.395193989504987</v>
      </c>
      <c r="H32" s="212"/>
      <c r="I32" s="175"/>
      <c r="J32" s="218">
        <v>3653</v>
      </c>
      <c r="K32" s="218">
        <v>3921</v>
      </c>
      <c r="L32" s="218">
        <v>4197</v>
      </c>
      <c r="M32" s="212"/>
      <c r="N32" s="175"/>
      <c r="O32" s="218">
        <v>497</v>
      </c>
      <c r="P32" s="218">
        <v>544</v>
      </c>
      <c r="Q32" s="218">
        <v>530</v>
      </c>
      <c r="R32" s="212"/>
      <c r="S32" s="175"/>
      <c r="T32" s="218">
        <v>94</v>
      </c>
      <c r="U32" s="218">
        <v>101</v>
      </c>
      <c r="V32" s="218">
        <v>110</v>
      </c>
      <c r="W32" s="212"/>
      <c r="X32" s="175"/>
      <c r="Y32" s="218">
        <v>314</v>
      </c>
      <c r="Z32" s="218">
        <v>333</v>
      </c>
      <c r="AA32" s="218">
        <v>356</v>
      </c>
      <c r="AB32" s="212"/>
      <c r="AC32" s="175"/>
      <c r="AD32" s="218">
        <v>-129</v>
      </c>
      <c r="AE32" s="218">
        <v>-130</v>
      </c>
      <c r="AF32" s="218">
        <v>-37</v>
      </c>
      <c r="AG32" s="212"/>
      <c r="AH32" s="212"/>
      <c r="AI32" s="218">
        <v>30</v>
      </c>
      <c r="AJ32" s="218">
        <v>46</v>
      </c>
      <c r="AK32" s="218">
        <v>71</v>
      </c>
      <c r="AL32" s="212"/>
      <c r="AM32" s="212"/>
      <c r="AN32" s="212"/>
      <c r="AO32" s="212"/>
      <c r="AP32" s="212"/>
    </row>
    <row r="33" spans="2:42" ht="16">
      <c r="B33" s="169"/>
      <c r="C33" s="196" t="s">
        <v>219</v>
      </c>
      <c r="D33" s="191"/>
      <c r="E33" s="218">
        <f>Model!J97/Units</f>
        <v>-49.463490660383677</v>
      </c>
      <c r="F33" s="218">
        <f>Model!K97/Units</f>
        <v>-8.5019707914333669</v>
      </c>
      <c r="G33" s="218">
        <f>Model!L97/Units</f>
        <v>10.798982725946868</v>
      </c>
      <c r="H33" s="212"/>
      <c r="I33" s="175"/>
      <c r="J33" s="218">
        <v>2096</v>
      </c>
      <c r="K33" s="218">
        <v>2147</v>
      </c>
      <c r="L33" s="218">
        <v>2435</v>
      </c>
      <c r="M33" s="212"/>
      <c r="N33" s="175"/>
      <c r="O33" s="218">
        <v>209</v>
      </c>
      <c r="P33" s="218">
        <v>265</v>
      </c>
      <c r="Q33" s="218">
        <v>303</v>
      </c>
      <c r="R33" s="212"/>
      <c r="S33" s="175"/>
      <c r="T33" s="218">
        <v>94</v>
      </c>
      <c r="U33" s="218">
        <v>104</v>
      </c>
      <c r="V33" s="218">
        <v>113</v>
      </c>
      <c r="W33" s="212"/>
      <c r="X33" s="175"/>
      <c r="Y33" s="218">
        <v>169</v>
      </c>
      <c r="Z33" s="218">
        <v>181</v>
      </c>
      <c r="AA33" s="218">
        <v>201</v>
      </c>
      <c r="AB33" s="212"/>
      <c r="AC33" s="175"/>
      <c r="AD33" s="218">
        <v>-165</v>
      </c>
      <c r="AE33" s="218">
        <v>-197</v>
      </c>
      <c r="AF33" s="218">
        <v>-214</v>
      </c>
      <c r="AG33" s="212"/>
      <c r="AH33" s="212"/>
      <c r="AI33" s="218">
        <v>-27</v>
      </c>
      <c r="AJ33" s="218">
        <v>-4</v>
      </c>
      <c r="AK33" s="218">
        <v>6</v>
      </c>
      <c r="AL33" s="212"/>
      <c r="AM33" s="212"/>
      <c r="AN33" s="212"/>
      <c r="AO33" s="212"/>
      <c r="AP33" s="212"/>
    </row>
    <row r="34" spans="2:42" ht="16">
      <c r="B34" s="219"/>
      <c r="C34" s="175"/>
      <c r="D34" s="175"/>
      <c r="E34" s="175"/>
      <c r="F34" s="175"/>
      <c r="G34" s="175"/>
      <c r="H34" s="175"/>
      <c r="I34" s="175"/>
      <c r="J34" s="220"/>
      <c r="K34" s="220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  <c r="AB34" s="175"/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75"/>
      <c r="AN34" s="175"/>
      <c r="AO34" s="175"/>
      <c r="AP34" s="175"/>
    </row>
    <row r="35" spans="2:42" ht="16">
      <c r="B35" s="219"/>
      <c r="C35" s="175"/>
      <c r="D35" s="175"/>
      <c r="E35" s="208" t="s">
        <v>220</v>
      </c>
      <c r="F35" s="215"/>
      <c r="G35" s="215"/>
      <c r="H35" s="215"/>
      <c r="I35" s="175"/>
      <c r="J35" s="208" t="s">
        <v>220</v>
      </c>
      <c r="K35" s="215"/>
      <c r="L35" s="215"/>
      <c r="M35" s="215"/>
      <c r="N35" s="175"/>
      <c r="O35" s="208" t="s">
        <v>220</v>
      </c>
      <c r="P35" s="215"/>
      <c r="Q35" s="215"/>
      <c r="R35" s="215"/>
      <c r="S35" s="175"/>
      <c r="T35" s="208" t="s">
        <v>220</v>
      </c>
      <c r="U35" s="215"/>
      <c r="V35" s="215"/>
      <c r="W35" s="215"/>
      <c r="X35" s="175"/>
      <c r="Y35" s="208" t="s">
        <v>220</v>
      </c>
      <c r="Z35" s="215"/>
      <c r="AA35" s="215"/>
      <c r="AB35" s="215"/>
      <c r="AC35" s="175"/>
      <c r="AD35" s="208" t="s">
        <v>220</v>
      </c>
      <c r="AE35" s="215"/>
      <c r="AF35" s="215"/>
      <c r="AG35" s="215"/>
      <c r="AH35" s="221"/>
      <c r="AI35" s="208" t="s">
        <v>220</v>
      </c>
      <c r="AJ35" s="215"/>
      <c r="AK35" s="215"/>
      <c r="AL35" s="215"/>
      <c r="AM35" s="221"/>
      <c r="AN35" s="221"/>
      <c r="AO35" s="221"/>
      <c r="AP35" s="221"/>
    </row>
    <row r="36" spans="2:42" ht="16">
      <c r="B36" s="219"/>
      <c r="C36" s="222" t="s">
        <v>221</v>
      </c>
      <c r="D36" s="222"/>
      <c r="E36" s="223"/>
      <c r="F36" s="181"/>
      <c r="G36" s="181"/>
      <c r="H36" s="224">
        <f>Share_Price</f>
        <v>3.06</v>
      </c>
      <c r="I36" s="175"/>
      <c r="J36" s="223"/>
      <c r="K36" s="181"/>
      <c r="L36" s="181"/>
      <c r="M36" s="224">
        <v>85.46</v>
      </c>
      <c r="N36" s="175"/>
      <c r="O36" s="223"/>
      <c r="P36" s="181"/>
      <c r="Q36" s="181"/>
      <c r="R36" s="224">
        <v>141.68</v>
      </c>
      <c r="S36" s="175"/>
      <c r="T36" s="223"/>
      <c r="U36" s="181"/>
      <c r="V36" s="181"/>
      <c r="W36" s="224">
        <v>14.42</v>
      </c>
      <c r="X36" s="175"/>
      <c r="Y36" s="223"/>
      <c r="Z36" s="181"/>
      <c r="AA36" s="181"/>
      <c r="AB36" s="224">
        <v>13.24</v>
      </c>
      <c r="AC36" s="175"/>
      <c r="AD36" s="223"/>
      <c r="AE36" s="181"/>
      <c r="AF36" s="181"/>
      <c r="AG36" s="224">
        <v>5.12</v>
      </c>
      <c r="AH36" s="224"/>
      <c r="AI36" s="223"/>
      <c r="AJ36" s="181"/>
      <c r="AK36" s="181"/>
      <c r="AL36" s="224">
        <v>18.53</v>
      </c>
      <c r="AM36" s="224"/>
      <c r="AN36" s="224"/>
      <c r="AO36" s="224"/>
      <c r="AP36" s="224"/>
    </row>
    <row r="37" spans="2:42" ht="16">
      <c r="B37" s="219"/>
      <c r="C37" s="222" t="s">
        <v>222</v>
      </c>
      <c r="D37" s="222"/>
      <c r="E37" s="223"/>
      <c r="F37" s="181"/>
      <c r="G37" s="181"/>
      <c r="H37" s="225">
        <f>Diluted</f>
        <v>227.39</v>
      </c>
      <c r="I37" s="175"/>
      <c r="J37" s="223"/>
      <c r="K37" s="181"/>
      <c r="L37" s="181"/>
      <c r="M37" s="225">
        <v>455.5</v>
      </c>
      <c r="N37" s="175"/>
      <c r="O37" s="223"/>
      <c r="P37" s="181"/>
      <c r="Q37" s="181"/>
      <c r="R37" s="225">
        <v>54.5</v>
      </c>
      <c r="S37" s="175"/>
      <c r="T37" s="223"/>
      <c r="U37" s="181"/>
      <c r="V37" s="181"/>
      <c r="W37" s="226">
        <v>63.5</v>
      </c>
      <c r="X37" s="175"/>
      <c r="Y37" s="223"/>
      <c r="Z37" s="181"/>
      <c r="AA37" s="181"/>
      <c r="AB37" s="226">
        <v>77.900000000000006</v>
      </c>
      <c r="AC37" s="175"/>
      <c r="AD37" s="223"/>
      <c r="AE37" s="181"/>
      <c r="AF37" s="181"/>
      <c r="AG37" s="226">
        <v>225.2</v>
      </c>
      <c r="AH37" s="226"/>
      <c r="AI37" s="223"/>
      <c r="AJ37" s="181"/>
      <c r="AK37" s="181"/>
      <c r="AL37" s="226">
        <v>53.2</v>
      </c>
      <c r="AM37" s="226"/>
      <c r="AN37" s="226"/>
      <c r="AO37" s="226"/>
      <c r="AP37" s="226"/>
    </row>
    <row r="38" spans="2:42" ht="16">
      <c r="B38" s="219"/>
      <c r="C38" s="222" t="s">
        <v>223</v>
      </c>
      <c r="D38" s="222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  <c r="AB38" s="175"/>
      <c r="AC38" s="175"/>
      <c r="AD38" s="175"/>
      <c r="AE38" s="175"/>
      <c r="AF38" s="175"/>
      <c r="AG38" s="175"/>
      <c r="AH38" s="175"/>
      <c r="AI38" s="175"/>
      <c r="AJ38" s="175"/>
      <c r="AK38" s="175"/>
      <c r="AL38" s="175"/>
      <c r="AM38" s="175"/>
      <c r="AN38" s="175"/>
      <c r="AO38" s="175"/>
      <c r="AP38" s="175"/>
    </row>
    <row r="39" spans="2:42" ht="16">
      <c r="B39" s="219"/>
      <c r="C39" s="175"/>
      <c r="D39" s="175"/>
      <c r="E39" s="175"/>
      <c r="F39" s="227" t="s">
        <v>224</v>
      </c>
      <c r="G39" s="227" t="s">
        <v>225</v>
      </c>
      <c r="H39" s="227" t="s">
        <v>226</v>
      </c>
      <c r="I39" s="175"/>
      <c r="J39" s="175"/>
      <c r="K39" s="227" t="s">
        <v>224</v>
      </c>
      <c r="L39" s="227" t="s">
        <v>225</v>
      </c>
      <c r="M39" s="227" t="s">
        <v>226</v>
      </c>
      <c r="N39" s="175"/>
      <c r="O39" s="175"/>
      <c r="P39" s="228" t="s">
        <v>224</v>
      </c>
      <c r="Q39" s="228" t="s">
        <v>225</v>
      </c>
      <c r="R39" s="228" t="s">
        <v>226</v>
      </c>
      <c r="S39" s="175"/>
      <c r="T39" s="175"/>
      <c r="U39" s="228" t="s">
        <v>224</v>
      </c>
      <c r="V39" s="228" t="s">
        <v>225</v>
      </c>
      <c r="W39" s="228" t="s">
        <v>226</v>
      </c>
      <c r="X39" s="175"/>
      <c r="Y39" s="175"/>
      <c r="Z39" s="228" t="s">
        <v>224</v>
      </c>
      <c r="AA39" s="228" t="s">
        <v>225</v>
      </c>
      <c r="AB39" s="228" t="s">
        <v>226</v>
      </c>
      <c r="AC39" s="175"/>
      <c r="AD39" s="175"/>
      <c r="AE39" s="228" t="s">
        <v>224</v>
      </c>
      <c r="AF39" s="228" t="s">
        <v>225</v>
      </c>
      <c r="AG39" s="228" t="s">
        <v>226</v>
      </c>
      <c r="AH39" s="228"/>
      <c r="AI39" s="175"/>
      <c r="AJ39" s="228" t="s">
        <v>224</v>
      </c>
      <c r="AK39" s="228" t="s">
        <v>225</v>
      </c>
      <c r="AL39" s="228" t="s">
        <v>226</v>
      </c>
      <c r="AM39" s="228"/>
      <c r="AN39" s="228"/>
      <c r="AO39" s="228"/>
      <c r="AP39" s="228"/>
    </row>
    <row r="40" spans="2:42" ht="16">
      <c r="B40" s="219"/>
      <c r="C40" s="175"/>
      <c r="D40" s="175"/>
      <c r="E40" s="175"/>
      <c r="F40" s="229"/>
      <c r="G40" s="230"/>
      <c r="H40" s="231">
        <f t="shared" ref="H40:H48" si="7">IF(G40&lt;H$35,F40-((F40*G40)/H$35),0)</f>
        <v>0</v>
      </c>
      <c r="I40" s="175"/>
      <c r="J40" s="175"/>
      <c r="K40" s="229"/>
      <c r="L40" s="230"/>
      <c r="M40" s="231">
        <f>IF(L40&lt;M$35,K40-((K40*L40)/M$35),0)</f>
        <v>0</v>
      </c>
      <c r="N40" s="175"/>
      <c r="O40" s="175"/>
      <c r="P40" s="229"/>
      <c r="Q40" s="230"/>
      <c r="R40" s="231">
        <f>IF(Q40&lt;R$35,P40-((P40*Q40)/R$35),0)</f>
        <v>0</v>
      </c>
      <c r="S40" s="175"/>
      <c r="T40" s="175"/>
      <c r="U40" s="229"/>
      <c r="V40" s="230"/>
      <c r="W40" s="231">
        <f>IF(V40&lt;W$35,U40-((U40*V40)/W$35),0)</f>
        <v>0</v>
      </c>
      <c r="X40" s="175"/>
      <c r="Y40" s="175"/>
      <c r="Z40" s="229"/>
      <c r="AA40" s="230"/>
      <c r="AB40" s="231">
        <f>IF(AA40&lt;AB$35,Z40-((Z40*AA40)/AB$35),0)</f>
        <v>0</v>
      </c>
      <c r="AC40" s="175"/>
      <c r="AD40" s="175"/>
      <c r="AE40" s="229"/>
      <c r="AF40" s="230"/>
      <c r="AG40" s="231">
        <f>IF(AF40&lt;AG$35,AE40-((AE40*AF40)/AG$35),0)</f>
        <v>0</v>
      </c>
      <c r="AH40" s="231"/>
      <c r="AI40" s="175"/>
      <c r="AJ40" s="229"/>
      <c r="AK40" s="230"/>
      <c r="AL40" s="231">
        <f>IF(AK40&lt;AL$35,AJ40-((AJ40*AK40)/AL$35),0)</f>
        <v>0</v>
      </c>
      <c r="AM40" s="231"/>
      <c r="AN40" s="231"/>
      <c r="AO40" s="231"/>
      <c r="AP40" s="231"/>
    </row>
    <row r="41" spans="2:42" ht="16">
      <c r="B41" s="219"/>
      <c r="C41" s="175"/>
      <c r="D41" s="175"/>
      <c r="E41" s="175"/>
      <c r="F41" s="229"/>
      <c r="G41" s="230"/>
      <c r="H41" s="231">
        <f t="shared" si="7"/>
        <v>0</v>
      </c>
      <c r="I41" s="175"/>
      <c r="J41" s="175"/>
      <c r="K41" s="229"/>
      <c r="L41" s="230"/>
      <c r="M41" s="231">
        <f t="shared" ref="M41:M45" si="8">IF(L41&lt;M$35,K41-((K41*L41)/M$35),0)</f>
        <v>0</v>
      </c>
      <c r="N41" s="175"/>
      <c r="O41" s="175"/>
      <c r="P41" s="229"/>
      <c r="Q41" s="230"/>
      <c r="R41" s="231">
        <f t="shared" ref="R41:R45" si="9">IF(Q41&lt;R$35,P41-((P41*Q41)/R$35),0)</f>
        <v>0</v>
      </c>
      <c r="S41" s="175"/>
      <c r="T41" s="175"/>
      <c r="U41" s="229"/>
      <c r="V41" s="230"/>
      <c r="W41" s="231">
        <f t="shared" ref="W41:W45" si="10">IF(V41&lt;W$35,U41-((U41*V41)/W$35),0)</f>
        <v>0</v>
      </c>
      <c r="X41" s="175"/>
      <c r="Y41" s="175"/>
      <c r="Z41" s="229"/>
      <c r="AA41" s="230"/>
      <c r="AB41" s="231">
        <f t="shared" ref="AB41:AB45" si="11">IF(AA41&lt;AB$35,Z41-((Z41*AA41)/AB$35),0)</f>
        <v>0</v>
      </c>
      <c r="AC41" s="175"/>
      <c r="AD41" s="175"/>
      <c r="AE41" s="229"/>
      <c r="AF41" s="230"/>
      <c r="AG41" s="231">
        <f t="shared" ref="AG41:AG45" si="12">IF(AF41&lt;AG$35,AE41-((AE41*AF41)/AG$35),0)</f>
        <v>0</v>
      </c>
      <c r="AH41" s="231"/>
      <c r="AI41" s="175"/>
      <c r="AJ41" s="229"/>
      <c r="AK41" s="230"/>
      <c r="AL41" s="231">
        <f t="shared" ref="AL41:AL45" si="13">IF(AK41&lt;AL$35,AJ41-((AJ41*AK41)/AL$35),0)</f>
        <v>0</v>
      </c>
      <c r="AM41" s="231"/>
      <c r="AN41" s="231"/>
      <c r="AO41" s="231"/>
      <c r="AP41" s="231"/>
    </row>
    <row r="42" spans="2:42" ht="16">
      <c r="B42" s="219"/>
      <c r="C42" s="175"/>
      <c r="D42" s="175"/>
      <c r="E42" s="175"/>
      <c r="F42" s="229"/>
      <c r="G42" s="230"/>
      <c r="H42" s="231">
        <f t="shared" si="7"/>
        <v>0</v>
      </c>
      <c r="I42" s="175"/>
      <c r="J42" s="175"/>
      <c r="K42" s="229"/>
      <c r="L42" s="230"/>
      <c r="M42" s="231">
        <f t="shared" si="8"/>
        <v>0</v>
      </c>
      <c r="N42" s="175"/>
      <c r="O42" s="175"/>
      <c r="P42" s="229"/>
      <c r="Q42" s="230"/>
      <c r="R42" s="231">
        <f t="shared" si="9"/>
        <v>0</v>
      </c>
      <c r="S42" s="175"/>
      <c r="T42" s="175"/>
      <c r="U42" s="229"/>
      <c r="V42" s="230"/>
      <c r="W42" s="231">
        <f t="shared" si="10"/>
        <v>0</v>
      </c>
      <c r="X42" s="175"/>
      <c r="Y42" s="175"/>
      <c r="Z42" s="229"/>
      <c r="AA42" s="230"/>
      <c r="AB42" s="231">
        <f t="shared" si="11"/>
        <v>0</v>
      </c>
      <c r="AC42" s="175"/>
      <c r="AD42" s="175"/>
      <c r="AE42" s="229"/>
      <c r="AF42" s="230"/>
      <c r="AG42" s="231">
        <f t="shared" si="12"/>
        <v>0</v>
      </c>
      <c r="AH42" s="231"/>
      <c r="AI42" s="175"/>
      <c r="AJ42" s="229"/>
      <c r="AK42" s="230"/>
      <c r="AL42" s="231">
        <f t="shared" si="13"/>
        <v>0</v>
      </c>
      <c r="AM42" s="231"/>
      <c r="AN42" s="231"/>
      <c r="AO42" s="231"/>
      <c r="AP42" s="231"/>
    </row>
    <row r="43" spans="2:42" ht="16">
      <c r="B43" s="219"/>
      <c r="C43" s="175"/>
      <c r="D43" s="175"/>
      <c r="E43" s="175"/>
      <c r="F43" s="229"/>
      <c r="G43" s="230"/>
      <c r="H43" s="231">
        <f t="shared" si="7"/>
        <v>0</v>
      </c>
      <c r="I43" s="175"/>
      <c r="J43" s="175"/>
      <c r="K43" s="229"/>
      <c r="L43" s="230"/>
      <c r="M43" s="231">
        <f t="shared" si="8"/>
        <v>0</v>
      </c>
      <c r="N43" s="175"/>
      <c r="O43" s="175"/>
      <c r="P43" s="229"/>
      <c r="Q43" s="230"/>
      <c r="R43" s="231">
        <f t="shared" si="9"/>
        <v>0</v>
      </c>
      <c r="S43" s="175"/>
      <c r="T43" s="175"/>
      <c r="U43" s="229"/>
      <c r="V43" s="230"/>
      <c r="W43" s="231">
        <f t="shared" si="10"/>
        <v>0</v>
      </c>
      <c r="X43" s="175"/>
      <c r="Y43" s="175"/>
      <c r="Z43" s="229"/>
      <c r="AA43" s="230"/>
      <c r="AB43" s="231">
        <f t="shared" si="11"/>
        <v>0</v>
      </c>
      <c r="AC43" s="175"/>
      <c r="AD43" s="175"/>
      <c r="AE43" s="229"/>
      <c r="AF43" s="230"/>
      <c r="AG43" s="231">
        <f t="shared" si="12"/>
        <v>0</v>
      </c>
      <c r="AH43" s="231"/>
      <c r="AI43" s="175"/>
      <c r="AJ43" s="229"/>
      <c r="AK43" s="230"/>
      <c r="AL43" s="231">
        <f t="shared" si="13"/>
        <v>0</v>
      </c>
      <c r="AM43" s="231"/>
      <c r="AN43" s="231"/>
      <c r="AO43" s="231"/>
      <c r="AP43" s="231"/>
    </row>
    <row r="44" spans="2:42" ht="16">
      <c r="B44" s="219"/>
      <c r="C44" s="175"/>
      <c r="D44" s="175"/>
      <c r="E44" s="175"/>
      <c r="F44" s="229"/>
      <c r="G44" s="230"/>
      <c r="H44" s="231">
        <f t="shared" si="7"/>
        <v>0</v>
      </c>
      <c r="I44" s="175"/>
      <c r="J44" s="175"/>
      <c r="K44" s="229"/>
      <c r="L44" s="230"/>
      <c r="M44" s="231">
        <f t="shared" si="8"/>
        <v>0</v>
      </c>
      <c r="N44" s="175"/>
      <c r="O44" s="175"/>
      <c r="P44" s="229"/>
      <c r="Q44" s="230"/>
      <c r="R44" s="231">
        <f t="shared" si="9"/>
        <v>0</v>
      </c>
      <c r="S44" s="175"/>
      <c r="T44" s="175"/>
      <c r="U44" s="229"/>
      <c r="V44" s="230"/>
      <c r="W44" s="231">
        <f t="shared" si="10"/>
        <v>0</v>
      </c>
      <c r="X44" s="175"/>
      <c r="Y44" s="175"/>
      <c r="Z44" s="229"/>
      <c r="AA44" s="230"/>
      <c r="AB44" s="231">
        <f t="shared" si="11"/>
        <v>0</v>
      </c>
      <c r="AC44" s="175"/>
      <c r="AD44" s="175"/>
      <c r="AE44" s="229"/>
      <c r="AF44" s="230"/>
      <c r="AG44" s="231">
        <f t="shared" si="12"/>
        <v>0</v>
      </c>
      <c r="AH44" s="231"/>
      <c r="AI44" s="175"/>
      <c r="AJ44" s="229"/>
      <c r="AK44" s="230"/>
      <c r="AL44" s="231">
        <f t="shared" si="13"/>
        <v>0</v>
      </c>
      <c r="AM44" s="231"/>
      <c r="AN44" s="231"/>
      <c r="AO44" s="231"/>
      <c r="AP44" s="231"/>
    </row>
    <row r="45" spans="2:42" ht="16">
      <c r="B45" s="219"/>
      <c r="C45" s="175"/>
      <c r="D45" s="175"/>
      <c r="E45" s="175"/>
      <c r="F45" s="229"/>
      <c r="G45" s="230"/>
      <c r="H45" s="231">
        <f t="shared" si="7"/>
        <v>0</v>
      </c>
      <c r="I45" s="175"/>
      <c r="J45" s="175"/>
      <c r="K45" s="229"/>
      <c r="L45" s="230"/>
      <c r="M45" s="231">
        <f t="shared" si="8"/>
        <v>0</v>
      </c>
      <c r="N45" s="175"/>
      <c r="O45" s="175"/>
      <c r="P45" s="229"/>
      <c r="Q45" s="230"/>
      <c r="R45" s="231">
        <f t="shared" si="9"/>
        <v>0</v>
      </c>
      <c r="S45" s="175"/>
      <c r="T45" s="175"/>
      <c r="U45" s="229"/>
      <c r="V45" s="230"/>
      <c r="W45" s="231">
        <f t="shared" si="10"/>
        <v>0</v>
      </c>
      <c r="X45" s="175"/>
      <c r="Y45" s="175"/>
      <c r="Z45" s="229"/>
      <c r="AA45" s="230"/>
      <c r="AB45" s="231">
        <f t="shared" si="11"/>
        <v>0</v>
      </c>
      <c r="AC45" s="175"/>
      <c r="AD45" s="175"/>
      <c r="AE45" s="229"/>
      <c r="AF45" s="230"/>
      <c r="AG45" s="231">
        <f t="shared" si="12"/>
        <v>0</v>
      </c>
      <c r="AH45" s="231"/>
      <c r="AI45" s="175"/>
      <c r="AJ45" s="229"/>
      <c r="AK45" s="230"/>
      <c r="AL45" s="231">
        <f t="shared" si="13"/>
        <v>0</v>
      </c>
      <c r="AM45" s="231"/>
      <c r="AN45" s="231"/>
      <c r="AO45" s="231"/>
      <c r="AP45" s="231"/>
    </row>
    <row r="46" spans="2:42" ht="16">
      <c r="B46" s="219"/>
      <c r="C46" s="175"/>
      <c r="D46" s="175"/>
      <c r="E46" s="175"/>
      <c r="F46" s="229"/>
      <c r="G46" s="230"/>
      <c r="H46" s="231">
        <f t="shared" si="7"/>
        <v>0</v>
      </c>
      <c r="I46" s="175"/>
      <c r="J46" s="175"/>
      <c r="K46" s="229"/>
      <c r="L46" s="230"/>
      <c r="M46" s="231">
        <f>IF(L46&lt;M$35,K46-((K46*L46)/M$35),0)</f>
        <v>0</v>
      </c>
      <c r="N46" s="175"/>
      <c r="O46" s="175"/>
      <c r="P46" s="229"/>
      <c r="Q46" s="230"/>
      <c r="R46" s="231">
        <f>IF(Q46&lt;R$35,P46-((P46*Q46)/R$35),0)</f>
        <v>0</v>
      </c>
      <c r="S46" s="175"/>
      <c r="T46" s="175"/>
      <c r="U46" s="229"/>
      <c r="V46" s="230"/>
      <c r="W46" s="231">
        <f>IF(V46&lt;W$35,U46-((U46*V46)/W$35),0)</f>
        <v>0</v>
      </c>
      <c r="X46" s="175"/>
      <c r="Y46" s="175"/>
      <c r="Z46" s="229"/>
      <c r="AA46" s="230"/>
      <c r="AB46" s="231">
        <f>IF(AA46&lt;AB$35,Z46-((Z46*AA46)/AB$35),0)</f>
        <v>0</v>
      </c>
      <c r="AC46" s="175"/>
      <c r="AD46" s="175"/>
      <c r="AE46" s="229"/>
      <c r="AF46" s="230"/>
      <c r="AG46" s="231">
        <f>IF(AF46&lt;AG$35,AE46-((AE46*AF46)/AG$35),0)</f>
        <v>0</v>
      </c>
      <c r="AH46" s="231"/>
      <c r="AI46" s="175"/>
      <c r="AJ46" s="229"/>
      <c r="AK46" s="230"/>
      <c r="AL46" s="231">
        <f>IF(AK46&lt;AL$35,AJ46-((AJ46*AK46)/AL$35),0)</f>
        <v>0</v>
      </c>
      <c r="AM46" s="231"/>
      <c r="AN46" s="231"/>
      <c r="AO46" s="231"/>
      <c r="AP46" s="231"/>
    </row>
    <row r="47" spans="2:42" ht="16">
      <c r="B47" s="219"/>
      <c r="C47" s="175"/>
      <c r="D47" s="175"/>
      <c r="E47" s="175"/>
      <c r="F47" s="229"/>
      <c r="G47" s="230"/>
      <c r="H47" s="231">
        <f t="shared" si="7"/>
        <v>0</v>
      </c>
      <c r="I47" s="175"/>
      <c r="J47" s="175"/>
      <c r="K47" s="229"/>
      <c r="L47" s="230"/>
      <c r="M47" s="231">
        <f t="shared" ref="M47:M48" si="14">IF(L47&lt;M$35,K47-((K47*L47)/M$35),0)</f>
        <v>0</v>
      </c>
      <c r="N47" s="175"/>
      <c r="O47" s="175"/>
      <c r="P47" s="229"/>
      <c r="Q47" s="230"/>
      <c r="R47" s="231">
        <f t="shared" ref="R47:R48" si="15">IF(Q47&lt;R$35,P47-((P47*Q47)/R$35),0)</f>
        <v>0</v>
      </c>
      <c r="S47" s="175"/>
      <c r="T47" s="175"/>
      <c r="U47" s="229"/>
      <c r="V47" s="230"/>
      <c r="W47" s="231">
        <f t="shared" ref="W47:W48" si="16">IF(V47&lt;W$35,U47-((U47*V47)/W$35),0)</f>
        <v>0</v>
      </c>
      <c r="X47" s="175"/>
      <c r="Y47" s="175"/>
      <c r="Z47" s="229"/>
      <c r="AA47" s="230"/>
      <c r="AB47" s="231">
        <f t="shared" ref="AB47:AB48" si="17">IF(AA47&lt;AB$35,Z47-((Z47*AA47)/AB$35),0)</f>
        <v>0</v>
      </c>
      <c r="AC47" s="175"/>
      <c r="AD47" s="175"/>
      <c r="AE47" s="229"/>
      <c r="AF47" s="230"/>
      <c r="AG47" s="231">
        <f t="shared" ref="AG47:AG48" si="18">IF(AF47&lt;AG$35,AE47-((AE47*AF47)/AG$35),0)</f>
        <v>0</v>
      </c>
      <c r="AH47" s="231"/>
      <c r="AI47" s="175"/>
      <c r="AJ47" s="229"/>
      <c r="AK47" s="230"/>
      <c r="AL47" s="231">
        <f t="shared" ref="AL47:AL48" si="19">IF(AK47&lt;AL$35,AJ47-((AJ47*AK47)/AL$35),0)</f>
        <v>0</v>
      </c>
      <c r="AM47" s="231"/>
      <c r="AN47" s="231"/>
      <c r="AO47" s="231"/>
      <c r="AP47" s="231"/>
    </row>
    <row r="48" spans="2:42" ht="16">
      <c r="B48" s="219"/>
      <c r="C48" s="175"/>
      <c r="D48" s="175"/>
      <c r="E48" s="175"/>
      <c r="F48" s="229"/>
      <c r="G48" s="230"/>
      <c r="H48" s="231">
        <f t="shared" si="7"/>
        <v>0</v>
      </c>
      <c r="I48" s="231"/>
      <c r="J48" s="175"/>
      <c r="K48" s="229"/>
      <c r="L48" s="230"/>
      <c r="M48" s="231">
        <f t="shared" si="14"/>
        <v>0</v>
      </c>
      <c r="N48" s="175"/>
      <c r="O48" s="175"/>
      <c r="P48" s="229"/>
      <c r="Q48" s="230"/>
      <c r="R48" s="231">
        <f t="shared" si="15"/>
        <v>0</v>
      </c>
      <c r="S48" s="175"/>
      <c r="T48" s="175"/>
      <c r="U48" s="229"/>
      <c r="V48" s="230"/>
      <c r="W48" s="231">
        <f t="shared" si="16"/>
        <v>0</v>
      </c>
      <c r="X48" s="175"/>
      <c r="Y48" s="175"/>
      <c r="Z48" s="229"/>
      <c r="AA48" s="230"/>
      <c r="AB48" s="231">
        <f t="shared" si="17"/>
        <v>0</v>
      </c>
      <c r="AC48" s="175"/>
      <c r="AD48" s="175"/>
      <c r="AE48" s="229"/>
      <c r="AF48" s="230"/>
      <c r="AG48" s="231">
        <f t="shared" si="18"/>
        <v>0</v>
      </c>
      <c r="AH48" s="231"/>
      <c r="AI48" s="175"/>
      <c r="AJ48" s="229"/>
      <c r="AK48" s="230"/>
      <c r="AL48" s="231">
        <f t="shared" si="19"/>
        <v>0</v>
      </c>
      <c r="AM48" s="231"/>
      <c r="AN48" s="231"/>
      <c r="AO48" s="231"/>
      <c r="AP48" s="231"/>
    </row>
    <row r="49" spans="2:42" ht="16">
      <c r="B49" s="219"/>
      <c r="C49" s="175"/>
      <c r="D49" s="175"/>
      <c r="E49" s="175"/>
      <c r="F49" s="229"/>
      <c r="G49" s="230"/>
      <c r="H49" s="232"/>
      <c r="I49" s="175"/>
      <c r="J49" s="175"/>
      <c r="K49" s="229"/>
      <c r="L49" s="230"/>
      <c r="M49" s="232"/>
      <c r="N49" s="175"/>
      <c r="O49" s="175"/>
      <c r="P49" s="229"/>
      <c r="Q49" s="230"/>
      <c r="R49" s="232"/>
      <c r="S49" s="175"/>
      <c r="T49" s="175"/>
      <c r="U49" s="229"/>
      <c r="V49" s="230"/>
      <c r="W49" s="232"/>
      <c r="X49" s="175"/>
      <c r="Y49" s="175"/>
      <c r="Z49" s="229"/>
      <c r="AA49" s="230"/>
      <c r="AB49" s="232"/>
      <c r="AC49" s="175"/>
      <c r="AD49" s="175"/>
      <c r="AE49" s="229"/>
      <c r="AF49" s="230"/>
      <c r="AG49" s="232"/>
      <c r="AH49" s="232"/>
      <c r="AI49" s="175"/>
      <c r="AJ49" s="229"/>
      <c r="AK49" s="230"/>
      <c r="AL49" s="232"/>
      <c r="AM49" s="232"/>
      <c r="AN49" s="232"/>
      <c r="AO49" s="232"/>
      <c r="AP49" s="232"/>
    </row>
    <row r="50" spans="2:42" ht="16">
      <c r="B50" s="219"/>
      <c r="C50" s="222" t="s">
        <v>227</v>
      </c>
      <c r="D50" s="175"/>
      <c r="E50" s="233" t="s">
        <v>228</v>
      </c>
      <c r="F50" s="233" t="s">
        <v>229</v>
      </c>
      <c r="G50" s="233" t="s">
        <v>230</v>
      </c>
      <c r="H50" s="233" t="s">
        <v>226</v>
      </c>
      <c r="I50" s="175"/>
      <c r="J50" s="233" t="s">
        <v>228</v>
      </c>
      <c r="K50" s="233" t="s">
        <v>229</v>
      </c>
      <c r="L50" s="233" t="s">
        <v>230</v>
      </c>
      <c r="M50" s="233" t="s">
        <v>226</v>
      </c>
      <c r="N50" s="175"/>
      <c r="O50" s="233" t="s">
        <v>228</v>
      </c>
      <c r="P50" s="233" t="s">
        <v>229</v>
      </c>
      <c r="Q50" s="233" t="s">
        <v>230</v>
      </c>
      <c r="R50" s="233" t="s">
        <v>226</v>
      </c>
      <c r="S50" s="175"/>
      <c r="T50" s="233" t="s">
        <v>228</v>
      </c>
      <c r="U50" s="233" t="s">
        <v>229</v>
      </c>
      <c r="V50" s="233" t="s">
        <v>230</v>
      </c>
      <c r="W50" s="233" t="s">
        <v>226</v>
      </c>
      <c r="X50" s="175"/>
      <c r="Y50" s="233" t="s">
        <v>228</v>
      </c>
      <c r="Z50" s="233" t="s">
        <v>229</v>
      </c>
      <c r="AA50" s="233" t="s">
        <v>230</v>
      </c>
      <c r="AB50" s="233" t="s">
        <v>226</v>
      </c>
      <c r="AC50" s="175"/>
      <c r="AD50" s="233" t="s">
        <v>228</v>
      </c>
      <c r="AE50" s="233" t="s">
        <v>229</v>
      </c>
      <c r="AF50" s="233" t="s">
        <v>230</v>
      </c>
      <c r="AG50" s="233" t="s">
        <v>226</v>
      </c>
      <c r="AH50" s="234"/>
      <c r="AI50" s="233" t="s">
        <v>228</v>
      </c>
      <c r="AJ50" s="233" t="s">
        <v>229</v>
      </c>
      <c r="AK50" s="233" t="s">
        <v>230</v>
      </c>
      <c r="AL50" s="233" t="s">
        <v>226</v>
      </c>
      <c r="AM50" s="234"/>
      <c r="AN50" s="234"/>
      <c r="AO50" s="234"/>
      <c r="AP50" s="234"/>
    </row>
    <row r="51" spans="2:42" ht="16">
      <c r="B51" s="219"/>
      <c r="C51" s="175"/>
      <c r="D51" s="175"/>
      <c r="E51" s="235"/>
      <c r="F51" s="236"/>
      <c r="G51" s="224"/>
      <c r="H51" s="231">
        <f>IFERROR(IF(G51&gt;H$35,0,(+F51/G51)*E51/F51), 0)</f>
        <v>0</v>
      </c>
      <c r="I51" s="175"/>
      <c r="J51" s="235"/>
      <c r="K51" s="236"/>
      <c r="L51" s="224"/>
      <c r="M51" s="231">
        <f>IFERROR(IF(L51&gt;M$35,0,(+K51/L51)*J51/K51),0)</f>
        <v>0</v>
      </c>
      <c r="N51" s="175"/>
      <c r="O51" s="235"/>
      <c r="P51" s="236"/>
      <c r="Q51" s="224"/>
      <c r="R51" s="231">
        <f>IFERROR(IF(Q51&gt;R$35,0,(+P51/Q51)*O51/P51),0)</f>
        <v>0</v>
      </c>
      <c r="S51" s="237"/>
      <c r="T51" s="235"/>
      <c r="U51" s="236"/>
      <c r="V51" s="224"/>
      <c r="W51" s="231">
        <f>IFERROR(IF(V51&gt;W$35,0,(+U51/V51)*T51/U51),0)</f>
        <v>0</v>
      </c>
      <c r="X51" s="237"/>
      <c r="Y51" s="235"/>
      <c r="Z51" s="236"/>
      <c r="AA51" s="224"/>
      <c r="AB51" s="231">
        <f>IFERROR(IF(AA51&gt;AB$35,0,+Y51/AA51-(AB$35*(Y51/AA51)-Y51)*0.5/AB$35),0)</f>
        <v>0</v>
      </c>
      <c r="AC51" s="237"/>
      <c r="AD51" s="235"/>
      <c r="AE51" s="236"/>
      <c r="AF51" s="224"/>
      <c r="AG51" s="231">
        <f>IFERROR(IF(AF51&gt;AG$35,0,+AD51/AF51-(AG$35*(AD51/AF51)-AD51)*0.5/AG$35),0)</f>
        <v>0</v>
      </c>
      <c r="AH51" s="231"/>
      <c r="AI51" s="235"/>
      <c r="AJ51" s="236"/>
      <c r="AK51" s="224"/>
      <c r="AL51" s="231">
        <f>IFERROR(IF(AK51&gt;AL$35,0,+AI51/AK51-(AL$35*(AI51/AK51)-AI51)*0.5/AL$35),0)</f>
        <v>0</v>
      </c>
      <c r="AM51" s="231"/>
      <c r="AN51" s="231"/>
      <c r="AO51" s="231"/>
      <c r="AP51" s="231"/>
    </row>
    <row r="52" spans="2:42" ht="16">
      <c r="B52" s="219"/>
      <c r="C52" s="175"/>
      <c r="D52" s="175"/>
      <c r="E52" s="235"/>
      <c r="F52" s="236"/>
      <c r="G52" s="224"/>
      <c r="H52" s="231">
        <f>IFERROR(IF(G52&gt;H$35,0,(+F52/G52)*E52/F52),0)</f>
        <v>0</v>
      </c>
      <c r="I52" s="175"/>
      <c r="J52" s="235"/>
      <c r="K52" s="236"/>
      <c r="L52" s="224"/>
      <c r="M52" s="231">
        <f>IFERROR(IF(L52&gt;M$35,0,(+K52/L52)*J52/K52),0)</f>
        <v>0</v>
      </c>
      <c r="N52" s="175"/>
      <c r="O52" s="235"/>
      <c r="P52" s="236"/>
      <c r="Q52" s="224"/>
      <c r="R52" s="231">
        <f>IFERROR(IF(Q52&gt;R$35,0,(+P52/Q52)*O52/P52),0)</f>
        <v>0</v>
      </c>
      <c r="S52" s="175"/>
      <c r="T52" s="235"/>
      <c r="U52" s="236"/>
      <c r="V52" s="224"/>
      <c r="W52" s="231">
        <f>IFERROR(IF(V52&gt;W$35,0,(+U52/V52)*T52/U52),0)</f>
        <v>0</v>
      </c>
      <c r="X52" s="175"/>
      <c r="Y52" s="235"/>
      <c r="Z52" s="236"/>
      <c r="AA52" s="224"/>
      <c r="AB52" s="231">
        <f>IFERROR(IF(AA52&gt;AB$35,0,(+Z52/AA52)*Y52/Z52),0)</f>
        <v>0</v>
      </c>
      <c r="AC52" s="175"/>
      <c r="AD52" s="235"/>
      <c r="AE52" s="236"/>
      <c r="AF52" s="224"/>
      <c r="AG52" s="231">
        <f>IFERROR(IF(AF52&gt;AG$35,0,(+AE52/AF52)*AD52/AE52),0)</f>
        <v>0</v>
      </c>
      <c r="AH52" s="231"/>
      <c r="AI52" s="235"/>
      <c r="AJ52" s="236"/>
      <c r="AK52" s="224"/>
      <c r="AL52" s="231">
        <f>IFERROR(IF(AK52&gt;AL$35,0,(+AJ52/AK52)*AI52/AJ52),0)</f>
        <v>0</v>
      </c>
      <c r="AM52" s="231"/>
      <c r="AN52" s="231"/>
      <c r="AO52" s="231"/>
      <c r="AP52" s="231"/>
    </row>
    <row r="53" spans="2:42" ht="16">
      <c r="B53" s="219"/>
      <c r="C53" s="175"/>
      <c r="D53" s="175"/>
      <c r="E53" s="175"/>
      <c r="F53" s="229"/>
      <c r="G53" s="230"/>
      <c r="H53" s="232"/>
      <c r="I53" s="175"/>
      <c r="J53" s="175"/>
      <c r="K53" s="229"/>
      <c r="L53" s="230"/>
      <c r="M53" s="232"/>
      <c r="N53" s="175"/>
      <c r="O53" s="175"/>
      <c r="P53" s="229"/>
      <c r="Q53" s="230"/>
      <c r="R53" s="232"/>
      <c r="S53" s="175"/>
      <c r="T53" s="175"/>
      <c r="U53" s="229"/>
      <c r="V53" s="230"/>
      <c r="W53" s="232"/>
      <c r="X53" s="175"/>
      <c r="Y53" s="175"/>
      <c r="Z53" s="229"/>
      <c r="AA53" s="230"/>
      <c r="AB53" s="232"/>
      <c r="AC53" s="175"/>
      <c r="AD53" s="175"/>
      <c r="AE53" s="229"/>
      <c r="AF53" s="230"/>
      <c r="AG53" s="232"/>
      <c r="AH53" s="232"/>
      <c r="AI53" s="175"/>
      <c r="AJ53" s="229"/>
      <c r="AK53" s="230"/>
      <c r="AL53" s="232"/>
      <c r="AM53" s="232"/>
      <c r="AN53" s="232"/>
      <c r="AO53" s="232"/>
      <c r="AP53" s="232"/>
    </row>
    <row r="54" spans="2:42" ht="16">
      <c r="B54" s="219"/>
      <c r="C54" s="175"/>
      <c r="D54" s="175"/>
      <c r="E54" s="175"/>
      <c r="F54" s="229"/>
      <c r="G54" s="228" t="s">
        <v>231</v>
      </c>
      <c r="H54" s="228" t="s">
        <v>226</v>
      </c>
      <c r="I54" s="175"/>
      <c r="J54" s="175"/>
      <c r="K54" s="229"/>
      <c r="L54" s="228" t="s">
        <v>231</v>
      </c>
      <c r="M54" s="228" t="s">
        <v>226</v>
      </c>
      <c r="N54" s="175"/>
      <c r="O54" s="175"/>
      <c r="P54" s="229"/>
      <c r="Q54" s="228" t="s">
        <v>231</v>
      </c>
      <c r="R54" s="228" t="s">
        <v>226</v>
      </c>
      <c r="S54" s="175"/>
      <c r="T54" s="175"/>
      <c r="U54" s="229"/>
      <c r="V54" s="228" t="s">
        <v>231</v>
      </c>
      <c r="W54" s="228" t="s">
        <v>226</v>
      </c>
      <c r="X54" s="175"/>
      <c r="Y54" s="175"/>
      <c r="Z54" s="229"/>
      <c r="AA54" s="228" t="s">
        <v>231</v>
      </c>
      <c r="AB54" s="228" t="s">
        <v>226</v>
      </c>
      <c r="AC54" s="175"/>
      <c r="AD54" s="175"/>
      <c r="AE54" s="229"/>
      <c r="AF54" s="228" t="s">
        <v>231</v>
      </c>
      <c r="AG54" s="228" t="s">
        <v>226</v>
      </c>
      <c r="AH54" s="228"/>
      <c r="AI54" s="175"/>
      <c r="AJ54" s="229"/>
      <c r="AK54" s="228" t="s">
        <v>231</v>
      </c>
      <c r="AL54" s="228" t="s">
        <v>226</v>
      </c>
      <c r="AM54" s="228"/>
      <c r="AN54" s="228"/>
      <c r="AO54" s="228"/>
      <c r="AP54" s="228"/>
    </row>
    <row r="55" spans="2:42" ht="16">
      <c r="B55" s="219"/>
      <c r="C55" s="222" t="s">
        <v>232</v>
      </c>
      <c r="D55" s="175"/>
      <c r="E55" s="175"/>
      <c r="F55" s="229"/>
      <c r="G55" s="229">
        <f>(321+105+91+71)/Units</f>
        <v>0.58799999999999997</v>
      </c>
      <c r="H55" s="231">
        <f>+G55</f>
        <v>0.58799999999999997</v>
      </c>
      <c r="I55" s="231"/>
      <c r="J55" s="175"/>
      <c r="K55" s="229"/>
      <c r="L55" s="229">
        <v>0</v>
      </c>
      <c r="M55" s="231">
        <f>+L55</f>
        <v>0</v>
      </c>
      <c r="N55" s="175"/>
      <c r="O55" s="175"/>
      <c r="P55" s="229"/>
      <c r="Q55" s="229">
        <v>0</v>
      </c>
      <c r="R55" s="231">
        <f>+Q55</f>
        <v>0</v>
      </c>
      <c r="S55" s="175"/>
      <c r="T55" s="175"/>
      <c r="U55" s="229"/>
      <c r="V55" s="229">
        <v>2</v>
      </c>
      <c r="W55" s="231">
        <f>+V55</f>
        <v>2</v>
      </c>
      <c r="X55" s="175"/>
      <c r="Y55" s="175"/>
      <c r="Z55" s="229"/>
      <c r="AA55" s="229">
        <f>(3470929+976862+513318)/AB36/1000000</f>
        <v>0.37470611782477342</v>
      </c>
      <c r="AB55" s="231">
        <f>+AA55</f>
        <v>0.37470611782477342</v>
      </c>
      <c r="AC55" s="175"/>
      <c r="AD55" s="175"/>
      <c r="AE55" s="229"/>
      <c r="AF55" s="229">
        <f>(8164661+1555793+809887+769882+769882)/AG36/1000000</f>
        <v>2.3574423828125002</v>
      </c>
      <c r="AG55" s="231">
        <f>+AF55</f>
        <v>2.3574423828125002</v>
      </c>
      <c r="AH55" s="231"/>
      <c r="AI55" s="175"/>
      <c r="AJ55" s="229"/>
      <c r="AK55" s="229">
        <v>0</v>
      </c>
      <c r="AL55" s="231">
        <f>+AK55</f>
        <v>0</v>
      </c>
      <c r="AM55" s="231"/>
      <c r="AN55" s="231"/>
      <c r="AO55" s="231"/>
      <c r="AP55" s="231"/>
    </row>
    <row r="56" spans="2:42" ht="16">
      <c r="B56" s="219"/>
      <c r="C56" s="222"/>
      <c r="D56" s="175"/>
      <c r="E56" s="175"/>
      <c r="F56" s="229"/>
      <c r="G56" s="229"/>
      <c r="H56" s="229"/>
      <c r="I56" s="175"/>
      <c r="J56" s="175"/>
      <c r="K56" s="229"/>
      <c r="L56" s="229"/>
      <c r="M56" s="229"/>
      <c r="N56" s="175"/>
      <c r="O56" s="175"/>
      <c r="P56" s="229"/>
      <c r="Q56" s="229"/>
      <c r="R56" s="229"/>
      <c r="S56" s="175"/>
      <c r="T56" s="175"/>
      <c r="U56" s="229"/>
      <c r="V56" s="229"/>
      <c r="W56" s="229"/>
      <c r="X56" s="175"/>
      <c r="Y56" s="175"/>
      <c r="Z56" s="229"/>
      <c r="AA56" s="229"/>
      <c r="AB56" s="229"/>
      <c r="AC56" s="175"/>
      <c r="AD56" s="175"/>
      <c r="AE56" s="229"/>
      <c r="AF56" s="229"/>
      <c r="AG56" s="229"/>
      <c r="AH56" s="229"/>
      <c r="AI56" s="175"/>
      <c r="AJ56" s="229"/>
      <c r="AK56" s="229"/>
      <c r="AL56" s="229"/>
      <c r="AM56" s="229"/>
      <c r="AN56" s="229"/>
      <c r="AO56" s="229"/>
      <c r="AP56" s="229"/>
    </row>
    <row r="57" spans="2:42" ht="16">
      <c r="B57" s="219"/>
      <c r="C57" s="222" t="s">
        <v>233</v>
      </c>
      <c r="D57" s="222"/>
      <c r="E57" s="175"/>
      <c r="F57" s="175"/>
      <c r="G57" s="175"/>
      <c r="H57" s="238">
        <f>+H55+SUM(H40:H48)+SUM(H51:H52)+H37</f>
        <v>227.97799999999998</v>
      </c>
      <c r="I57" s="175"/>
      <c r="J57" s="175"/>
      <c r="K57" s="175"/>
      <c r="L57" s="175"/>
      <c r="M57" s="238">
        <f>+M55+SUM(M40:M48)+SUM(M51:M52)+M37</f>
        <v>455.5</v>
      </c>
      <c r="N57" s="175"/>
      <c r="O57" s="175"/>
      <c r="P57" s="175"/>
      <c r="Q57" s="175"/>
      <c r="R57" s="238">
        <f>+R55+SUM(R40:R48)+SUM(R51:R52)+R37</f>
        <v>54.5</v>
      </c>
      <c r="S57" s="175"/>
      <c r="T57" s="175"/>
      <c r="U57" s="175"/>
      <c r="V57" s="175"/>
      <c r="W57" s="238">
        <f>+W55+SUM(W40:W48)+SUM(W51:W52)+W37</f>
        <v>65.5</v>
      </c>
      <c r="X57" s="175"/>
      <c r="Y57" s="175"/>
      <c r="Z57" s="175"/>
      <c r="AA57" s="175"/>
      <c r="AB57" s="238">
        <f>+AB55+SUM(AB40:AB48)+SUM(AB51:AB52)+AB37</f>
        <v>78.274706117824778</v>
      </c>
      <c r="AC57" s="175"/>
      <c r="AD57" s="175"/>
      <c r="AE57" s="175"/>
      <c r="AF57" s="175"/>
      <c r="AG57" s="238">
        <f>+AG55+SUM(AG40:AG48)+SUM(AG51:AG52)+AG37</f>
        <v>227.5574423828125</v>
      </c>
      <c r="AH57" s="238"/>
      <c r="AI57" s="175"/>
      <c r="AJ57" s="175"/>
      <c r="AK57" s="175"/>
      <c r="AL57" s="238">
        <f>+AL55+SUM(AL40:AL48)+SUM(AL51:AL52)+AL37</f>
        <v>53.2</v>
      </c>
      <c r="AM57" s="238"/>
      <c r="AN57" s="238"/>
      <c r="AO57" s="238"/>
      <c r="AP57" s="238"/>
    </row>
    <row r="58" spans="2:42" ht="16">
      <c r="B58" s="219"/>
      <c r="C58" s="175"/>
      <c r="D58" s="175"/>
      <c r="E58" s="175"/>
      <c r="F58" s="175"/>
      <c r="G58" s="175"/>
      <c r="H58" s="175"/>
      <c r="I58" s="175"/>
      <c r="J58" s="175"/>
      <c r="K58" s="175"/>
      <c r="L58" s="175"/>
      <c r="M58" s="175"/>
      <c r="N58" s="175"/>
      <c r="O58" s="175"/>
      <c r="P58" s="175"/>
      <c r="Q58" s="175"/>
      <c r="R58" s="232"/>
      <c r="S58" s="175"/>
      <c r="T58" s="175"/>
      <c r="U58" s="175"/>
      <c r="V58" s="175"/>
      <c r="W58" s="175"/>
      <c r="X58" s="175"/>
      <c r="Y58" s="175"/>
      <c r="Z58" s="175"/>
      <c r="AA58" s="175"/>
      <c r="AB58" s="175"/>
      <c r="AC58" s="175"/>
      <c r="AD58" s="175"/>
      <c r="AE58" s="175"/>
      <c r="AF58" s="175"/>
      <c r="AG58" s="175"/>
      <c r="AH58" s="175"/>
      <c r="AI58" s="175"/>
      <c r="AJ58" s="175"/>
      <c r="AK58" s="175"/>
      <c r="AL58" s="175"/>
      <c r="AM58" s="175"/>
      <c r="AN58" s="175"/>
      <c r="AO58" s="175"/>
      <c r="AP58" s="175"/>
    </row>
    <row r="59" spans="2:42" ht="16">
      <c r="B59" s="219"/>
      <c r="C59" s="175"/>
      <c r="D59" s="175"/>
      <c r="E59" s="208" t="s">
        <v>234</v>
      </c>
      <c r="F59" s="215"/>
      <c r="G59" s="215"/>
      <c r="H59" s="215"/>
      <c r="I59" s="175"/>
      <c r="J59" s="208" t="s">
        <v>234</v>
      </c>
      <c r="K59" s="215"/>
      <c r="L59" s="215"/>
      <c r="M59" s="215"/>
      <c r="N59" s="175"/>
      <c r="O59" s="208" t="s">
        <v>234</v>
      </c>
      <c r="P59" s="215"/>
      <c r="Q59" s="215"/>
      <c r="R59" s="215"/>
      <c r="S59" s="175"/>
      <c r="T59" s="208" t="s">
        <v>234</v>
      </c>
      <c r="U59" s="215"/>
      <c r="V59" s="215"/>
      <c r="W59" s="215"/>
      <c r="X59" s="175"/>
      <c r="Y59" s="208" t="s">
        <v>234</v>
      </c>
      <c r="Z59" s="215"/>
      <c r="AA59" s="215"/>
      <c r="AB59" s="215"/>
      <c r="AC59" s="175"/>
      <c r="AD59" s="208" t="s">
        <v>234</v>
      </c>
      <c r="AE59" s="215"/>
      <c r="AF59" s="215"/>
      <c r="AG59" s="215"/>
      <c r="AH59" s="221"/>
      <c r="AI59" s="208" t="s">
        <v>234</v>
      </c>
      <c r="AJ59" s="215"/>
      <c r="AK59" s="215"/>
      <c r="AL59" s="215"/>
      <c r="AM59" s="221"/>
      <c r="AN59" s="221"/>
      <c r="AO59" s="221"/>
      <c r="AP59" s="221"/>
    </row>
    <row r="60" spans="2:42" ht="16">
      <c r="B60" s="219"/>
      <c r="C60" s="175"/>
      <c r="D60" s="175"/>
      <c r="E60" s="223"/>
      <c r="F60" s="181"/>
      <c r="G60" s="181"/>
      <c r="H60" s="239"/>
      <c r="I60" s="175"/>
      <c r="J60" s="223"/>
      <c r="K60" s="181"/>
      <c r="L60" s="181"/>
      <c r="M60" s="181"/>
      <c r="N60" s="175"/>
      <c r="O60" s="223"/>
      <c r="P60" s="181"/>
      <c r="Q60" s="181"/>
      <c r="R60" s="181"/>
      <c r="S60" s="175"/>
      <c r="T60" s="223"/>
      <c r="U60" s="181"/>
      <c r="V60" s="181"/>
      <c r="W60" s="181"/>
      <c r="X60" s="175"/>
      <c r="Y60" s="223"/>
      <c r="Z60" s="181"/>
      <c r="AA60" s="181"/>
      <c r="AB60" s="181"/>
      <c r="AC60" s="175"/>
      <c r="AD60" s="223"/>
      <c r="AE60" s="181"/>
      <c r="AF60" s="181"/>
      <c r="AG60" s="181"/>
      <c r="AH60" s="181"/>
      <c r="AI60" s="223"/>
      <c r="AJ60" s="181"/>
      <c r="AK60" s="181"/>
      <c r="AL60" s="181"/>
      <c r="AM60" s="181"/>
      <c r="AN60" s="181"/>
      <c r="AO60" s="181"/>
      <c r="AP60" s="181"/>
    </row>
    <row r="61" spans="2:42" ht="16">
      <c r="B61" s="219"/>
      <c r="C61" s="175" t="s">
        <v>235</v>
      </c>
      <c r="D61" s="175"/>
      <c r="E61" s="223"/>
      <c r="F61" s="181"/>
      <c r="G61" s="181"/>
      <c r="H61" s="240">
        <f>+H57*H36</f>
        <v>697.61267999999995</v>
      </c>
      <c r="I61" s="175"/>
      <c r="J61" s="223"/>
      <c r="K61" s="181"/>
      <c r="L61" s="181"/>
      <c r="M61" s="240">
        <f>+M57*M36</f>
        <v>38927.03</v>
      </c>
      <c r="N61" s="175"/>
      <c r="O61" s="223"/>
      <c r="P61" s="181"/>
      <c r="Q61" s="181"/>
      <c r="R61" s="240">
        <f>+R57*R36</f>
        <v>7721.56</v>
      </c>
      <c r="S61" s="175"/>
      <c r="T61" s="223"/>
      <c r="U61" s="181"/>
      <c r="V61" s="181"/>
      <c r="W61" s="240">
        <f>+W57*W36</f>
        <v>944.51</v>
      </c>
      <c r="X61" s="175"/>
      <c r="Y61" s="223"/>
      <c r="Z61" s="181"/>
      <c r="AA61" s="181"/>
      <c r="AB61" s="240">
        <f>+AB57*AB36</f>
        <v>1036.357109</v>
      </c>
      <c r="AC61" s="175"/>
      <c r="AD61" s="223"/>
      <c r="AE61" s="181"/>
      <c r="AF61" s="181"/>
      <c r="AG61" s="240">
        <f>+AG57*AG36</f>
        <v>1165.0941049999999</v>
      </c>
      <c r="AH61" s="240"/>
      <c r="AI61" s="223"/>
      <c r="AJ61" s="181"/>
      <c r="AK61" s="181"/>
      <c r="AL61" s="240">
        <f>+AL57*AL36</f>
        <v>985.79600000000016</v>
      </c>
      <c r="AM61" s="240"/>
      <c r="AN61" s="240"/>
      <c r="AO61" s="240"/>
      <c r="AP61" s="240"/>
    </row>
    <row r="62" spans="2:42" ht="16">
      <c r="B62" s="219"/>
      <c r="C62" s="175" t="s">
        <v>236</v>
      </c>
      <c r="D62" s="175"/>
      <c r="E62" s="175"/>
      <c r="F62" s="175"/>
      <c r="G62" s="175"/>
      <c r="H62" s="241">
        <f>+H61+SUM(H19:H27)</f>
        <v>608.83767999999998</v>
      </c>
      <c r="I62" s="175"/>
      <c r="J62" s="175"/>
      <c r="K62" s="175"/>
      <c r="L62" s="175"/>
      <c r="M62" s="241">
        <f>+M61+SUM(M19:M27)</f>
        <v>45893.03</v>
      </c>
      <c r="N62" s="175"/>
      <c r="O62" s="175"/>
      <c r="P62" s="175"/>
      <c r="Q62" s="175"/>
      <c r="R62" s="241">
        <f>+R61+SUM(R19:R27)</f>
        <v>8214.16</v>
      </c>
      <c r="S62" s="175"/>
      <c r="T62" s="175"/>
      <c r="U62" s="175"/>
      <c r="V62" s="175"/>
      <c r="W62" s="241">
        <f>+W61+SUM(W19:W27)</f>
        <v>439.91</v>
      </c>
      <c r="X62" s="175"/>
      <c r="Y62" s="175"/>
      <c r="Z62" s="175"/>
      <c r="AA62" s="175"/>
      <c r="AB62" s="241">
        <f>+AB61+SUM(AB19:AB27)</f>
        <v>2776.1571090000002</v>
      </c>
      <c r="AC62" s="175"/>
      <c r="AD62" s="175"/>
      <c r="AE62" s="175"/>
      <c r="AF62" s="175"/>
      <c r="AG62" s="241">
        <f>+AG61+SUM(AG19:AG27)</f>
        <v>753.79410499999994</v>
      </c>
      <c r="AH62" s="241"/>
      <c r="AI62" s="175"/>
      <c r="AJ62" s="175"/>
      <c r="AK62" s="175"/>
      <c r="AL62" s="241">
        <f>+AL61+SUM(AL19:AL27)</f>
        <v>828.59600000000012</v>
      </c>
      <c r="AM62" s="241"/>
      <c r="AN62" s="241"/>
      <c r="AO62" s="241"/>
      <c r="AP62" s="241"/>
    </row>
    <row r="63" spans="2:42" ht="16">
      <c r="B63" s="219"/>
      <c r="C63" s="175" t="s">
        <v>237</v>
      </c>
      <c r="D63" s="175"/>
      <c r="E63" s="175"/>
      <c r="F63" s="175"/>
      <c r="G63" s="175"/>
      <c r="H63" s="242">
        <v>2.2400000000000002</v>
      </c>
      <c r="I63" s="175"/>
      <c r="J63" s="175"/>
      <c r="K63" s="175"/>
      <c r="L63" s="175"/>
      <c r="M63" s="242">
        <v>1.27</v>
      </c>
      <c r="N63" s="175"/>
      <c r="O63" s="175"/>
      <c r="P63" s="175"/>
      <c r="Q63" s="175"/>
      <c r="R63" s="242">
        <v>1.26</v>
      </c>
      <c r="S63" s="175"/>
      <c r="T63" s="175"/>
      <c r="U63" s="175"/>
      <c r="V63" s="175"/>
      <c r="W63" s="242">
        <v>2.15</v>
      </c>
      <c r="X63" s="175"/>
      <c r="Y63" s="175"/>
      <c r="Z63" s="175"/>
      <c r="AA63" s="175"/>
      <c r="AB63" s="242">
        <v>1.08</v>
      </c>
      <c r="AC63" s="175"/>
      <c r="AD63" s="175"/>
      <c r="AE63" s="175"/>
      <c r="AF63" s="175"/>
      <c r="AG63" s="242">
        <v>1.78</v>
      </c>
      <c r="AH63" s="242"/>
      <c r="AI63" s="175"/>
      <c r="AJ63" s="175"/>
      <c r="AK63" s="175"/>
      <c r="AL63" s="242">
        <v>2.56</v>
      </c>
      <c r="AM63" s="242"/>
      <c r="AN63" s="242"/>
      <c r="AO63" s="242"/>
      <c r="AP63" s="242"/>
    </row>
    <row r="64" spans="2:42" ht="16">
      <c r="B64" s="219"/>
      <c r="C64" s="175"/>
      <c r="D64" s="175"/>
      <c r="E64" s="175"/>
      <c r="F64" s="175"/>
      <c r="G64" s="175"/>
      <c r="H64" s="175"/>
      <c r="I64" s="175"/>
      <c r="J64" s="175"/>
      <c r="K64" s="175"/>
      <c r="L64" s="175"/>
      <c r="M64" s="175"/>
      <c r="N64" s="175"/>
      <c r="O64" s="175"/>
      <c r="P64" s="175"/>
      <c r="Q64" s="175"/>
      <c r="R64" s="175"/>
      <c r="S64" s="175"/>
      <c r="T64" s="175"/>
      <c r="U64" s="175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5"/>
      <c r="AJ64" s="175"/>
      <c r="AK64" s="175"/>
      <c r="AL64" s="175"/>
      <c r="AM64" s="175"/>
      <c r="AN64" s="175"/>
      <c r="AO64" s="175"/>
      <c r="AP64" s="175"/>
    </row>
    <row r="65" spans="2:42" ht="16">
      <c r="B65" s="219"/>
      <c r="C65" s="175"/>
      <c r="D65" s="175"/>
      <c r="E65" s="208" t="s">
        <v>238</v>
      </c>
      <c r="F65" s="215"/>
      <c r="G65" s="215"/>
      <c r="H65" s="215"/>
      <c r="I65" s="175"/>
      <c r="J65" s="208" t="s">
        <v>238</v>
      </c>
      <c r="K65" s="215"/>
      <c r="L65" s="215"/>
      <c r="M65" s="215"/>
      <c r="N65" s="175"/>
      <c r="O65" s="208" t="s">
        <v>238</v>
      </c>
      <c r="P65" s="215"/>
      <c r="Q65" s="215"/>
      <c r="R65" s="215"/>
      <c r="S65" s="175"/>
      <c r="T65" s="208" t="s">
        <v>238</v>
      </c>
      <c r="U65" s="215"/>
      <c r="V65" s="215"/>
      <c r="W65" s="215"/>
      <c r="X65" s="175"/>
      <c r="Y65" s="208" t="s">
        <v>238</v>
      </c>
      <c r="Z65" s="215"/>
      <c r="AA65" s="215"/>
      <c r="AB65" s="215"/>
      <c r="AC65" s="175"/>
      <c r="AD65" s="208" t="s">
        <v>238</v>
      </c>
      <c r="AE65" s="215"/>
      <c r="AF65" s="215"/>
      <c r="AG65" s="215"/>
      <c r="AH65" s="221"/>
      <c r="AI65" s="208" t="s">
        <v>238</v>
      </c>
      <c r="AJ65" s="215"/>
      <c r="AK65" s="215"/>
      <c r="AL65" s="215"/>
      <c r="AM65" s="221"/>
      <c r="AN65" s="221"/>
      <c r="AO65" s="221"/>
      <c r="AP65" s="221"/>
    </row>
    <row r="66" spans="2:42" ht="16">
      <c r="B66" s="219"/>
      <c r="C66" s="175"/>
      <c r="D66" s="175"/>
      <c r="E66" s="243" t="str">
        <f>H7</f>
        <v>LTM</v>
      </c>
      <c r="F66" s="182">
        <f>E30</f>
        <v>46022</v>
      </c>
      <c r="G66" s="182">
        <f>F30</f>
        <v>46387</v>
      </c>
      <c r="H66" s="182">
        <f>G30</f>
        <v>46752</v>
      </c>
      <c r="I66" s="175"/>
      <c r="J66" s="243" t="str">
        <f>M7</f>
        <v>LTM</v>
      </c>
      <c r="K66" s="243">
        <f>J30</f>
        <v>46022</v>
      </c>
      <c r="L66" s="243">
        <f>K30</f>
        <v>46387</v>
      </c>
      <c r="M66" s="243">
        <f>L30</f>
        <v>46752</v>
      </c>
      <c r="N66" s="175"/>
      <c r="O66" s="243" t="str">
        <f>R7</f>
        <v>LTM</v>
      </c>
      <c r="P66" s="243">
        <f>O30</f>
        <v>46022</v>
      </c>
      <c r="Q66" s="243">
        <f>P30</f>
        <v>46387</v>
      </c>
      <c r="R66" s="243">
        <f>Q30</f>
        <v>46752</v>
      </c>
      <c r="S66" s="175"/>
      <c r="T66" s="243" t="str">
        <f>W7</f>
        <v>LTM</v>
      </c>
      <c r="U66" s="243">
        <f>T30</f>
        <v>46022</v>
      </c>
      <c r="V66" s="243">
        <f>U30</f>
        <v>46387</v>
      </c>
      <c r="W66" s="243">
        <f>V30</f>
        <v>46752</v>
      </c>
      <c r="X66" s="175"/>
      <c r="Y66" s="243" t="str">
        <f>AB7</f>
        <v>LTM</v>
      </c>
      <c r="Z66" s="243">
        <f>Y30</f>
        <v>46022</v>
      </c>
      <c r="AA66" s="243">
        <f>Z30</f>
        <v>46387</v>
      </c>
      <c r="AB66" s="243">
        <f>AA30</f>
        <v>46752</v>
      </c>
      <c r="AC66" s="175"/>
      <c r="AD66" s="243" t="str">
        <f>AG7</f>
        <v>LTM</v>
      </c>
      <c r="AE66" s="243">
        <f>AD30</f>
        <v>46022</v>
      </c>
      <c r="AF66" s="243">
        <f>AE30</f>
        <v>46387</v>
      </c>
      <c r="AG66" s="243">
        <f>AF30</f>
        <v>46752</v>
      </c>
      <c r="AH66" s="244"/>
      <c r="AI66" s="243" t="str">
        <f>AL7</f>
        <v>LTM</v>
      </c>
      <c r="AJ66" s="243">
        <f>AI30</f>
        <v>46022</v>
      </c>
      <c r="AK66" s="243">
        <f>AJ30</f>
        <v>46387</v>
      </c>
      <c r="AL66" s="243">
        <f>AK30</f>
        <v>46752</v>
      </c>
      <c r="AM66" s="244"/>
      <c r="AN66" s="244"/>
      <c r="AO66" s="244"/>
      <c r="AP66" s="244"/>
    </row>
    <row r="67" spans="2:42" ht="16">
      <c r="B67" s="219"/>
      <c r="C67" s="175" t="s">
        <v>239</v>
      </c>
      <c r="D67" s="175"/>
      <c r="E67" s="245">
        <f>IFERROR(IF(OR(+H$62/H8&lt;0,+H$62/H8&gt;=100),"NM",+H$62/H8), "N/A")</f>
        <v>2.9859621383030897</v>
      </c>
      <c r="F67" s="245">
        <f>IFERROR(IF(OR(+H62/E31&lt;0,+H62/E31&gt;=100),"NM",+H62/E31), "N/A")</f>
        <v>9.5966092397900482</v>
      </c>
      <c r="G67" s="245">
        <f t="shared" ref="G67:H68" si="20">IFERROR(IF(OR(+$H$62/F31&lt;0,+$H$62/F31&gt;=100),"NM",+$H$62/F31), "N/A")</f>
        <v>10.690740649692712</v>
      </c>
      <c r="H67" s="245">
        <f t="shared" si="20"/>
        <v>7.9069828571428564</v>
      </c>
      <c r="I67" s="175"/>
      <c r="J67" s="245">
        <f>IFERROR(IF(OR(+M$62/M8&lt;0,+M$62/M8&gt;=100),"NM",+M$62/M8),"N/A")</f>
        <v>2.2667702262175244</v>
      </c>
      <c r="K67" s="245">
        <f>IFERROR(IF(OR(+$M$62/J31&lt;0,+$M$62/J31&gt;=100),"NM",+$M$62/J31), "N/A")</f>
        <v>2.2354130540672186</v>
      </c>
      <c r="L67" s="245">
        <f t="shared" ref="L67:M67" si="21">IFERROR(IF(OR(+$M$62/K31&lt;0,+$M$62/K31&gt;=100),"NM",+$M$62/K31), "N/A")</f>
        <v>2.1410324236062515</v>
      </c>
      <c r="M67" s="245">
        <f t="shared" si="21"/>
        <v>2.0477903708000533</v>
      </c>
      <c r="N67" s="175"/>
      <c r="O67" s="245">
        <f>IFERROR(IF(OR(+R$62/R8&lt;0,+R$62/R8&gt;=100),"NM",+R$62/R8),"N/A")</f>
        <v>3.8137988671185807</v>
      </c>
      <c r="P67" s="245">
        <f>IFERROR(IF(OR(+$R$62/O31&lt;0,+$R$62/O31&gt;=100),"NM",+$R$62/O31), "N/A")</f>
        <v>5.4004996712689017</v>
      </c>
      <c r="Q67" s="245">
        <f>IFERROR(IF(OR(+R62/P31&lt;0,+R62/P31&gt;=100),"NM",+R62/P31), "N/A")</f>
        <v>5.0116900549115311</v>
      </c>
      <c r="R67" s="245">
        <f>IFERROR(IF(OR(+R62/Q31&lt;0,+R62/Q31&gt;=100),"NM",+R62/Q31), "N/A")</f>
        <v>4.6329159616469262</v>
      </c>
      <c r="S67" s="175"/>
      <c r="T67" s="245">
        <f>IFERROR(IF(OR(+W$62/W8&lt;0,+W$62/W8&gt;=100),"NM",+W$62/W8),"N/A")</f>
        <v>1.0954752596060464</v>
      </c>
      <c r="U67" s="245">
        <f>IFERROR(IF(OR(+$W$62/T31&lt;0,+$W$62/T31&gt;=100),"NM",+$W$62/T31), "N/A")</f>
        <v>1.1954076086956522</v>
      </c>
      <c r="V67" s="245">
        <f t="shared" ref="V67:W68" si="22">IFERROR(IF(OR(+$W$62/U31&lt;0,+$W$62/U31&gt;=100),"NM",+$W$62/U31), "N/A")</f>
        <v>1.1485900783289817</v>
      </c>
      <c r="W67" s="245">
        <f t="shared" si="22"/>
        <v>1.0943034825870648</v>
      </c>
      <c r="X67" s="175"/>
      <c r="Y67" s="245">
        <f>IFERROR(IF(OR(+AB$62/AB8&lt;0,+AB$62/AB8&gt;=100),"NM",+AB$62/AB8),"N/A")</f>
        <v>1.6897186856728976</v>
      </c>
      <c r="Z67" s="245">
        <f>IFERROR(IF(OR(+$AB$62/Y31&lt;0,+$AB$62/Y31&gt;=100),"NM",+$AB$62/Y31), "N/A")</f>
        <v>1.6958809462431279</v>
      </c>
      <c r="AA67" s="245">
        <f t="shared" ref="AA67:AB67" si="23">IFERROR(IF(OR(+$AB$62/Z31&lt;0,+$AB$62/Z31&gt;=100),"NM",+$AB$62/Z31), "N/A")</f>
        <v>1.6514914390243904</v>
      </c>
      <c r="AB67" s="245">
        <f t="shared" si="23"/>
        <v>1.6000905527377522</v>
      </c>
      <c r="AC67" s="175"/>
      <c r="AD67" s="245">
        <f>IFERROR(IF(OR(+AG$62/AG8&lt;0,+AG$62/AG8&gt;=100),"NM",+AG$62/AG8),"N/A")</f>
        <v>1.5567825382073521</v>
      </c>
      <c r="AE67" s="245">
        <f t="shared" ref="AE67:AF67" si="24">IFERROR(IF(OR(+$AG$62/AD31&lt;0,+$AG$62/AD31&gt;=100),"NM",+$AG$62/AD31), "N/A")</f>
        <v>9.7895338311688302</v>
      </c>
      <c r="AF67" s="245">
        <f t="shared" si="24"/>
        <v>7.6140818686868679</v>
      </c>
      <c r="AG67" s="245">
        <f>IFERROR(IF(OR(+$AG$62/AF31&lt;0,+$AG$62/AF31&gt;=100),"NM",+$AG$62/AF31), "N/A")</f>
        <v>5.6253291417910445</v>
      </c>
      <c r="AH67" s="245"/>
      <c r="AI67" s="245">
        <f>IFERROR(IF(OR(+AL$62/AL8&lt;0,+AL$62/AL8&gt;=100),"NM",+AL$62/AL8),"N/A")</f>
        <v>2.431112284716721</v>
      </c>
      <c r="AJ67" s="245">
        <f t="shared" ref="AJ67:AK67" si="25">IFERROR(IF(OR(+$AG$62/AI31&lt;0,+$AG$62/AI31&gt;=100),"NM",+$AG$62/AI31), "N/A")</f>
        <v>2.0428024525745254</v>
      </c>
      <c r="AK67" s="245">
        <f t="shared" si="25"/>
        <v>1.8207587077294685</v>
      </c>
      <c r="AL67" s="245">
        <f>IFERROR(IF(OR(+$AG$62/AK31&lt;0,+$AG$62/AK31&gt;=100),"NM",+$AG$62/AK31), "N/A")</f>
        <v>1.6315889718614718</v>
      </c>
      <c r="AM67" s="245"/>
      <c r="AN67" s="245"/>
      <c r="AO67" s="245"/>
      <c r="AP67" s="245"/>
    </row>
    <row r="68" spans="2:42" ht="16">
      <c r="B68" s="219"/>
      <c r="C68" s="175" t="s">
        <v>240</v>
      </c>
      <c r="D68" s="175"/>
      <c r="E68" s="245">
        <f>IFERROR(IF(OR(+H$62/H14&lt;0,+H$62/H14&gt;=100),"NM",+H$62/H14), "N/A")</f>
        <v>2.3516325994592506</v>
      </c>
      <c r="F68" s="245" t="str">
        <f>IFERROR(IF(OR(+$H$62/E32&lt;0,+$H$62/E32&gt;=100),"NM",+$H$62/E32), "N/A")</f>
        <v>NM</v>
      </c>
      <c r="G68" s="245" t="str">
        <f t="shared" si="20"/>
        <v>NM</v>
      </c>
      <c r="H68" s="245">
        <f t="shared" si="20"/>
        <v>42.294510268071512</v>
      </c>
      <c r="I68" s="175"/>
      <c r="J68" s="245">
        <f>IFERROR(IF(OR(+M$62/M14&lt;0,+M$62/M14&gt;=100),"NM",+M$62/M14),"N/A")</f>
        <v>13.383794109069699</v>
      </c>
      <c r="K68" s="245">
        <f>IFERROR(IF(OR(+$M$62/J32&lt;0,+$M$62/J32&gt;=100),"NM",+$M$62/J32),"N/A")</f>
        <v>12.563107035313442</v>
      </c>
      <c r="L68" s="245">
        <f t="shared" ref="L68:M68" si="26">IFERROR(IF(OR(+$M$62/K32&lt;0,+$M$62/K32&gt;=100),"NM",+$M$62/K32),"N/A")</f>
        <v>11.704419790869675</v>
      </c>
      <c r="M68" s="245">
        <f t="shared" si="26"/>
        <v>10.934722420776746</v>
      </c>
      <c r="N68" s="175"/>
      <c r="O68" s="245" t="str">
        <f>IFERROR(IF(OR(+$R$62/R14&lt;0,+$R$62/R14&gt;=100),"NM",+$R$62/R14),"N/A")</f>
        <v>NM</v>
      </c>
      <c r="P68" s="245">
        <f>IFERROR(IF(OR(+$R$62/O32&lt;0,+$R$62/O32&gt;=100),"NM",+$R$62/O32),"N/A")</f>
        <v>16.527484909456739</v>
      </c>
      <c r="Q68" s="245">
        <f t="shared" ref="Q68:R68" si="27">IFERROR(IF(OR(+$R$62/P32&lt;0,+$R$62/P32&gt;=100),"NM",+$R$62/P32),"N/A")</f>
        <v>15.099558823529412</v>
      </c>
      <c r="R68" s="245">
        <f t="shared" si="27"/>
        <v>15.498415094339622</v>
      </c>
      <c r="S68" s="175"/>
      <c r="T68" s="245">
        <f>IFERROR(IF(OR(+W$62/W14&lt;0,+W$62/W14&gt;=100),"NM",+W$62/W14),"N/A")</f>
        <v>3.8127058415669959</v>
      </c>
      <c r="U68" s="245">
        <f>IFERROR(IF(OR(+$W$62/T32&lt;0,+$W$62/T32&gt;=100),"NM",+$W$62/T32), "N/A")</f>
        <v>4.6798936170212766</v>
      </c>
      <c r="V68" s="245">
        <f t="shared" si="22"/>
        <v>4.3555445544554461</v>
      </c>
      <c r="W68" s="245">
        <f t="shared" si="22"/>
        <v>3.9991818181818184</v>
      </c>
      <c r="X68" s="175"/>
      <c r="Y68" s="245" t="str">
        <f>IFERROR(IF(OR(+AB$62/AB14&lt;0,+AB$62/AB14&gt;=100),"NM",+AB$62/AB14),"N/A")</f>
        <v>NM</v>
      </c>
      <c r="Z68" s="245">
        <f>IFERROR(IF(OR(+$AB$62/Y32&lt;0,+$AB$62/Y32&gt;=100),"NM",+$AB$62/Y32),"N/A")</f>
        <v>8.8412646783439506</v>
      </c>
      <c r="AA68" s="245">
        <f t="shared" ref="AA68:AB68" si="28">IFERROR(IF(OR(+$AB$62/Z32&lt;0,+$AB$62/Z32&gt;=100),"NM",+$AB$62/Z32),"N/A")</f>
        <v>8.3368081351351364</v>
      </c>
      <c r="AB68" s="245">
        <f t="shared" si="28"/>
        <v>7.7981941264044954</v>
      </c>
      <c r="AC68" s="175"/>
      <c r="AD68" s="245">
        <f>IFERROR(IF(OR(+AG$62/AG14&lt;0,+AG$62/AG14&gt;=100),"NM",+AG$62/AG14),"N/A")</f>
        <v>3.4394693602847228</v>
      </c>
      <c r="AE68" s="245" t="str">
        <f>IFERROR(IF(OR(+$AG$62/AD32&lt;0,+$AG$62/AD32&gt;=100),"NM",+$AG$62/AD32),"N/A")</f>
        <v>NM</v>
      </c>
      <c r="AF68" s="245" t="str">
        <f t="shared" ref="AF68:AG68" si="29">IFERROR(IF(OR(+$AG$62/AE32&lt;0,+$AG$62/AE32&gt;=100),"NM",+$AG$62/AE32),"N/A")</f>
        <v>NM</v>
      </c>
      <c r="AG68" s="245" t="str">
        <f t="shared" si="29"/>
        <v>NM</v>
      </c>
      <c r="AH68" s="245"/>
      <c r="AI68" s="245">
        <f>IFERROR(IF(OR(+AL$62/AL14&lt;0,+AL$62/AL14&gt;=100),"NM",+AL$62/AL14),"N/A")</f>
        <v>19.048183908045974</v>
      </c>
      <c r="AJ68" s="245">
        <f>IFERROR(IF(OR(+$AG$62/AI32&lt;0,+$AG$62/AI32&gt;=100),"NM",+$AG$62/AI32),"N/A")</f>
        <v>25.126470166666664</v>
      </c>
      <c r="AK68" s="245">
        <f t="shared" ref="AK68:AL68" si="30">IFERROR(IF(OR(+$AG$62/AJ32&lt;0,+$AG$62/AJ32&gt;=100),"NM",+$AG$62/AJ32),"N/A")</f>
        <v>16.386828369565215</v>
      </c>
      <c r="AL68" s="245">
        <f t="shared" si="30"/>
        <v>10.616818380281689</v>
      </c>
      <c r="AM68" s="245"/>
      <c r="AN68" s="245"/>
      <c r="AO68" s="245"/>
      <c r="AP68" s="245"/>
    </row>
    <row r="69" spans="2:42" ht="16">
      <c r="B69" s="219"/>
      <c r="C69" s="175" t="s">
        <v>241</v>
      </c>
      <c r="D69" s="175"/>
      <c r="E69" s="245" t="str">
        <f>IFERROR(IF(OR(+H$61/H9&lt;0,+H$61/H9&gt;=100),"NM",+H$61/H9), "N/A")</f>
        <v>NM</v>
      </c>
      <c r="F69" s="245" t="str">
        <f>IFERROR(IF(OR($H$61/E$33&lt;0,+$H$61/E$33&gt;=100),"NM",+$H$61/E$33), "N/A")</f>
        <v>NM</v>
      </c>
      <c r="G69" s="245" t="str">
        <f>IFERROR(IF(OR(H61/F$33&lt;0,+H61/F$33&gt;=100),"NM",+H61/F$33), "N/A")</f>
        <v>NM</v>
      </c>
      <c r="H69" s="245">
        <f>IFERROR(IF(OR(H61/G$33&lt;0,+H61/G$33&gt;=100),"NM",+H61/G$33), "N/A")</f>
        <v>64.599851458585647</v>
      </c>
      <c r="I69" s="175"/>
      <c r="J69" s="245">
        <f>IFERROR(IF(OR(+M$61/M9&lt;0,+M$61/M9&gt;=100),"NM",+M$61/M9), "N/A")</f>
        <v>16.998703056768559</v>
      </c>
      <c r="K69" s="245">
        <f>IFERROR(IF(OR($M$61/J$33&lt;0,+$M$61/J$33&gt;=100),"NM",+$M$61/J$33), "N/A")</f>
        <v>18.572056297709924</v>
      </c>
      <c r="L69" s="245">
        <f>IFERROR(IF(OR(M61/K$33&lt;0,+M61/K$33&gt;=100),"NM",+M61/K$33), "N/A")</f>
        <v>18.13089427107592</v>
      </c>
      <c r="M69" s="245">
        <f t="shared" ref="M69" si="31">IFERROR(IF(OR(M61/L$33&lt;0,+M61/L$33&gt;=100),"NM",+M61/L$33), "N/A")</f>
        <v>15.986459958932238</v>
      </c>
      <c r="N69" s="175"/>
      <c r="O69" s="245" t="str">
        <f>IFERROR(IF(OR(+R$61/R9&lt;0,+R$61/R9&gt;=100),"NM",+R$61/R9), "N/A")</f>
        <v>NM</v>
      </c>
      <c r="P69" s="245">
        <f>IFERROR(IF(OR($R$61/O$33&lt;0,+$R$61/O$33&gt;=100),"NM",+$R$61/O$33), "N/A")</f>
        <v>36.945263157894736</v>
      </c>
      <c r="Q69" s="245">
        <f>IFERROR(IF(OR(R61/P$33&lt;0,+R61/P$33&gt;=100),"NM",+R61/P$33), "N/A")</f>
        <v>29.137962264150946</v>
      </c>
      <c r="R69" s="245">
        <f t="shared" ref="R69" si="32">IFERROR(IF(OR(R61/Q$33&lt;0,+R61/Q$33&gt;=100),"NM",+R61/Q$33), "N/A")</f>
        <v>25.483696369636966</v>
      </c>
      <c r="S69" s="175"/>
      <c r="T69" s="245">
        <f>IFERROR(IF(OR(+W$61/W9&lt;0,+W$61/W9&gt;=100),"NM",+W$61/W9),"N/A")</f>
        <v>5.2851547199373288</v>
      </c>
      <c r="U69" s="245">
        <f>IFERROR(IF(OR(+W$61/T33&lt;0,+W$61/T33&gt;=100),"NM",+W$61/T33),"N/A")</f>
        <v>10.047978723404254</v>
      </c>
      <c r="V69" s="245">
        <f>IFERROR(IF(OR(+W$61/U33&lt;0,+W$61/U33&gt;=100),"NM",+W$61/U33),"N/A")</f>
        <v>9.0818269230769229</v>
      </c>
      <c r="W69" s="245">
        <f>IFERROR(IF(OR(+W$61/V33&lt;0,+W$61/V33&gt;=100),"NM",+W$61/V33),"N/A")</f>
        <v>8.3584955752212391</v>
      </c>
      <c r="X69" s="175"/>
      <c r="Y69" s="245" t="str">
        <f>IFERROR(IF(OR(+AB$61/AB9&lt;0,+AB$61/AB9&gt;=100),"NM",+AB$61/AB9),"N/A")</f>
        <v>NM</v>
      </c>
      <c r="Z69" s="245">
        <f>IFERROR(IF(OR(+$AB$61/Y33&lt;0,+$AB$61/Y33&gt;=100),"NM",+$AB$61/Y33),"N/A")</f>
        <v>6.1322905857988168</v>
      </c>
      <c r="AA69" s="245">
        <f t="shared" ref="AA69:AB69" si="33">IFERROR(IF(OR(+$AB$61/Z33&lt;0,+$AB$61/Z33&gt;=100),"NM",+$AB$61/Z33),"N/A")</f>
        <v>5.7257298839779009</v>
      </c>
      <c r="AB69" s="245">
        <f t="shared" si="33"/>
        <v>5.1560055174129351</v>
      </c>
      <c r="AC69" s="175"/>
      <c r="AD69" s="245">
        <f>IFERROR(IF(OR(+AG$61/AG9&lt;0,+AG$61/AG9&gt;=100),"NM",+AG$61/AG9),"N/A")</f>
        <v>6.0164942163697397</v>
      </c>
      <c r="AE69" s="245" t="str">
        <f>IFERROR(IF(OR(+$AG$61/AD33&lt;0,+$AG$61/AD33&gt;=100),"NM",+$AG$61/AD33),"N/A")</f>
        <v>NM</v>
      </c>
      <c r="AF69" s="245" t="str">
        <f t="shared" ref="AF69:AG69" si="34">IFERROR(IF(OR(+$AG$61/AE33&lt;0,+$AG$61/AE33&gt;=100),"NM",+$AG$61/AE33),"N/A")</f>
        <v>NM</v>
      </c>
      <c r="AG69" s="245" t="str">
        <f t="shared" si="34"/>
        <v>NM</v>
      </c>
      <c r="AH69" s="245"/>
      <c r="AI69" s="245">
        <f>IFERROR(IF(OR(+AL$61/AL9&lt;0,+AL$61/AL9&gt;=100),"NM",+AL$61/AL9),"N/A")</f>
        <v>16.955555555555559</v>
      </c>
      <c r="AJ69" s="245" t="str">
        <f>IFERROR(IF(OR(+$AG$61/AI33&lt;0,+$AG$61/AI33&gt;=100),"NM",+$AG$61/AI33),"N/A")</f>
        <v>NM</v>
      </c>
      <c r="AK69" s="245" t="str">
        <f t="shared" ref="AK69:AL69" si="35">IFERROR(IF(OR(+$AG$61/AJ33&lt;0,+$AG$61/AJ33&gt;=100),"NM",+$AG$61/AJ33),"N/A")</f>
        <v>NM</v>
      </c>
      <c r="AL69" s="245" t="str">
        <f t="shared" si="35"/>
        <v>NM</v>
      </c>
      <c r="AM69" s="245"/>
      <c r="AN69" s="245"/>
      <c r="AO69" s="245"/>
      <c r="AP69" s="245"/>
    </row>
    <row r="70" spans="2:42" ht="16">
      <c r="B70" s="219"/>
      <c r="C70" s="175"/>
      <c r="D70" s="175"/>
      <c r="E70" s="175"/>
      <c r="F70" s="175"/>
      <c r="G70" s="175"/>
      <c r="H70" s="175"/>
      <c r="I70" s="175"/>
      <c r="J70" s="175"/>
      <c r="K70" s="175"/>
      <c r="L70" s="175"/>
      <c r="M70" s="175"/>
      <c r="N70" s="175"/>
      <c r="O70" s="175"/>
      <c r="P70" s="175"/>
      <c r="Q70" s="175"/>
      <c r="R70" s="175"/>
      <c r="S70" s="175"/>
      <c r="T70" s="175"/>
      <c r="U70" s="175"/>
      <c r="V70" s="175"/>
      <c r="W70" s="175"/>
      <c r="X70" s="175"/>
      <c r="Y70" s="175"/>
      <c r="Z70" s="175"/>
      <c r="AA70" s="175"/>
      <c r="AB70" s="175"/>
      <c r="AC70" s="175"/>
      <c r="AD70" s="175"/>
      <c r="AE70" s="175"/>
      <c r="AF70" s="175"/>
      <c r="AG70" s="175"/>
      <c r="AH70" s="175"/>
      <c r="AI70" s="175"/>
      <c r="AJ70" s="175"/>
      <c r="AK70" s="175"/>
      <c r="AL70" s="175"/>
      <c r="AM70" s="175"/>
      <c r="AN70" s="175"/>
      <c r="AO70" s="175"/>
      <c r="AP70" s="175"/>
    </row>
    <row r="71" spans="2:42" ht="16">
      <c r="B71" s="219"/>
      <c r="C71" s="175"/>
      <c r="D71" s="175"/>
      <c r="E71" s="208" t="s">
        <v>242</v>
      </c>
      <c r="F71" s="215"/>
      <c r="G71" s="215"/>
      <c r="H71" s="215"/>
      <c r="I71" s="175"/>
      <c r="J71" s="208" t="s">
        <v>242</v>
      </c>
      <c r="K71" s="215"/>
      <c r="L71" s="215"/>
      <c r="M71" s="215"/>
      <c r="N71" s="175"/>
      <c r="O71" s="208" t="s">
        <v>242</v>
      </c>
      <c r="P71" s="215"/>
      <c r="Q71" s="215"/>
      <c r="R71" s="215"/>
      <c r="S71" s="175"/>
      <c r="T71" s="208" t="s">
        <v>242</v>
      </c>
      <c r="U71" s="215"/>
      <c r="V71" s="215"/>
      <c r="W71" s="215"/>
      <c r="X71" s="175"/>
      <c r="Y71" s="208" t="s">
        <v>242</v>
      </c>
      <c r="Z71" s="215"/>
      <c r="AA71" s="215"/>
      <c r="AB71" s="215"/>
      <c r="AC71" s="175"/>
      <c r="AD71" s="208" t="s">
        <v>242</v>
      </c>
      <c r="AE71" s="215"/>
      <c r="AF71" s="215"/>
      <c r="AG71" s="215"/>
      <c r="AH71" s="221"/>
      <c r="AI71" s="208" t="s">
        <v>242</v>
      </c>
      <c r="AJ71" s="215"/>
      <c r="AK71" s="215"/>
      <c r="AL71" s="215"/>
      <c r="AM71" s="221"/>
      <c r="AN71" s="221"/>
      <c r="AO71" s="221"/>
      <c r="AP71" s="221"/>
    </row>
    <row r="72" spans="2:42" ht="16">
      <c r="B72" s="219"/>
      <c r="C72" s="175"/>
      <c r="D72" s="175"/>
      <c r="E72" s="246"/>
      <c r="F72" s="246"/>
      <c r="G72" s="246"/>
      <c r="H72" s="246"/>
      <c r="I72" s="175"/>
      <c r="J72" s="246"/>
      <c r="K72" s="246"/>
      <c r="L72" s="246"/>
      <c r="M72" s="246"/>
      <c r="N72" s="175"/>
      <c r="O72" s="246"/>
      <c r="P72" s="246"/>
      <c r="Q72" s="246"/>
      <c r="R72" s="246"/>
      <c r="S72" s="175"/>
      <c r="T72" s="246"/>
      <c r="U72" s="246"/>
      <c r="V72" s="246"/>
      <c r="W72" s="246"/>
      <c r="X72" s="175"/>
      <c r="Y72" s="246"/>
      <c r="Z72" s="246"/>
      <c r="AA72" s="246"/>
      <c r="AB72" s="246"/>
      <c r="AC72" s="175"/>
      <c r="AD72" s="246"/>
      <c r="AE72" s="246"/>
      <c r="AF72" s="246"/>
      <c r="AG72" s="246"/>
      <c r="AH72" s="175"/>
      <c r="AI72" s="246"/>
      <c r="AJ72" s="246"/>
      <c r="AK72" s="246"/>
      <c r="AL72" s="246"/>
      <c r="AM72" s="175"/>
      <c r="AN72" s="175"/>
      <c r="AO72" s="175"/>
      <c r="AP72" s="175"/>
    </row>
    <row r="73" spans="2:42" ht="16">
      <c r="B73" s="219"/>
      <c r="C73" s="175" t="str">
        <f>TEXT(Forward_Year_1,"yyyy-mm-dd")&amp;" "&amp;C31</f>
        <v>2025-12-31 Revenue:</v>
      </c>
      <c r="D73" s="175"/>
      <c r="E73" s="246"/>
      <c r="F73" s="246"/>
      <c r="G73" s="246"/>
      <c r="H73" s="247">
        <f>+E31</f>
        <v>63.442999999999998</v>
      </c>
      <c r="I73" s="175"/>
      <c r="J73" s="246"/>
      <c r="K73" s="246"/>
      <c r="L73" s="246"/>
      <c r="M73" s="247">
        <f>+J31</f>
        <v>20530</v>
      </c>
      <c r="N73" s="175"/>
      <c r="O73" s="246"/>
      <c r="P73" s="246"/>
      <c r="Q73" s="246"/>
      <c r="R73" s="247">
        <f>+O31</f>
        <v>1521</v>
      </c>
      <c r="S73" s="175"/>
      <c r="T73" s="246"/>
      <c r="U73" s="246"/>
      <c r="V73" s="246"/>
      <c r="W73" s="247">
        <f>+T31</f>
        <v>368</v>
      </c>
      <c r="X73" s="175"/>
      <c r="Y73" s="246"/>
      <c r="Z73" s="246"/>
      <c r="AA73" s="246"/>
      <c r="AB73" s="247">
        <f>+Y31</f>
        <v>1637</v>
      </c>
      <c r="AC73" s="175"/>
      <c r="AD73" s="246"/>
      <c r="AE73" s="246"/>
      <c r="AF73" s="246"/>
      <c r="AG73" s="247">
        <f>+AD31</f>
        <v>77</v>
      </c>
      <c r="AH73" s="247"/>
      <c r="AI73" s="246"/>
      <c r="AJ73" s="246"/>
      <c r="AK73" s="246"/>
      <c r="AL73" s="247">
        <f>+AI31</f>
        <v>369</v>
      </c>
      <c r="AM73" s="247"/>
      <c r="AN73" s="247"/>
      <c r="AO73" s="247"/>
      <c r="AP73" s="247"/>
    </row>
    <row r="74" spans="2:42" ht="16">
      <c r="B74" s="219"/>
      <c r="C74" s="175" t="str">
        <f>TEXT(Forward_Year_1,"yyyy-mm-dd")&amp;" "&amp;C32</f>
        <v>2025-12-31 EBITDA:</v>
      </c>
      <c r="D74" s="175"/>
      <c r="E74" s="246"/>
      <c r="F74" s="246"/>
      <c r="G74" s="246"/>
      <c r="H74" s="248">
        <f>+E32</f>
        <v>-46.163567797883672</v>
      </c>
      <c r="I74" s="175"/>
      <c r="J74" s="246"/>
      <c r="K74" s="246"/>
      <c r="L74" s="246"/>
      <c r="M74" s="248">
        <f>+J32</f>
        <v>3653</v>
      </c>
      <c r="N74" s="175"/>
      <c r="O74" s="246"/>
      <c r="P74" s="246"/>
      <c r="Q74" s="246"/>
      <c r="R74" s="248">
        <f>+O32</f>
        <v>497</v>
      </c>
      <c r="S74" s="175"/>
      <c r="T74" s="246"/>
      <c r="U74" s="246"/>
      <c r="V74" s="246"/>
      <c r="W74" s="248">
        <f>+T32</f>
        <v>94</v>
      </c>
      <c r="X74" s="175"/>
      <c r="Y74" s="246"/>
      <c r="Z74" s="246"/>
      <c r="AA74" s="246"/>
      <c r="AB74" s="248">
        <f>+Y32</f>
        <v>314</v>
      </c>
      <c r="AC74" s="175"/>
      <c r="AD74" s="246"/>
      <c r="AE74" s="246"/>
      <c r="AF74" s="246"/>
      <c r="AG74" s="248">
        <f>+AD32</f>
        <v>-129</v>
      </c>
      <c r="AH74" s="248"/>
      <c r="AI74" s="246"/>
      <c r="AJ74" s="246"/>
      <c r="AK74" s="246"/>
      <c r="AL74" s="248">
        <f>+AI32</f>
        <v>30</v>
      </c>
      <c r="AM74" s="248"/>
      <c r="AN74" s="248"/>
      <c r="AO74" s="248"/>
      <c r="AP74" s="248"/>
    </row>
    <row r="75" spans="2:42" ht="16">
      <c r="B75" s="219"/>
      <c r="C75" s="175" t="str">
        <f>TEXT(Forward_Year_1,"yyyy-mm-dd")&amp;" "&amp;C33</f>
        <v>2025-12-31 Reported Net Income:</v>
      </c>
      <c r="D75" s="175"/>
      <c r="E75" s="246"/>
      <c r="F75" s="246"/>
      <c r="G75" s="246"/>
      <c r="H75" s="248">
        <f>+E33</f>
        <v>-49.463490660383677</v>
      </c>
      <c r="I75" s="175"/>
      <c r="J75" s="246"/>
      <c r="K75" s="246"/>
      <c r="L75" s="246"/>
      <c r="M75" s="248">
        <f>+J33</f>
        <v>2096</v>
      </c>
      <c r="N75" s="175"/>
      <c r="O75" s="246"/>
      <c r="P75" s="246"/>
      <c r="Q75" s="246"/>
      <c r="R75" s="248">
        <f>+O33</f>
        <v>209</v>
      </c>
      <c r="S75" s="175"/>
      <c r="T75" s="246"/>
      <c r="U75" s="246"/>
      <c r="V75" s="246"/>
      <c r="W75" s="248">
        <f>+T33</f>
        <v>94</v>
      </c>
      <c r="X75" s="175"/>
      <c r="Y75" s="246"/>
      <c r="Z75" s="246"/>
      <c r="AA75" s="246"/>
      <c r="AB75" s="248">
        <f>+Y33</f>
        <v>169</v>
      </c>
      <c r="AC75" s="175"/>
      <c r="AD75" s="246"/>
      <c r="AE75" s="246"/>
      <c r="AF75" s="246"/>
      <c r="AG75" s="248">
        <f>+AD33</f>
        <v>-165</v>
      </c>
      <c r="AH75" s="248"/>
      <c r="AI75" s="246"/>
      <c r="AJ75" s="246"/>
      <c r="AK75" s="246"/>
      <c r="AL75" s="248">
        <f>+AI33</f>
        <v>-27</v>
      </c>
      <c r="AM75" s="248"/>
      <c r="AN75" s="248"/>
      <c r="AO75" s="248"/>
      <c r="AP75" s="248"/>
    </row>
    <row r="76" spans="2:42" ht="16">
      <c r="B76" s="219"/>
      <c r="C76" s="175"/>
      <c r="D76" s="175"/>
      <c r="E76" s="246"/>
      <c r="F76" s="246"/>
      <c r="G76" s="246"/>
      <c r="H76" s="246"/>
      <c r="I76" s="175"/>
      <c r="J76" s="246"/>
      <c r="K76" s="246"/>
      <c r="L76" s="246"/>
      <c r="M76" s="246"/>
      <c r="N76" s="175"/>
      <c r="O76" s="246"/>
      <c r="P76" s="246"/>
      <c r="Q76" s="246"/>
      <c r="R76" s="246"/>
      <c r="S76" s="175"/>
      <c r="T76" s="246"/>
      <c r="U76" s="246"/>
      <c r="V76" s="246"/>
      <c r="W76" s="246"/>
      <c r="X76" s="175"/>
      <c r="Y76" s="246"/>
      <c r="Z76" s="246"/>
      <c r="AA76" s="246"/>
      <c r="AB76" s="246"/>
      <c r="AC76" s="175"/>
      <c r="AD76" s="246"/>
      <c r="AE76" s="246"/>
      <c r="AF76" s="246"/>
      <c r="AG76" s="246"/>
      <c r="AH76" s="175"/>
      <c r="AI76" s="246"/>
      <c r="AJ76" s="246"/>
      <c r="AK76" s="246"/>
      <c r="AL76" s="246"/>
      <c r="AM76" s="175"/>
      <c r="AN76" s="175"/>
      <c r="AO76" s="175"/>
      <c r="AP76" s="175"/>
    </row>
    <row r="77" spans="2:42" ht="16">
      <c r="B77" s="219"/>
      <c r="C77" s="175" t="str">
        <f>TEXT(Forward_Year_2,"yyyy-mm-dd")&amp;" "&amp;C31</f>
        <v>2026-12-31 Revenue:</v>
      </c>
      <c r="D77" s="175"/>
      <c r="E77" s="246"/>
      <c r="F77" s="246"/>
      <c r="G77" s="246"/>
      <c r="H77" s="249">
        <f>+F31</f>
        <v>56.95</v>
      </c>
      <c r="I77" s="175"/>
      <c r="J77" s="246"/>
      <c r="K77" s="246"/>
      <c r="L77" s="246"/>
      <c r="M77" s="249">
        <f>+K31</f>
        <v>21435</v>
      </c>
      <c r="N77" s="175"/>
      <c r="O77" s="246"/>
      <c r="P77" s="246"/>
      <c r="Q77" s="246"/>
      <c r="R77" s="249">
        <f>+P31</f>
        <v>1639</v>
      </c>
      <c r="S77" s="175"/>
      <c r="T77" s="246"/>
      <c r="U77" s="246"/>
      <c r="V77" s="246"/>
      <c r="W77" s="249">
        <f>+U31</f>
        <v>383</v>
      </c>
      <c r="X77" s="175"/>
      <c r="Y77" s="246"/>
      <c r="Z77" s="246"/>
      <c r="AA77" s="246"/>
      <c r="AB77" s="249">
        <f>+Z31</f>
        <v>1681</v>
      </c>
      <c r="AC77" s="175"/>
      <c r="AD77" s="246"/>
      <c r="AE77" s="246"/>
      <c r="AF77" s="246"/>
      <c r="AG77" s="249">
        <f>+AE31</f>
        <v>99</v>
      </c>
      <c r="AH77" s="249"/>
      <c r="AI77" s="246"/>
      <c r="AJ77" s="246"/>
      <c r="AK77" s="246"/>
      <c r="AL77" s="249">
        <f>+AJ31</f>
        <v>414</v>
      </c>
      <c r="AM77" s="249"/>
      <c r="AN77" s="249"/>
      <c r="AO77" s="249"/>
      <c r="AP77" s="249"/>
    </row>
    <row r="78" spans="2:42" ht="16">
      <c r="B78" s="219"/>
      <c r="C78" s="175" t="str">
        <f>TEXT(Forward_Year_2,"yyyy-mm-dd")&amp;" "&amp;C32</f>
        <v>2026-12-31 EBITDA:</v>
      </c>
      <c r="D78" s="175"/>
      <c r="E78" s="246"/>
      <c r="F78" s="246"/>
      <c r="G78" s="246"/>
      <c r="H78" s="248">
        <f>+F32</f>
        <v>-3.7799891246833668</v>
      </c>
      <c r="I78" s="175"/>
      <c r="J78" s="246"/>
      <c r="K78" s="246"/>
      <c r="L78" s="246"/>
      <c r="M78" s="248">
        <f>+K32</f>
        <v>3921</v>
      </c>
      <c r="N78" s="175"/>
      <c r="O78" s="246"/>
      <c r="P78" s="246"/>
      <c r="Q78" s="246"/>
      <c r="R78" s="248">
        <f>+P32</f>
        <v>544</v>
      </c>
      <c r="S78" s="175"/>
      <c r="T78" s="246"/>
      <c r="U78" s="246"/>
      <c r="V78" s="246"/>
      <c r="W78" s="248">
        <f>+U32</f>
        <v>101</v>
      </c>
      <c r="X78" s="175"/>
      <c r="Y78" s="246"/>
      <c r="Z78" s="246"/>
      <c r="AA78" s="246"/>
      <c r="AB78" s="248">
        <f>+Z32</f>
        <v>333</v>
      </c>
      <c r="AC78" s="175"/>
      <c r="AD78" s="246"/>
      <c r="AE78" s="246"/>
      <c r="AF78" s="246"/>
      <c r="AG78" s="248">
        <f>+AE32</f>
        <v>-130</v>
      </c>
      <c r="AH78" s="248"/>
      <c r="AI78" s="246"/>
      <c r="AJ78" s="246"/>
      <c r="AK78" s="246"/>
      <c r="AL78" s="248">
        <f>+AJ32</f>
        <v>46</v>
      </c>
      <c r="AM78" s="248"/>
      <c r="AN78" s="248"/>
      <c r="AO78" s="248"/>
      <c r="AP78" s="248"/>
    </row>
    <row r="79" spans="2:42" ht="16">
      <c r="B79" s="219"/>
      <c r="C79" s="175" t="str">
        <f>TEXT(Forward_Year_2,"yyyy-mm-dd")&amp;" "&amp;C33</f>
        <v>2026-12-31 Reported Net Income:</v>
      </c>
      <c r="D79" s="175"/>
      <c r="E79" s="246"/>
      <c r="F79" s="246"/>
      <c r="G79" s="246"/>
      <c r="H79" s="248">
        <f>+F33</f>
        <v>-8.5019707914333669</v>
      </c>
      <c r="I79" s="175"/>
      <c r="J79" s="246"/>
      <c r="K79" s="246"/>
      <c r="L79" s="246"/>
      <c r="M79" s="248">
        <f>+K33</f>
        <v>2147</v>
      </c>
      <c r="N79" s="175"/>
      <c r="O79" s="246"/>
      <c r="P79" s="246"/>
      <c r="Q79" s="246"/>
      <c r="R79" s="248">
        <f>+P33</f>
        <v>265</v>
      </c>
      <c r="S79" s="175"/>
      <c r="T79" s="246"/>
      <c r="U79" s="246"/>
      <c r="V79" s="246"/>
      <c r="W79" s="248">
        <f>+U33</f>
        <v>104</v>
      </c>
      <c r="X79" s="175"/>
      <c r="Y79" s="246"/>
      <c r="Z79" s="246"/>
      <c r="AA79" s="246"/>
      <c r="AB79" s="248">
        <f>+Z33</f>
        <v>181</v>
      </c>
      <c r="AC79" s="175"/>
      <c r="AD79" s="246"/>
      <c r="AE79" s="246"/>
      <c r="AF79" s="246"/>
      <c r="AG79" s="248">
        <f>+AE33</f>
        <v>-197</v>
      </c>
      <c r="AH79" s="248"/>
      <c r="AI79" s="246"/>
      <c r="AJ79" s="246"/>
      <c r="AK79" s="246"/>
      <c r="AL79" s="248">
        <f>+AJ33</f>
        <v>-4</v>
      </c>
      <c r="AM79" s="248"/>
      <c r="AN79" s="248"/>
      <c r="AO79" s="248"/>
      <c r="AP79" s="248"/>
    </row>
    <row r="80" spans="2:42" ht="16">
      <c r="B80" s="219"/>
      <c r="C80" s="175"/>
      <c r="D80" s="175"/>
      <c r="E80" s="246"/>
      <c r="F80" s="246"/>
      <c r="G80" s="246"/>
      <c r="H80" s="246"/>
      <c r="I80" s="175"/>
      <c r="J80" s="246"/>
      <c r="K80" s="246"/>
      <c r="L80" s="246"/>
      <c r="M80" s="246"/>
      <c r="N80" s="175"/>
      <c r="O80" s="246"/>
      <c r="P80" s="246"/>
      <c r="Q80" s="246"/>
      <c r="R80" s="246"/>
      <c r="S80" s="175"/>
      <c r="T80" s="246"/>
      <c r="U80" s="246"/>
      <c r="V80" s="246"/>
      <c r="W80" s="246"/>
      <c r="X80" s="175"/>
      <c r="Y80" s="246"/>
      <c r="Z80" s="246"/>
      <c r="AA80" s="246"/>
      <c r="AB80" s="246"/>
      <c r="AC80" s="175"/>
      <c r="AD80" s="246"/>
      <c r="AE80" s="246"/>
      <c r="AF80" s="246"/>
      <c r="AG80" s="246"/>
      <c r="AH80" s="175"/>
      <c r="AI80" s="246"/>
      <c r="AJ80" s="246"/>
      <c r="AK80" s="246"/>
      <c r="AL80" s="246"/>
      <c r="AM80" s="175"/>
      <c r="AN80" s="175"/>
      <c r="AO80" s="175"/>
      <c r="AP80" s="175"/>
    </row>
    <row r="81" spans="2:42" ht="16">
      <c r="B81" s="219"/>
      <c r="C81" s="175" t="str">
        <f>TEXT(Forward_Year_3,"yyyy-mm-dd")&amp;" "&amp;C31</f>
        <v>2027-12-31 Revenue:</v>
      </c>
      <c r="D81" s="175"/>
      <c r="E81" s="246"/>
      <c r="F81" s="246"/>
      <c r="G81" s="246"/>
      <c r="H81" s="248">
        <f>+G31</f>
        <v>77</v>
      </c>
      <c r="I81" s="175"/>
      <c r="J81" s="246"/>
      <c r="K81" s="246"/>
      <c r="L81" s="246"/>
      <c r="M81" s="248">
        <f>+L31</f>
        <v>22411</v>
      </c>
      <c r="N81" s="175"/>
      <c r="O81" s="246"/>
      <c r="P81" s="246"/>
      <c r="Q81" s="246"/>
      <c r="R81" s="248">
        <f>+Q31</f>
        <v>1773</v>
      </c>
      <c r="S81" s="175"/>
      <c r="T81" s="246"/>
      <c r="U81" s="246"/>
      <c r="V81" s="246"/>
      <c r="W81" s="248">
        <f>+V31</f>
        <v>402</v>
      </c>
      <c r="X81" s="175"/>
      <c r="Y81" s="246"/>
      <c r="Z81" s="246"/>
      <c r="AA81" s="246"/>
      <c r="AB81" s="248">
        <f>+AA31</f>
        <v>1735</v>
      </c>
      <c r="AC81" s="175"/>
      <c r="AD81" s="246"/>
      <c r="AE81" s="246"/>
      <c r="AF81" s="246"/>
      <c r="AG81" s="248">
        <f>+AF31</f>
        <v>134</v>
      </c>
      <c r="AH81" s="248"/>
      <c r="AI81" s="246"/>
      <c r="AJ81" s="246"/>
      <c r="AK81" s="246"/>
      <c r="AL81" s="248">
        <f>+AK31</f>
        <v>462</v>
      </c>
      <c r="AM81" s="248"/>
      <c r="AN81" s="248"/>
      <c r="AO81" s="248"/>
      <c r="AP81" s="248"/>
    </row>
    <row r="82" spans="2:42" ht="16">
      <c r="B82" s="219"/>
      <c r="C82" s="175" t="str">
        <f>TEXT(Forward_Year_3,"yyyy-mm-dd")&amp;" "&amp;C32</f>
        <v>2027-12-31 EBITDA:</v>
      </c>
      <c r="D82" s="175"/>
      <c r="E82" s="246"/>
      <c r="F82" s="246"/>
      <c r="G82" s="246"/>
      <c r="H82" s="248">
        <f>+G32</f>
        <v>14.395193989504987</v>
      </c>
      <c r="I82" s="175"/>
      <c r="J82" s="246"/>
      <c r="K82" s="246"/>
      <c r="L82" s="246"/>
      <c r="M82" s="248">
        <f>+L32</f>
        <v>4197</v>
      </c>
      <c r="N82" s="175"/>
      <c r="O82" s="246"/>
      <c r="P82" s="246"/>
      <c r="Q82" s="246"/>
      <c r="R82" s="248">
        <f>+Q32</f>
        <v>530</v>
      </c>
      <c r="S82" s="175"/>
      <c r="T82" s="246"/>
      <c r="U82" s="246"/>
      <c r="V82" s="246"/>
      <c r="W82" s="248">
        <f>+V32</f>
        <v>110</v>
      </c>
      <c r="X82" s="175"/>
      <c r="Y82" s="246"/>
      <c r="Z82" s="246"/>
      <c r="AA82" s="246"/>
      <c r="AB82" s="248">
        <f>+AA32</f>
        <v>356</v>
      </c>
      <c r="AC82" s="175"/>
      <c r="AD82" s="246"/>
      <c r="AE82" s="246"/>
      <c r="AF82" s="246"/>
      <c r="AG82" s="248">
        <f>+AF32</f>
        <v>-37</v>
      </c>
      <c r="AH82" s="248"/>
      <c r="AI82" s="246"/>
      <c r="AJ82" s="246"/>
      <c r="AK82" s="246"/>
      <c r="AL82" s="248">
        <f>+AK32</f>
        <v>71</v>
      </c>
      <c r="AM82" s="248"/>
      <c r="AN82" s="248"/>
      <c r="AO82" s="248"/>
      <c r="AP82" s="248"/>
    </row>
    <row r="83" spans="2:42" ht="16">
      <c r="B83" s="219"/>
      <c r="C83" s="175" t="str">
        <f>TEXT(Forward_Year_3,"yyyy-mm-dd")&amp;" "&amp;C33</f>
        <v>2027-12-31 Reported Net Income:</v>
      </c>
      <c r="D83" s="175"/>
      <c r="E83" s="246"/>
      <c r="F83" s="246"/>
      <c r="G83" s="246"/>
      <c r="H83" s="248">
        <f>+G33</f>
        <v>10.798982725946868</v>
      </c>
      <c r="I83" s="175"/>
      <c r="J83" s="246"/>
      <c r="K83" s="246"/>
      <c r="L83" s="246"/>
      <c r="M83" s="248">
        <f>+L33</f>
        <v>2435</v>
      </c>
      <c r="N83" s="175"/>
      <c r="O83" s="246"/>
      <c r="P83" s="246"/>
      <c r="Q83" s="246"/>
      <c r="R83" s="248">
        <f>+Q33</f>
        <v>303</v>
      </c>
      <c r="S83" s="175"/>
      <c r="T83" s="246"/>
      <c r="U83" s="246"/>
      <c r="V83" s="246"/>
      <c r="W83" s="248">
        <f>+V33</f>
        <v>113</v>
      </c>
      <c r="X83" s="175"/>
      <c r="Y83" s="246"/>
      <c r="Z83" s="246"/>
      <c r="AA83" s="246"/>
      <c r="AB83" s="248">
        <f>+AA33</f>
        <v>201</v>
      </c>
      <c r="AC83" s="175"/>
      <c r="AD83" s="246"/>
      <c r="AE83" s="246"/>
      <c r="AF83" s="246"/>
      <c r="AG83" s="248">
        <f>+AF33</f>
        <v>-214</v>
      </c>
      <c r="AH83" s="248"/>
      <c r="AI83" s="246"/>
      <c r="AJ83" s="246"/>
      <c r="AK83" s="246"/>
      <c r="AL83" s="248">
        <f>+AK33</f>
        <v>6</v>
      </c>
      <c r="AM83" s="248"/>
      <c r="AN83" s="248"/>
      <c r="AO83" s="248"/>
      <c r="AP83" s="248"/>
    </row>
    <row r="84" spans="2:42" ht="16">
      <c r="B84" s="219"/>
      <c r="C84" s="175"/>
      <c r="D84" s="175"/>
      <c r="E84" s="246"/>
      <c r="F84" s="246"/>
      <c r="G84" s="246"/>
      <c r="H84" s="246"/>
      <c r="I84" s="175"/>
      <c r="J84" s="246"/>
      <c r="K84" s="246"/>
      <c r="L84" s="246"/>
      <c r="M84" s="246"/>
      <c r="N84" s="175"/>
      <c r="O84" s="246"/>
      <c r="P84" s="246"/>
      <c r="Q84" s="246"/>
      <c r="R84" s="246"/>
      <c r="S84" s="175"/>
      <c r="T84" s="246"/>
      <c r="U84" s="246"/>
      <c r="V84" s="246"/>
      <c r="W84" s="246"/>
      <c r="X84" s="175"/>
      <c r="Y84" s="246"/>
      <c r="Z84" s="246"/>
      <c r="AA84" s="246"/>
      <c r="AB84" s="246"/>
      <c r="AC84" s="175"/>
      <c r="AD84" s="246"/>
      <c r="AE84" s="246"/>
      <c r="AF84" s="246"/>
      <c r="AG84" s="246"/>
      <c r="AH84" s="175"/>
      <c r="AI84" s="246"/>
      <c r="AJ84" s="246"/>
      <c r="AK84" s="246"/>
      <c r="AL84" s="246"/>
      <c r="AM84" s="175"/>
      <c r="AN84" s="175"/>
      <c r="AO84" s="175"/>
      <c r="AP84" s="175"/>
    </row>
    <row r="85" spans="2:42" ht="16">
      <c r="B85" s="219"/>
      <c r="C85" s="175" t="s">
        <v>243</v>
      </c>
      <c r="D85" s="175"/>
      <c r="E85" s="246"/>
      <c r="F85" s="246"/>
      <c r="G85" s="246"/>
      <c r="H85" s="250">
        <f>IFERROR(+H77/H73-1,"N/A")</f>
        <v>-0.102343836199423</v>
      </c>
      <c r="I85" s="175"/>
      <c r="J85" s="246"/>
      <c r="K85" s="246"/>
      <c r="L85" s="246"/>
      <c r="M85" s="250">
        <f>IFERROR(+M77/M73-1,"N/A")</f>
        <v>4.4081831466147081E-2</v>
      </c>
      <c r="N85" s="175"/>
      <c r="O85" s="246"/>
      <c r="P85" s="246"/>
      <c r="Q85" s="246"/>
      <c r="R85" s="250">
        <f>IFERROR(+R77/R73-1,"N/A")</f>
        <v>7.7580539119000758E-2</v>
      </c>
      <c r="S85" s="175"/>
      <c r="T85" s="246"/>
      <c r="U85" s="246"/>
      <c r="V85" s="246"/>
      <c r="W85" s="250">
        <f>IFERROR(+W77/W73-1,"N/A")</f>
        <v>4.0760869565217295E-2</v>
      </c>
      <c r="X85" s="175"/>
      <c r="Y85" s="246"/>
      <c r="Z85" s="246"/>
      <c r="AA85" s="246"/>
      <c r="AB85" s="250">
        <f>IFERROR(+AB77/AB73-1,"N/A")</f>
        <v>2.6878436163714214E-2</v>
      </c>
      <c r="AC85" s="175"/>
      <c r="AD85" s="246"/>
      <c r="AE85" s="246"/>
      <c r="AF85" s="246"/>
      <c r="AG85" s="250">
        <f>IFERROR(+AG77/AG73-1,"N/A")</f>
        <v>0.28571428571428581</v>
      </c>
      <c r="AH85" s="250"/>
      <c r="AI85" s="246"/>
      <c r="AJ85" s="246"/>
      <c r="AK85" s="246"/>
      <c r="AL85" s="250">
        <f>IFERROR(+AL77/AL73-1,"N/A")</f>
        <v>0.12195121951219523</v>
      </c>
      <c r="AM85" s="250"/>
      <c r="AN85" s="250"/>
      <c r="AO85" s="250"/>
      <c r="AP85" s="250"/>
    </row>
    <row r="86" spans="2:42" ht="16">
      <c r="B86" s="219"/>
      <c r="C86" s="175" t="s">
        <v>244</v>
      </c>
      <c r="D86" s="175"/>
      <c r="E86" s="246"/>
      <c r="F86" s="246"/>
      <c r="G86" s="246"/>
      <c r="H86" s="250">
        <f>IFERROR(+H78/H74-1,"N/A")</f>
        <v>-0.91811748300666096</v>
      </c>
      <c r="I86" s="175"/>
      <c r="J86" s="246"/>
      <c r="K86" s="246"/>
      <c r="L86" s="246"/>
      <c r="M86" s="250">
        <f>IFERROR(+M78/M74-1,"N/A")</f>
        <v>7.336435806186703E-2</v>
      </c>
      <c r="N86" s="175"/>
      <c r="O86" s="246"/>
      <c r="P86" s="246"/>
      <c r="Q86" s="246"/>
      <c r="R86" s="250">
        <f>IFERROR(+R78/R74-1,"N/A")</f>
        <v>9.456740442655942E-2</v>
      </c>
      <c r="S86" s="175"/>
      <c r="T86" s="246"/>
      <c r="U86" s="246"/>
      <c r="V86" s="246"/>
      <c r="W86" s="250">
        <f>IFERROR(+W78/W74-1,"N/A")</f>
        <v>7.4468085106383031E-2</v>
      </c>
      <c r="X86" s="175"/>
      <c r="Y86" s="246"/>
      <c r="Z86" s="246"/>
      <c r="AA86" s="246"/>
      <c r="AB86" s="250">
        <f>IFERROR(+AB78/AB74-1,"N/A")</f>
        <v>6.0509554140127486E-2</v>
      </c>
      <c r="AC86" s="175"/>
      <c r="AD86" s="246"/>
      <c r="AE86" s="246"/>
      <c r="AF86" s="246"/>
      <c r="AG86" s="250">
        <f>IFERROR(+AG78/AG74-1,"N/A")</f>
        <v>7.7519379844961378E-3</v>
      </c>
      <c r="AH86" s="250"/>
      <c r="AI86" s="246"/>
      <c r="AJ86" s="246"/>
      <c r="AK86" s="246"/>
      <c r="AL86" s="250">
        <f>IFERROR(+AL78/AL74-1,"N/A")</f>
        <v>0.53333333333333344</v>
      </c>
      <c r="AM86" s="250"/>
      <c r="AN86" s="250"/>
      <c r="AO86" s="250"/>
      <c r="AP86" s="250"/>
    </row>
    <row r="87" spans="2:42" ht="16">
      <c r="B87" s="219"/>
      <c r="C87" s="175"/>
      <c r="D87" s="175"/>
      <c r="E87" s="246"/>
      <c r="F87" s="246"/>
      <c r="G87" s="246"/>
      <c r="H87" s="246"/>
      <c r="I87" s="175"/>
      <c r="J87" s="246"/>
      <c r="K87" s="246"/>
      <c r="L87" s="246"/>
      <c r="M87" s="246"/>
      <c r="N87" s="175"/>
      <c r="O87" s="246"/>
      <c r="P87" s="246"/>
      <c r="Q87" s="246"/>
      <c r="R87" s="246"/>
      <c r="S87" s="175"/>
      <c r="T87" s="246"/>
      <c r="U87" s="246"/>
      <c r="V87" s="246"/>
      <c r="W87" s="246"/>
      <c r="X87" s="175"/>
      <c r="Y87" s="246"/>
      <c r="Z87" s="246"/>
      <c r="AA87" s="246"/>
      <c r="AB87" s="246"/>
      <c r="AC87" s="175"/>
      <c r="AD87" s="246"/>
      <c r="AE87" s="246"/>
      <c r="AF87" s="246"/>
      <c r="AG87" s="246"/>
      <c r="AH87" s="175"/>
      <c r="AI87" s="246"/>
      <c r="AJ87" s="246"/>
      <c r="AK87" s="246"/>
      <c r="AL87" s="246"/>
      <c r="AM87" s="175"/>
      <c r="AN87" s="175"/>
      <c r="AO87" s="175"/>
      <c r="AP87" s="175"/>
    </row>
    <row r="88" spans="2:42" ht="16">
      <c r="B88" s="219"/>
      <c r="C88" s="175" t="s">
        <v>245</v>
      </c>
      <c r="D88" s="175"/>
      <c r="E88" s="246"/>
      <c r="F88" s="246"/>
      <c r="G88" s="246"/>
      <c r="H88" s="250">
        <f>IFERROR(+H14/H8,"N/A")</f>
        <v>1.2697400686611082</v>
      </c>
      <c r="I88" s="175"/>
      <c r="J88" s="246"/>
      <c r="K88" s="246"/>
      <c r="L88" s="246"/>
      <c r="M88" s="250">
        <f>IFERROR(+M14/M8,"N/A")</f>
        <v>0.16936678850143239</v>
      </c>
      <c r="N88" s="175"/>
      <c r="O88" s="246"/>
      <c r="P88" s="246"/>
      <c r="Q88" s="246"/>
      <c r="R88" s="250">
        <f>IFERROR(+R14/R8,"N/A")</f>
        <v>-8.2273191568390733E-2</v>
      </c>
      <c r="S88" s="175"/>
      <c r="T88" s="246"/>
      <c r="U88" s="246"/>
      <c r="V88" s="246"/>
      <c r="W88" s="250">
        <f>IFERROR(+W14/W8,"N/A")</f>
        <v>0.28732226012899376</v>
      </c>
      <c r="X88" s="175"/>
      <c r="Y88" s="246"/>
      <c r="Z88" s="246"/>
      <c r="AA88" s="246"/>
      <c r="AB88" s="250">
        <f>IFERROR(+AB14/AB8,"N/A")</f>
        <v>-0.1908494981649087</v>
      </c>
      <c r="AC88" s="175"/>
      <c r="AD88" s="246"/>
      <c r="AE88" s="246"/>
      <c r="AF88" s="246"/>
      <c r="AG88" s="250">
        <f>IFERROR(+AG14/AG8,"N/A")</f>
        <v>0.45262288310615451</v>
      </c>
      <c r="AH88" s="250"/>
      <c r="AI88" s="246"/>
      <c r="AJ88" s="246"/>
      <c r="AK88" s="246"/>
      <c r="AL88" s="250">
        <f>IFERROR(+AL14/AL8,"N/A")</f>
        <v>0.12762961006953616</v>
      </c>
      <c r="AM88" s="250"/>
      <c r="AN88" s="250"/>
      <c r="AO88" s="250"/>
      <c r="AP88" s="250"/>
    </row>
    <row r="89" spans="2:42" ht="16">
      <c r="B89" s="219"/>
      <c r="C89" s="175" t="str">
        <f>TEXT(Forward_Year_1,"yyyy-mm-dd")&amp;" EBITDA Margin:"</f>
        <v>2025-12-31 EBITDA Margin:</v>
      </c>
      <c r="D89" s="175"/>
      <c r="E89" s="246"/>
      <c r="F89" s="246"/>
      <c r="G89" s="246"/>
      <c r="H89" s="250">
        <f>IFERROR(+H74/H73,"N/A")</f>
        <v>-0.72763847544857074</v>
      </c>
      <c r="I89" s="175"/>
      <c r="J89" s="246"/>
      <c r="K89" s="246"/>
      <c r="L89" s="246"/>
      <c r="M89" s="250">
        <f>IFERROR(+M74/M73,"N/A")</f>
        <v>0.17793472966390647</v>
      </c>
      <c r="N89" s="175"/>
      <c r="O89" s="246"/>
      <c r="P89" s="246"/>
      <c r="Q89" s="246"/>
      <c r="R89" s="250">
        <f>IFERROR(+R74/R73,"N/A")</f>
        <v>0.32675871137409601</v>
      </c>
      <c r="S89" s="175"/>
      <c r="T89" s="246"/>
      <c r="U89" s="246"/>
      <c r="V89" s="246"/>
      <c r="W89" s="250">
        <f>IFERROR(+W74/W73,"N/A")</f>
        <v>0.25543478260869568</v>
      </c>
      <c r="X89" s="175"/>
      <c r="Y89" s="246"/>
      <c r="Z89" s="246"/>
      <c r="AA89" s="246"/>
      <c r="AB89" s="250">
        <f>IFERROR(+AB74/AB73,"N/A")</f>
        <v>0.19181429444105069</v>
      </c>
      <c r="AC89" s="175"/>
      <c r="AD89" s="246"/>
      <c r="AE89" s="246"/>
      <c r="AF89" s="246"/>
      <c r="AG89" s="250">
        <f>IFERROR(+AG74/AG73,"N/A")</f>
        <v>-1.6753246753246753</v>
      </c>
      <c r="AH89" s="250"/>
      <c r="AI89" s="246"/>
      <c r="AJ89" s="246"/>
      <c r="AK89" s="246"/>
      <c r="AL89" s="250">
        <f>IFERROR(+AL74/AL73,"N/A")</f>
        <v>8.1300813008130079E-2</v>
      </c>
      <c r="AM89" s="250"/>
      <c r="AN89" s="250"/>
      <c r="AO89" s="250"/>
      <c r="AP89" s="250"/>
    </row>
    <row r="90" spans="2:42" ht="16">
      <c r="B90" s="219"/>
      <c r="C90" s="175" t="str">
        <f>TEXT(Forward_Year_2,"yyyy-mm-dd")&amp;" EBITDA Margin:"</f>
        <v>2026-12-31 EBITDA Margin:</v>
      </c>
      <c r="D90" s="175"/>
      <c r="E90" s="246"/>
      <c r="F90" s="246"/>
      <c r="G90" s="246"/>
      <c r="H90" s="250">
        <f>IFERROR(+H78/H77,"N/A")</f>
        <v>-6.6373821328944108E-2</v>
      </c>
      <c r="I90" s="175"/>
      <c r="J90" s="246"/>
      <c r="K90" s="246"/>
      <c r="L90" s="246"/>
      <c r="M90" s="250">
        <f>IFERROR(+M78/M77,"N/A")</f>
        <v>0.18292512246326101</v>
      </c>
      <c r="N90" s="175"/>
      <c r="O90" s="246"/>
      <c r="P90" s="246"/>
      <c r="Q90" s="246"/>
      <c r="R90" s="250">
        <f>IFERROR(+R78/R77,"N/A")</f>
        <v>0.33190970103721784</v>
      </c>
      <c r="S90" s="175"/>
      <c r="T90" s="246"/>
      <c r="U90" s="246"/>
      <c r="V90" s="246"/>
      <c r="W90" s="250">
        <f>IFERROR(+W78/W77,"N/A")</f>
        <v>0.26370757180156656</v>
      </c>
      <c r="X90" s="175"/>
      <c r="Y90" s="246"/>
      <c r="Z90" s="246"/>
      <c r="AA90" s="246"/>
      <c r="AB90" s="250">
        <f>IFERROR(+AB78/AB77,"N/A")</f>
        <v>0.1980963712076145</v>
      </c>
      <c r="AC90" s="175"/>
      <c r="AD90" s="246"/>
      <c r="AE90" s="246"/>
      <c r="AF90" s="246"/>
      <c r="AG90" s="250">
        <f>IFERROR(+AG78/AG77,"N/A")</f>
        <v>-1.3131313131313131</v>
      </c>
      <c r="AH90" s="250"/>
      <c r="AI90" s="246"/>
      <c r="AJ90" s="246"/>
      <c r="AK90" s="246"/>
      <c r="AL90" s="250">
        <f>IFERROR(+AL78/AL77,"N/A")</f>
        <v>0.1111111111111111</v>
      </c>
      <c r="AM90" s="250"/>
      <c r="AN90" s="250"/>
      <c r="AO90" s="250"/>
      <c r="AP90" s="250"/>
    </row>
    <row r="91" spans="2:42" ht="16">
      <c r="B91" s="219"/>
      <c r="C91" s="175"/>
      <c r="D91" s="175"/>
      <c r="E91" s="246"/>
      <c r="F91" s="246"/>
      <c r="G91" s="246"/>
      <c r="H91" s="246"/>
      <c r="I91" s="175"/>
      <c r="J91" s="246"/>
      <c r="K91" s="246"/>
      <c r="L91" s="246"/>
      <c r="M91" s="246"/>
      <c r="N91" s="175"/>
      <c r="O91" s="246"/>
      <c r="P91" s="246"/>
      <c r="Q91" s="246"/>
      <c r="R91" s="246"/>
      <c r="S91" s="175"/>
      <c r="T91" s="246"/>
      <c r="U91" s="246"/>
      <c r="V91" s="246"/>
      <c r="W91" s="246"/>
      <c r="X91" s="175"/>
      <c r="Y91" s="246"/>
      <c r="Z91" s="246"/>
      <c r="AA91" s="246"/>
      <c r="AB91" s="246"/>
      <c r="AC91" s="175"/>
      <c r="AD91" s="246"/>
      <c r="AE91" s="246"/>
      <c r="AF91" s="246"/>
      <c r="AG91" s="246"/>
      <c r="AH91" s="175"/>
      <c r="AI91" s="246"/>
      <c r="AJ91" s="246"/>
      <c r="AK91" s="246"/>
      <c r="AL91" s="246"/>
      <c r="AM91" s="175"/>
      <c r="AN91" s="175"/>
      <c r="AO91" s="175"/>
      <c r="AP91" s="175"/>
    </row>
    <row r="92" spans="2:42" ht="16">
      <c r="B92" s="219"/>
      <c r="C92" s="175" t="str">
        <f>TEXT(E66,"mm/dd/yyyy")&amp;" "&amp;C67</f>
        <v>LTM EV / Revenue:</v>
      </c>
      <c r="D92" s="175"/>
      <c r="E92" s="246"/>
      <c r="F92" s="246"/>
      <c r="G92" s="246"/>
      <c r="H92" s="245">
        <f>+E67</f>
        <v>2.9859621383030897</v>
      </c>
      <c r="I92" s="175"/>
      <c r="J92" s="246"/>
      <c r="K92" s="246"/>
      <c r="L92" s="246"/>
      <c r="M92" s="245">
        <f>+J67</f>
        <v>2.2667702262175244</v>
      </c>
      <c r="N92" s="175"/>
      <c r="O92" s="246"/>
      <c r="P92" s="246"/>
      <c r="Q92" s="246"/>
      <c r="R92" s="245">
        <f>+O67</f>
        <v>3.8137988671185807</v>
      </c>
      <c r="S92" s="175"/>
      <c r="T92" s="246"/>
      <c r="U92" s="246"/>
      <c r="V92" s="246"/>
      <c r="W92" s="245">
        <f>+T67</f>
        <v>1.0954752596060464</v>
      </c>
      <c r="X92" s="175"/>
      <c r="Y92" s="246"/>
      <c r="Z92" s="246"/>
      <c r="AA92" s="246"/>
      <c r="AB92" s="245">
        <f>+Y67</f>
        <v>1.6897186856728976</v>
      </c>
      <c r="AC92" s="175"/>
      <c r="AD92" s="246"/>
      <c r="AE92" s="246"/>
      <c r="AF92" s="246"/>
      <c r="AG92" s="245">
        <f>+AD67</f>
        <v>1.5567825382073521</v>
      </c>
      <c r="AH92" s="245"/>
      <c r="AI92" s="246"/>
      <c r="AJ92" s="246"/>
      <c r="AK92" s="246"/>
      <c r="AL92" s="245">
        <f>+AI67</f>
        <v>2.431112284716721</v>
      </c>
      <c r="AM92" s="245"/>
      <c r="AN92" s="245"/>
      <c r="AO92" s="245"/>
      <c r="AP92" s="245"/>
    </row>
    <row r="93" spans="2:42" ht="16">
      <c r="B93" s="219"/>
      <c r="C93" s="175" t="str">
        <f>TEXT(E66,"mm/dd/yyyy")&amp;" "&amp;C68</f>
        <v>LTM EV / EBITDA:</v>
      </c>
      <c r="D93" s="175"/>
      <c r="E93" s="246"/>
      <c r="F93" s="246"/>
      <c r="G93" s="246"/>
      <c r="H93" s="245">
        <f>+E68</f>
        <v>2.3516325994592506</v>
      </c>
      <c r="I93" s="175"/>
      <c r="J93" s="246"/>
      <c r="K93" s="246"/>
      <c r="L93" s="246"/>
      <c r="M93" s="245">
        <f>+J68</f>
        <v>13.383794109069699</v>
      </c>
      <c r="N93" s="175"/>
      <c r="O93" s="246"/>
      <c r="P93" s="246"/>
      <c r="Q93" s="246"/>
      <c r="R93" s="245" t="str">
        <f>+O68</f>
        <v>NM</v>
      </c>
      <c r="S93" s="175"/>
      <c r="T93" s="246"/>
      <c r="U93" s="246"/>
      <c r="V93" s="246"/>
      <c r="W93" s="245">
        <f>+T68</f>
        <v>3.8127058415669959</v>
      </c>
      <c r="X93" s="175"/>
      <c r="Y93" s="246"/>
      <c r="Z93" s="246"/>
      <c r="AA93" s="246"/>
      <c r="AB93" s="245" t="str">
        <f>+Y68</f>
        <v>NM</v>
      </c>
      <c r="AC93" s="175"/>
      <c r="AD93" s="246"/>
      <c r="AE93" s="246"/>
      <c r="AF93" s="246"/>
      <c r="AG93" s="245">
        <f>+AD68</f>
        <v>3.4394693602847228</v>
      </c>
      <c r="AH93" s="245"/>
      <c r="AI93" s="246"/>
      <c r="AJ93" s="246"/>
      <c r="AK93" s="246"/>
      <c r="AL93" s="245">
        <f>+AI68</f>
        <v>19.048183908045974</v>
      </c>
      <c r="AM93" s="245"/>
      <c r="AN93" s="245"/>
      <c r="AO93" s="245"/>
      <c r="AP93" s="245"/>
    </row>
    <row r="94" spans="2:42" ht="16">
      <c r="B94" s="219"/>
      <c r="C94" s="175" t="str">
        <f>TEXT(E66,"mm/dd/yyyy")&amp;" "&amp;C69</f>
        <v>LTM P / E:</v>
      </c>
      <c r="D94" s="175"/>
      <c r="E94" s="246"/>
      <c r="F94" s="246"/>
      <c r="G94" s="246"/>
      <c r="H94" s="245" t="str">
        <f>+E69</f>
        <v>NM</v>
      </c>
      <c r="I94" s="175"/>
      <c r="J94" s="246"/>
      <c r="K94" s="246"/>
      <c r="L94" s="246"/>
      <c r="M94" s="245">
        <f>+J69</f>
        <v>16.998703056768559</v>
      </c>
      <c r="N94" s="175"/>
      <c r="O94" s="246"/>
      <c r="P94" s="246"/>
      <c r="Q94" s="246"/>
      <c r="R94" s="245" t="str">
        <f>+O69</f>
        <v>NM</v>
      </c>
      <c r="S94" s="175"/>
      <c r="T94" s="246"/>
      <c r="U94" s="246"/>
      <c r="V94" s="246"/>
      <c r="W94" s="245">
        <f>+T69</f>
        <v>5.2851547199373288</v>
      </c>
      <c r="X94" s="175"/>
      <c r="Y94" s="246"/>
      <c r="Z94" s="246"/>
      <c r="AA94" s="246"/>
      <c r="AB94" s="245" t="str">
        <f>+Y69</f>
        <v>NM</v>
      </c>
      <c r="AC94" s="175"/>
      <c r="AD94" s="246"/>
      <c r="AE94" s="246"/>
      <c r="AF94" s="246"/>
      <c r="AG94" s="245">
        <f>+AD69</f>
        <v>6.0164942163697397</v>
      </c>
      <c r="AH94" s="245"/>
      <c r="AI94" s="246"/>
      <c r="AJ94" s="246"/>
      <c r="AK94" s="246"/>
      <c r="AL94" s="245">
        <f>+AI69</f>
        <v>16.955555555555559</v>
      </c>
      <c r="AM94" s="245"/>
      <c r="AN94" s="245"/>
      <c r="AO94" s="245"/>
      <c r="AP94" s="245"/>
    </row>
    <row r="95" spans="2:42" ht="16">
      <c r="B95" s="219"/>
      <c r="C95" s="175"/>
      <c r="D95" s="175"/>
      <c r="E95" s="246"/>
      <c r="F95" s="246"/>
      <c r="G95" s="246"/>
      <c r="H95" s="246"/>
      <c r="I95" s="175"/>
      <c r="J95" s="246"/>
      <c r="K95" s="246"/>
      <c r="L95" s="246"/>
      <c r="M95" s="246"/>
      <c r="N95" s="175"/>
      <c r="O95" s="246"/>
      <c r="P95" s="246"/>
      <c r="Q95" s="246"/>
      <c r="R95" s="246"/>
      <c r="S95" s="175"/>
      <c r="T95" s="246"/>
      <c r="U95" s="246"/>
      <c r="V95" s="246"/>
      <c r="W95" s="246"/>
      <c r="X95" s="175"/>
      <c r="Y95" s="246"/>
      <c r="Z95" s="246"/>
      <c r="AA95" s="246"/>
      <c r="AB95" s="246"/>
      <c r="AC95" s="175"/>
      <c r="AD95" s="246"/>
      <c r="AE95" s="246"/>
      <c r="AF95" s="246"/>
      <c r="AG95" s="246"/>
      <c r="AH95" s="175"/>
      <c r="AI95" s="246"/>
      <c r="AJ95" s="246"/>
      <c r="AK95" s="246"/>
      <c r="AL95" s="246"/>
      <c r="AM95" s="175"/>
      <c r="AN95" s="175"/>
      <c r="AO95" s="175"/>
      <c r="AP95" s="175"/>
    </row>
    <row r="96" spans="2:42" ht="16">
      <c r="B96" s="219"/>
      <c r="C96" s="175" t="str">
        <f>TEXT(Forward_Year_1,"yyyy-mm-dd")&amp;" "&amp;C67</f>
        <v>2025-12-31 EV / Revenue:</v>
      </c>
      <c r="D96" s="175"/>
      <c r="E96" s="246"/>
      <c r="F96" s="246"/>
      <c r="G96" s="246"/>
      <c r="H96" s="245">
        <f>+F67</f>
        <v>9.5966092397900482</v>
      </c>
      <c r="I96" s="175"/>
      <c r="J96" s="246"/>
      <c r="K96" s="246"/>
      <c r="L96" s="246"/>
      <c r="M96" s="245">
        <f>+K67</f>
        <v>2.2354130540672186</v>
      </c>
      <c r="N96" s="175"/>
      <c r="O96" s="246"/>
      <c r="P96" s="246"/>
      <c r="Q96" s="246"/>
      <c r="R96" s="245">
        <f>+P67</f>
        <v>5.4004996712689017</v>
      </c>
      <c r="S96" s="175"/>
      <c r="T96" s="246"/>
      <c r="U96" s="246"/>
      <c r="V96" s="246"/>
      <c r="W96" s="245">
        <f>+U67</f>
        <v>1.1954076086956522</v>
      </c>
      <c r="X96" s="175"/>
      <c r="Y96" s="246"/>
      <c r="Z96" s="246"/>
      <c r="AA96" s="246"/>
      <c r="AB96" s="245">
        <f>+Z67</f>
        <v>1.6958809462431279</v>
      </c>
      <c r="AC96" s="175"/>
      <c r="AD96" s="246"/>
      <c r="AE96" s="246"/>
      <c r="AF96" s="246"/>
      <c r="AG96" s="245">
        <f>+AE67</f>
        <v>9.7895338311688302</v>
      </c>
      <c r="AH96" s="245"/>
      <c r="AI96" s="246"/>
      <c r="AJ96" s="246"/>
      <c r="AK96" s="246"/>
      <c r="AL96" s="245">
        <f>+AJ67</f>
        <v>2.0428024525745254</v>
      </c>
      <c r="AM96" s="245"/>
      <c r="AN96" s="245"/>
      <c r="AO96" s="245"/>
      <c r="AP96" s="245"/>
    </row>
    <row r="97" spans="2:42" ht="16">
      <c r="B97" s="219"/>
      <c r="C97" s="175" t="str">
        <f>TEXT(Forward_Year_1,"yyyy-mm-dd")&amp;" "&amp;C68</f>
        <v>2025-12-31 EV / EBITDA:</v>
      </c>
      <c r="D97" s="175"/>
      <c r="E97" s="246"/>
      <c r="F97" s="246"/>
      <c r="G97" s="246"/>
      <c r="H97" s="245" t="str">
        <f>+F68</f>
        <v>NM</v>
      </c>
      <c r="I97" s="175"/>
      <c r="J97" s="246"/>
      <c r="K97" s="246"/>
      <c r="L97" s="246"/>
      <c r="M97" s="245">
        <f>+K68</f>
        <v>12.563107035313442</v>
      </c>
      <c r="N97" s="175"/>
      <c r="O97" s="246"/>
      <c r="P97" s="246"/>
      <c r="Q97" s="246"/>
      <c r="R97" s="245">
        <f>+P68</f>
        <v>16.527484909456739</v>
      </c>
      <c r="S97" s="175"/>
      <c r="T97" s="246"/>
      <c r="U97" s="246"/>
      <c r="V97" s="246"/>
      <c r="W97" s="245">
        <f>+U68</f>
        <v>4.6798936170212766</v>
      </c>
      <c r="X97" s="175"/>
      <c r="Y97" s="246"/>
      <c r="Z97" s="246"/>
      <c r="AA97" s="246"/>
      <c r="AB97" s="245">
        <f>+Z68</f>
        <v>8.8412646783439506</v>
      </c>
      <c r="AC97" s="175"/>
      <c r="AD97" s="246"/>
      <c r="AE97" s="246"/>
      <c r="AF97" s="246"/>
      <c r="AG97" s="245" t="str">
        <f>+AE68</f>
        <v>NM</v>
      </c>
      <c r="AH97" s="245"/>
      <c r="AI97" s="246"/>
      <c r="AJ97" s="246"/>
      <c r="AK97" s="246"/>
      <c r="AL97" s="245">
        <f>+AJ68</f>
        <v>25.126470166666664</v>
      </c>
      <c r="AM97" s="245"/>
      <c r="AN97" s="245"/>
      <c r="AO97" s="245"/>
      <c r="AP97" s="245"/>
    </row>
    <row r="98" spans="2:42" ht="16">
      <c r="B98" s="219"/>
      <c r="C98" s="175" t="str">
        <f>TEXT(Forward_Year_1,"yyyy-mm-dd")&amp;" "&amp;C69</f>
        <v>2025-12-31 P / E:</v>
      </c>
      <c r="D98" s="175"/>
      <c r="E98" s="246"/>
      <c r="F98" s="246"/>
      <c r="G98" s="246"/>
      <c r="H98" s="245" t="str">
        <f>+F69</f>
        <v>NM</v>
      </c>
      <c r="I98" s="175"/>
      <c r="J98" s="246"/>
      <c r="K98" s="246"/>
      <c r="L98" s="246"/>
      <c r="M98" s="245">
        <f>+K69</f>
        <v>18.572056297709924</v>
      </c>
      <c r="N98" s="175"/>
      <c r="O98" s="246"/>
      <c r="P98" s="246"/>
      <c r="Q98" s="246"/>
      <c r="R98" s="245">
        <f>+P69</f>
        <v>36.945263157894736</v>
      </c>
      <c r="S98" s="175"/>
      <c r="T98" s="246"/>
      <c r="U98" s="246"/>
      <c r="V98" s="246"/>
      <c r="W98" s="245">
        <f>+U69</f>
        <v>10.047978723404254</v>
      </c>
      <c r="X98" s="175"/>
      <c r="Y98" s="246"/>
      <c r="Z98" s="246"/>
      <c r="AA98" s="246"/>
      <c r="AB98" s="245">
        <f>+Z69</f>
        <v>6.1322905857988168</v>
      </c>
      <c r="AC98" s="175"/>
      <c r="AD98" s="246"/>
      <c r="AE98" s="246"/>
      <c r="AF98" s="246"/>
      <c r="AG98" s="245" t="str">
        <f>+AE69</f>
        <v>NM</v>
      </c>
      <c r="AH98" s="245"/>
      <c r="AI98" s="246"/>
      <c r="AJ98" s="246"/>
      <c r="AK98" s="246"/>
      <c r="AL98" s="245" t="str">
        <f>+AJ69</f>
        <v>NM</v>
      </c>
      <c r="AM98" s="245"/>
      <c r="AN98" s="245"/>
      <c r="AO98" s="245"/>
      <c r="AP98" s="245"/>
    </row>
    <row r="99" spans="2:42" ht="16">
      <c r="B99" s="219"/>
      <c r="C99" s="175"/>
      <c r="D99" s="175"/>
      <c r="E99" s="246"/>
      <c r="F99" s="246"/>
      <c r="G99" s="246"/>
      <c r="H99" s="246"/>
      <c r="I99" s="175"/>
      <c r="J99" s="246"/>
      <c r="K99" s="246"/>
      <c r="L99" s="246"/>
      <c r="M99" s="246"/>
      <c r="N99" s="175"/>
      <c r="O99" s="246"/>
      <c r="P99" s="246"/>
      <c r="Q99" s="246"/>
      <c r="R99" s="246"/>
      <c r="S99" s="175"/>
      <c r="T99" s="246"/>
      <c r="U99" s="246"/>
      <c r="V99" s="246"/>
      <c r="W99" s="246"/>
      <c r="X99" s="175"/>
      <c r="Y99" s="246"/>
      <c r="Z99" s="246"/>
      <c r="AA99" s="246"/>
      <c r="AB99" s="246"/>
      <c r="AC99" s="175"/>
      <c r="AD99" s="246"/>
      <c r="AE99" s="246"/>
      <c r="AF99" s="246"/>
      <c r="AG99" s="246"/>
      <c r="AH99" s="175"/>
      <c r="AI99" s="246"/>
      <c r="AJ99" s="246"/>
      <c r="AK99" s="246"/>
      <c r="AL99" s="246"/>
      <c r="AM99" s="175"/>
      <c r="AN99" s="175"/>
      <c r="AO99" s="175"/>
      <c r="AP99" s="175"/>
    </row>
    <row r="100" spans="2:42" ht="16">
      <c r="B100" s="219"/>
      <c r="C100" s="175" t="str">
        <f>TEXT(Forward_Year_2,"yyyy-mm-dd")&amp;" "&amp;C67</f>
        <v>2026-12-31 EV / Revenue:</v>
      </c>
      <c r="D100" s="175"/>
      <c r="E100" s="246"/>
      <c r="F100" s="246"/>
      <c r="G100" s="246"/>
      <c r="H100" s="245">
        <f>+G67</f>
        <v>10.690740649692712</v>
      </c>
      <c r="I100" s="175"/>
      <c r="J100" s="246"/>
      <c r="K100" s="246"/>
      <c r="L100" s="246"/>
      <c r="M100" s="245">
        <f>+L67</f>
        <v>2.1410324236062515</v>
      </c>
      <c r="N100" s="175"/>
      <c r="O100" s="246"/>
      <c r="P100" s="246"/>
      <c r="Q100" s="246"/>
      <c r="R100" s="245">
        <f>+Q67</f>
        <v>5.0116900549115311</v>
      </c>
      <c r="S100" s="175"/>
      <c r="T100" s="246"/>
      <c r="U100" s="246"/>
      <c r="V100" s="246"/>
      <c r="W100" s="245">
        <f>+V67</f>
        <v>1.1485900783289817</v>
      </c>
      <c r="X100" s="175"/>
      <c r="Y100" s="246"/>
      <c r="Z100" s="246"/>
      <c r="AA100" s="246"/>
      <c r="AB100" s="245">
        <f>+AA67</f>
        <v>1.6514914390243904</v>
      </c>
      <c r="AC100" s="175"/>
      <c r="AD100" s="246"/>
      <c r="AE100" s="246"/>
      <c r="AF100" s="246"/>
      <c r="AG100" s="245">
        <f>+AF67</f>
        <v>7.6140818686868679</v>
      </c>
      <c r="AH100" s="245"/>
      <c r="AI100" s="246"/>
      <c r="AJ100" s="246"/>
      <c r="AK100" s="246"/>
      <c r="AL100" s="245">
        <f>+AK67</f>
        <v>1.8207587077294685</v>
      </c>
      <c r="AM100" s="245"/>
      <c r="AN100" s="245"/>
      <c r="AO100" s="245"/>
      <c r="AP100" s="245"/>
    </row>
    <row r="101" spans="2:42" ht="16">
      <c r="B101" s="219"/>
      <c r="C101" s="175" t="str">
        <f>TEXT(Forward_Year_2,"yyyy-mm-dd")&amp;" "&amp;C68</f>
        <v>2026-12-31 EV / EBITDA:</v>
      </c>
      <c r="D101" s="175"/>
      <c r="E101" s="246"/>
      <c r="F101" s="246"/>
      <c r="G101" s="246"/>
      <c r="H101" s="245" t="str">
        <f>+G68</f>
        <v>NM</v>
      </c>
      <c r="I101" s="175"/>
      <c r="J101" s="246"/>
      <c r="K101" s="246"/>
      <c r="L101" s="246"/>
      <c r="M101" s="245">
        <f>+L68</f>
        <v>11.704419790869675</v>
      </c>
      <c r="N101" s="175"/>
      <c r="O101" s="246"/>
      <c r="P101" s="246"/>
      <c r="Q101" s="246"/>
      <c r="R101" s="245">
        <f>+Q68</f>
        <v>15.099558823529412</v>
      </c>
      <c r="S101" s="175"/>
      <c r="T101" s="246"/>
      <c r="U101" s="246"/>
      <c r="V101" s="246"/>
      <c r="W101" s="245">
        <f>+V68</f>
        <v>4.3555445544554461</v>
      </c>
      <c r="X101" s="175"/>
      <c r="Y101" s="246"/>
      <c r="Z101" s="246"/>
      <c r="AA101" s="246"/>
      <c r="AB101" s="245">
        <f>+AA68</f>
        <v>8.3368081351351364</v>
      </c>
      <c r="AC101" s="175"/>
      <c r="AD101" s="246"/>
      <c r="AE101" s="246"/>
      <c r="AF101" s="246"/>
      <c r="AG101" s="245" t="str">
        <f>+AF68</f>
        <v>NM</v>
      </c>
      <c r="AH101" s="245"/>
      <c r="AI101" s="246"/>
      <c r="AJ101" s="246"/>
      <c r="AK101" s="246"/>
      <c r="AL101" s="245">
        <f>+AK68</f>
        <v>16.386828369565215</v>
      </c>
      <c r="AM101" s="245"/>
      <c r="AN101" s="245"/>
      <c r="AO101" s="245"/>
      <c r="AP101" s="245"/>
    </row>
    <row r="102" spans="2:42" ht="16">
      <c r="B102" s="219"/>
      <c r="C102" s="175" t="str">
        <f>TEXT(Forward_Year_2,"yyyy-mm-dd")&amp;" "&amp;C69</f>
        <v>2026-12-31 P / E:</v>
      </c>
      <c r="D102" s="175"/>
      <c r="E102" s="246"/>
      <c r="F102" s="246"/>
      <c r="G102" s="246"/>
      <c r="H102" s="245" t="str">
        <f>+G69</f>
        <v>NM</v>
      </c>
      <c r="I102" s="175"/>
      <c r="J102" s="246"/>
      <c r="K102" s="246"/>
      <c r="L102" s="246"/>
      <c r="M102" s="245">
        <f>+L69</f>
        <v>18.13089427107592</v>
      </c>
      <c r="N102" s="175"/>
      <c r="O102" s="246"/>
      <c r="P102" s="246"/>
      <c r="Q102" s="246"/>
      <c r="R102" s="245">
        <f>+Q69</f>
        <v>29.137962264150946</v>
      </c>
      <c r="S102" s="175"/>
      <c r="T102" s="246"/>
      <c r="U102" s="246"/>
      <c r="V102" s="246"/>
      <c r="W102" s="245">
        <f>+V69</f>
        <v>9.0818269230769229</v>
      </c>
      <c r="X102" s="175"/>
      <c r="Y102" s="246"/>
      <c r="Z102" s="246"/>
      <c r="AA102" s="246"/>
      <c r="AB102" s="245">
        <f>+AA69</f>
        <v>5.7257298839779009</v>
      </c>
      <c r="AC102" s="175"/>
      <c r="AD102" s="246"/>
      <c r="AE102" s="246"/>
      <c r="AF102" s="246"/>
      <c r="AG102" s="245" t="str">
        <f>+AF69</f>
        <v>NM</v>
      </c>
      <c r="AH102" s="245"/>
      <c r="AI102" s="246"/>
      <c r="AJ102" s="246"/>
      <c r="AK102" s="246"/>
      <c r="AL102" s="245" t="str">
        <f>+AK69</f>
        <v>NM</v>
      </c>
      <c r="AM102" s="245"/>
      <c r="AN102" s="245"/>
      <c r="AO102" s="245"/>
      <c r="AP102" s="245"/>
    </row>
    <row r="103" spans="2:42" ht="16">
      <c r="B103" s="219"/>
      <c r="C103" s="175"/>
      <c r="D103" s="175"/>
      <c r="E103" s="175"/>
      <c r="F103" s="175"/>
      <c r="G103" s="175"/>
      <c r="H103" s="175"/>
      <c r="I103" s="175"/>
      <c r="J103" s="175"/>
      <c r="K103" s="175"/>
      <c r="L103" s="175"/>
      <c r="M103" s="175"/>
      <c r="N103" s="175"/>
      <c r="O103" s="175"/>
      <c r="P103" s="175"/>
      <c r="Q103" s="175"/>
      <c r="R103" s="175"/>
      <c r="S103" s="175"/>
      <c r="T103" s="175"/>
      <c r="U103" s="175"/>
      <c r="V103" s="175"/>
      <c r="W103" s="175"/>
      <c r="X103" s="175"/>
      <c r="Y103" s="175"/>
      <c r="Z103" s="175"/>
      <c r="AA103" s="175"/>
      <c r="AB103" s="175"/>
      <c r="AC103" s="175"/>
      <c r="AD103" s="175"/>
      <c r="AE103" s="175"/>
      <c r="AF103" s="175"/>
      <c r="AG103" s="175"/>
      <c r="AH103" s="175"/>
      <c r="AI103" s="175"/>
      <c r="AJ103" s="175"/>
      <c r="AK103" s="175"/>
      <c r="AL103" s="175"/>
      <c r="AM103" s="175"/>
      <c r="AN103" s="175"/>
      <c r="AO103" s="175"/>
      <c r="AP103" s="175"/>
    </row>
    <row r="104" spans="2:42" ht="16">
      <c r="B104" s="219"/>
      <c r="C104" s="251" t="s">
        <v>246</v>
      </c>
      <c r="D104" s="175"/>
      <c r="E104" s="252"/>
      <c r="F104" s="175"/>
      <c r="G104" s="175"/>
      <c r="H104" s="253"/>
      <c r="I104" s="175"/>
      <c r="J104" s="252"/>
      <c r="K104" s="175"/>
      <c r="L104" s="175"/>
      <c r="M104" s="253"/>
      <c r="N104" s="175"/>
      <c r="O104" s="252"/>
      <c r="P104" s="175"/>
      <c r="Q104" s="175"/>
      <c r="R104" s="253"/>
      <c r="S104" s="175"/>
      <c r="T104" s="252"/>
      <c r="U104" s="175"/>
      <c r="V104" s="175"/>
      <c r="W104" s="253"/>
      <c r="X104" s="175"/>
      <c r="Y104" s="252"/>
      <c r="Z104" s="175"/>
      <c r="AA104" s="175"/>
      <c r="AB104" s="253"/>
      <c r="AC104" s="175"/>
      <c r="AD104" s="252"/>
      <c r="AE104" s="175"/>
      <c r="AF104" s="175"/>
      <c r="AG104" s="253"/>
      <c r="AH104" s="254"/>
      <c r="AI104" s="252"/>
      <c r="AJ104" s="175"/>
      <c r="AK104" s="175"/>
      <c r="AL104" s="253"/>
      <c r="AM104" s="254"/>
      <c r="AN104" s="254"/>
      <c r="AO104" s="254"/>
      <c r="AP104" s="254"/>
    </row>
  </sheetData>
  <mergeCells count="2">
    <mergeCell ref="AD5:AG5"/>
    <mergeCell ref="AI5:AL5"/>
  </mergeCells>
  <hyperlinks>
    <hyperlink ref="G8" r:id="rId1" tooltip="Revenue_x000a_ FY: 2024_x000a_ Period End Date: Jun-30-2024_x000a_ Filing Date: Aug-29-2024_x000a_ Period Type: Annual_x000a_ Value: 14,905.4, Currency: USD, Millions" display="javascript:void(0);" xr:uid="{71335E9F-F933-445C-BC6C-8C952AE007C2}"/>
  </hyperlinks>
  <pageMargins left="0.7" right="0.7" top="0.75" bottom="0.75" header="0.3" footer="0.3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5954-2BBB-4CBE-9591-C48DB312AB6D}">
  <dimension ref="B2:P27"/>
  <sheetViews>
    <sheetView showGridLines="0" zoomScale="55" workbookViewId="0">
      <selection activeCell="D26" sqref="D26"/>
    </sheetView>
  </sheetViews>
  <sheetFormatPr defaultRowHeight="14.5"/>
  <cols>
    <col min="2" max="2" width="33.7265625" customWidth="1"/>
    <col min="3" max="3" width="44" customWidth="1"/>
    <col min="4" max="4" width="12.26953125" bestFit="1" customWidth="1"/>
    <col min="5" max="5" width="15.453125" bestFit="1" customWidth="1"/>
    <col min="6" max="7" width="14.26953125" bestFit="1" customWidth="1"/>
    <col min="8" max="8" width="9.7265625" bestFit="1" customWidth="1"/>
    <col min="9" max="9" width="7.7265625" bestFit="1" customWidth="1"/>
    <col min="10" max="13" width="10" bestFit="1" customWidth="1"/>
    <col min="14" max="15" width="8.81640625" bestFit="1" customWidth="1"/>
    <col min="16" max="16" width="8.54296875" bestFit="1" customWidth="1"/>
  </cols>
  <sheetData>
    <row r="2" spans="2:16" ht="21">
      <c r="B2" s="490" t="s">
        <v>386</v>
      </c>
      <c r="C2" s="300"/>
      <c r="D2" s="300"/>
      <c r="E2" s="301"/>
      <c r="F2" s="301"/>
      <c r="G2" s="301"/>
      <c r="H2" s="301"/>
      <c r="I2" s="301"/>
      <c r="J2" s="301"/>
      <c r="K2" s="301"/>
      <c r="L2" s="301"/>
      <c r="M2" s="301"/>
      <c r="N2" s="301"/>
      <c r="O2" s="301"/>
      <c r="P2" s="301"/>
    </row>
    <row r="3" spans="2:16" ht="18.5">
      <c r="B3" s="299" t="s">
        <v>385</v>
      </c>
      <c r="C3" s="300"/>
      <c r="D3" s="300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301"/>
      <c r="P3" s="301"/>
    </row>
    <row r="4" spans="2:16" ht="16">
      <c r="B4" s="302" t="s">
        <v>499</v>
      </c>
      <c r="C4" s="301"/>
      <c r="D4" s="301"/>
      <c r="E4" s="301"/>
      <c r="F4" s="301"/>
      <c r="G4" s="301"/>
      <c r="H4" s="301"/>
      <c r="I4" s="301"/>
      <c r="J4" s="301"/>
      <c r="K4" s="301"/>
      <c r="L4" s="301"/>
      <c r="M4" s="301"/>
      <c r="N4" s="301"/>
      <c r="O4" s="301"/>
      <c r="P4" s="301"/>
    </row>
    <row r="5" spans="2:16" ht="16">
      <c r="B5" s="301"/>
      <c r="C5" s="301"/>
      <c r="D5" s="301"/>
      <c r="E5" s="301"/>
      <c r="F5" s="303"/>
      <c r="G5" s="301"/>
      <c r="H5" s="301"/>
      <c r="I5" s="301"/>
      <c r="J5" s="301"/>
      <c r="K5" s="301"/>
      <c r="L5" s="301"/>
      <c r="M5" s="301"/>
      <c r="N5" s="301"/>
      <c r="O5" s="301"/>
      <c r="P5" s="301"/>
    </row>
    <row r="6" spans="2:16" ht="16">
      <c r="B6" s="304" t="str">
        <f>Company_Name&amp;" - Comparable M&amp;A Transactions"</f>
        <v>Butterfly Network, inc. - Comparable M&amp;A Transactions</v>
      </c>
      <c r="C6" s="304"/>
      <c r="D6" s="304"/>
      <c r="E6" s="305"/>
      <c r="F6" s="306" t="s">
        <v>285</v>
      </c>
      <c r="G6" s="307"/>
      <c r="H6" s="306" t="s">
        <v>286</v>
      </c>
      <c r="I6" s="306"/>
      <c r="J6" s="308"/>
      <c r="K6" s="306" t="s">
        <v>287</v>
      </c>
      <c r="L6" s="306"/>
      <c r="M6" s="306"/>
      <c r="N6" s="306" t="s">
        <v>288</v>
      </c>
      <c r="O6" s="306"/>
      <c r="P6" s="306"/>
    </row>
    <row r="7" spans="2:16" ht="16">
      <c r="B7" s="304"/>
      <c r="C7" s="304"/>
      <c r="D7" s="304"/>
      <c r="E7" s="305" t="s">
        <v>289</v>
      </c>
      <c r="F7" s="306"/>
      <c r="G7" s="307"/>
      <c r="H7" s="305" t="s">
        <v>290</v>
      </c>
      <c r="I7" s="305" t="s">
        <v>290</v>
      </c>
      <c r="J7" s="305"/>
      <c r="K7" s="306"/>
      <c r="L7" s="306"/>
      <c r="M7" s="306"/>
      <c r="N7" s="305"/>
      <c r="O7" s="305"/>
      <c r="P7" s="305"/>
    </row>
    <row r="8" spans="2:16" ht="16">
      <c r="B8" s="309"/>
      <c r="C8" s="309"/>
      <c r="D8" s="305"/>
      <c r="E8" s="305" t="s">
        <v>291</v>
      </c>
      <c r="F8" s="305" t="s">
        <v>202</v>
      </c>
      <c r="G8" s="305" t="s">
        <v>202</v>
      </c>
      <c r="H8" s="305" t="s">
        <v>202</v>
      </c>
      <c r="I8" s="305" t="s">
        <v>202</v>
      </c>
      <c r="J8" s="305" t="s">
        <v>292</v>
      </c>
      <c r="K8" s="305" t="s">
        <v>293</v>
      </c>
      <c r="L8" s="305" t="s">
        <v>294</v>
      </c>
      <c r="M8" s="305" t="s">
        <v>295</v>
      </c>
      <c r="N8" s="305" t="s">
        <v>293</v>
      </c>
      <c r="O8" s="305" t="s">
        <v>294</v>
      </c>
      <c r="P8" s="305" t="s">
        <v>295</v>
      </c>
    </row>
    <row r="9" spans="2:16" ht="16">
      <c r="B9" s="310" t="s">
        <v>296</v>
      </c>
      <c r="C9" s="310" t="s">
        <v>297</v>
      </c>
      <c r="D9" s="310" t="s">
        <v>298</v>
      </c>
      <c r="E9" s="310" t="s">
        <v>264</v>
      </c>
      <c r="F9" s="310" t="s">
        <v>180</v>
      </c>
      <c r="G9" s="310" t="s">
        <v>191</v>
      </c>
      <c r="H9" s="310" t="s">
        <v>180</v>
      </c>
      <c r="I9" s="310" t="s">
        <v>191</v>
      </c>
      <c r="J9" s="310" t="s">
        <v>299</v>
      </c>
      <c r="K9" s="310" t="s">
        <v>300</v>
      </c>
      <c r="L9" s="310" t="s">
        <v>300</v>
      </c>
      <c r="M9" s="310" t="s">
        <v>300</v>
      </c>
      <c r="N9" s="310" t="s">
        <v>300</v>
      </c>
      <c r="O9" s="310" t="s">
        <v>300</v>
      </c>
      <c r="P9" s="310" t="s">
        <v>300</v>
      </c>
    </row>
    <row r="10" spans="2:16" ht="16">
      <c r="B10" s="311"/>
      <c r="C10" s="312"/>
      <c r="D10" s="313"/>
      <c r="E10" s="314"/>
      <c r="F10" s="315"/>
      <c r="G10" s="315"/>
      <c r="H10" s="316"/>
      <c r="I10" s="316"/>
      <c r="J10" s="317"/>
      <c r="K10" s="317"/>
      <c r="L10" s="317"/>
      <c r="M10" s="317"/>
      <c r="N10" s="318"/>
      <c r="O10" s="318"/>
      <c r="P10" s="318"/>
    </row>
    <row r="11" spans="2:16" ht="16">
      <c r="B11" s="319" t="s">
        <v>307</v>
      </c>
      <c r="C11" s="320" t="s">
        <v>306</v>
      </c>
      <c r="D11" s="313">
        <v>45299</v>
      </c>
      <c r="E11" s="321">
        <v>3355.63</v>
      </c>
      <c r="F11" s="315">
        <v>366.38</v>
      </c>
      <c r="G11" s="360" t="s">
        <v>308</v>
      </c>
      <c r="H11" s="316">
        <f t="shared" ref="H11:I16" si="0">IFERROR(IF(OR(+$E11/F11&lt;0,+$E11/F11&gt;=100),"NM",+$E11/F11),"N/A")</f>
        <v>9.1588787597576289</v>
      </c>
      <c r="I11" s="316" t="str">
        <f t="shared" si="0"/>
        <v>N/A</v>
      </c>
      <c r="J11" s="317">
        <v>71</v>
      </c>
      <c r="K11" s="317">
        <v>57.57</v>
      </c>
      <c r="L11" s="317">
        <v>62.23</v>
      </c>
      <c r="M11" s="317">
        <v>56.82</v>
      </c>
      <c r="N11" s="318">
        <f t="shared" ref="N11:P16" si="1">IFERROR($J11/K11-1,"N/A")</f>
        <v>0.23328122285912811</v>
      </c>
      <c r="O11" s="318">
        <f t="shared" si="1"/>
        <v>0.14092881246986999</v>
      </c>
      <c r="P11" s="318">
        <f t="shared" si="1"/>
        <v>0.24956001407954953</v>
      </c>
    </row>
    <row r="12" spans="2:16" ht="16">
      <c r="B12" s="302" t="s">
        <v>315</v>
      </c>
      <c r="C12" s="320" t="s">
        <v>316</v>
      </c>
      <c r="D12" s="313">
        <v>44183</v>
      </c>
      <c r="E12" s="321">
        <v>2799.37</v>
      </c>
      <c r="F12" s="321">
        <v>414.8</v>
      </c>
      <c r="G12" s="321">
        <v>105.09</v>
      </c>
      <c r="H12" s="316">
        <f t="shared" si="0"/>
        <v>6.7487222757955641</v>
      </c>
      <c r="I12" s="316">
        <f t="shared" si="0"/>
        <v>26.637834237320391</v>
      </c>
      <c r="J12" s="317">
        <v>72</v>
      </c>
      <c r="K12" s="317">
        <v>61.78</v>
      </c>
      <c r="L12" s="317">
        <v>59.53</v>
      </c>
      <c r="M12" s="317">
        <v>47.41</v>
      </c>
      <c r="N12" s="318">
        <f t="shared" si="1"/>
        <v>0.16542570411136293</v>
      </c>
      <c r="O12" s="318">
        <f t="shared" si="1"/>
        <v>0.20947421468167304</v>
      </c>
      <c r="P12" s="318">
        <f t="shared" si="1"/>
        <v>0.51866694790128687</v>
      </c>
    </row>
    <row r="13" spans="2:16" ht="16">
      <c r="B13" s="302" t="s">
        <v>315</v>
      </c>
      <c r="C13" s="320" t="s">
        <v>317</v>
      </c>
      <c r="D13" s="313">
        <v>45643</v>
      </c>
      <c r="E13" s="321">
        <v>1190.6600000000001</v>
      </c>
      <c r="F13" s="321">
        <v>396.88666666666671</v>
      </c>
      <c r="G13" s="321">
        <v>15.728665785997359</v>
      </c>
      <c r="H13" s="316">
        <f t="shared" si="0"/>
        <v>3</v>
      </c>
      <c r="I13" s="316">
        <f t="shared" si="0"/>
        <v>75.7</v>
      </c>
      <c r="J13" s="317">
        <v>18</v>
      </c>
      <c r="K13" s="317">
        <v>11.49</v>
      </c>
      <c r="L13" s="317">
        <v>11.63</v>
      </c>
      <c r="M13" s="317">
        <v>11.08</v>
      </c>
      <c r="N13" s="318">
        <f t="shared" si="1"/>
        <v>0.56657963446475201</v>
      </c>
      <c r="O13" s="318">
        <f t="shared" si="1"/>
        <v>0.54772141014617359</v>
      </c>
      <c r="P13" s="318">
        <f t="shared" si="1"/>
        <v>0.62454873646209386</v>
      </c>
    </row>
    <row r="14" spans="2:16" ht="16">
      <c r="B14" s="319" t="s">
        <v>318</v>
      </c>
      <c r="C14" s="320" t="s">
        <v>319</v>
      </c>
      <c r="D14" s="313">
        <v>44045</v>
      </c>
      <c r="E14" s="321">
        <v>16390.759999999998</v>
      </c>
      <c r="F14" s="321">
        <v>3196.6</v>
      </c>
      <c r="G14" s="321">
        <v>585.83000000000004</v>
      </c>
      <c r="H14" s="316">
        <f t="shared" si="0"/>
        <v>5.1275605330663829</v>
      </c>
      <c r="I14" s="316">
        <f t="shared" si="0"/>
        <v>27.978696891589706</v>
      </c>
      <c r="J14" s="317">
        <v>177.5</v>
      </c>
      <c r="K14" s="317">
        <v>142.72</v>
      </c>
      <c r="L14" s="317">
        <v>127.16</v>
      </c>
      <c r="M14" s="317">
        <v>122.39</v>
      </c>
      <c r="N14" s="318">
        <f t="shared" si="1"/>
        <v>0.24369394618834073</v>
      </c>
      <c r="O14" s="318">
        <f t="shared" si="1"/>
        <v>0.3958792072978925</v>
      </c>
      <c r="P14" s="318">
        <f t="shared" si="1"/>
        <v>0.45028188577498152</v>
      </c>
    </row>
    <row r="15" spans="2:16" ht="16">
      <c r="B15" s="319" t="s">
        <v>320</v>
      </c>
      <c r="C15" s="320" t="s">
        <v>321</v>
      </c>
      <c r="D15" s="313">
        <v>44441</v>
      </c>
      <c r="E15" s="321">
        <v>11996.27</v>
      </c>
      <c r="F15" s="321">
        <v>2926.1</v>
      </c>
      <c r="G15" s="314">
        <v>574.6</v>
      </c>
      <c r="H15" s="316">
        <f t="shared" si="0"/>
        <v>4.0997471036533275</v>
      </c>
      <c r="I15" s="316">
        <f t="shared" si="0"/>
        <v>20.877601809954751</v>
      </c>
      <c r="J15" s="317">
        <v>156</v>
      </c>
      <c r="K15" s="322">
        <v>145.06</v>
      </c>
      <c r="L15" s="322">
        <v>131.63999999999999</v>
      </c>
      <c r="M15" s="322">
        <v>138.72999999999999</v>
      </c>
      <c r="N15" s="318">
        <f t="shared" si="1"/>
        <v>7.5417068799117581E-2</v>
      </c>
      <c r="O15" s="318">
        <f t="shared" si="1"/>
        <v>0.18505013673655446</v>
      </c>
      <c r="P15" s="318">
        <f t="shared" si="1"/>
        <v>0.12448641245584957</v>
      </c>
    </row>
    <row r="16" spans="2:16" ht="16">
      <c r="B16" s="319" t="s">
        <v>322</v>
      </c>
      <c r="C16" s="319" t="s">
        <v>323</v>
      </c>
      <c r="D16" s="313">
        <v>44567</v>
      </c>
      <c r="E16" s="314">
        <v>2987.7</v>
      </c>
      <c r="F16" s="314">
        <v>234.19</v>
      </c>
      <c r="G16" s="314">
        <v>13.26</v>
      </c>
      <c r="H16" s="316">
        <f t="shared" si="0"/>
        <v>12.757589991032921</v>
      </c>
      <c r="I16" s="316" t="str">
        <f t="shared" si="0"/>
        <v>NM</v>
      </c>
      <c r="J16" s="322">
        <v>79.25</v>
      </c>
      <c r="K16" s="322">
        <v>62.52</v>
      </c>
      <c r="L16" s="322">
        <v>64</v>
      </c>
      <c r="M16" s="322">
        <v>57.7</v>
      </c>
      <c r="N16" s="318">
        <f t="shared" si="1"/>
        <v>0.2675943698016634</v>
      </c>
      <c r="O16" s="318">
        <f t="shared" si="1"/>
        <v>0.23828125</v>
      </c>
      <c r="P16" s="318">
        <f t="shared" si="1"/>
        <v>0.37348353552859614</v>
      </c>
    </row>
    <row r="17" spans="2:16" ht="16">
      <c r="B17" s="323"/>
      <c r="C17" s="323"/>
      <c r="D17" s="324"/>
      <c r="E17" s="325"/>
      <c r="F17" s="325"/>
      <c r="G17" s="325"/>
      <c r="H17" s="326"/>
      <c r="I17" s="326"/>
      <c r="J17" s="326"/>
      <c r="K17" s="326"/>
      <c r="L17" s="326"/>
      <c r="M17" s="326"/>
      <c r="N17" s="326"/>
      <c r="O17" s="326"/>
      <c r="P17" s="326"/>
    </row>
    <row r="18" spans="2:16" ht="16">
      <c r="B18" s="327" t="s">
        <v>301</v>
      </c>
      <c r="C18" s="328"/>
      <c r="D18" s="329"/>
      <c r="E18" s="330">
        <f>MAX(E11:E16)</f>
        <v>16390.759999999998</v>
      </c>
      <c r="F18" s="330">
        <f t="shared" ref="F18:P18" si="2">MAX(F11:F16)</f>
        <v>3196.6</v>
      </c>
      <c r="G18" s="330">
        <f t="shared" si="2"/>
        <v>585.83000000000004</v>
      </c>
      <c r="H18" s="331">
        <f t="shared" si="2"/>
        <v>12.757589991032921</v>
      </c>
      <c r="I18" s="331">
        <f t="shared" si="2"/>
        <v>75.7</v>
      </c>
      <c r="J18" s="332"/>
      <c r="K18" s="332"/>
      <c r="L18" s="332"/>
      <c r="M18" s="332"/>
      <c r="N18" s="333">
        <f t="shared" si="2"/>
        <v>0.56657963446475201</v>
      </c>
      <c r="O18" s="333">
        <f t="shared" si="2"/>
        <v>0.54772141014617359</v>
      </c>
      <c r="P18" s="334">
        <f t="shared" si="2"/>
        <v>0.62454873646209386</v>
      </c>
    </row>
    <row r="19" spans="2:16" ht="16">
      <c r="B19" s="335" t="s">
        <v>302</v>
      </c>
      <c r="C19" s="336"/>
      <c r="D19" s="337"/>
      <c r="E19" s="338">
        <f>QUARTILE(E11:E16,3)</f>
        <v>9836.11</v>
      </c>
      <c r="F19" s="338">
        <f t="shared" ref="F19:P19" si="3">QUARTILE(F11:F16,3)</f>
        <v>2298.2750000000001</v>
      </c>
      <c r="G19" s="338">
        <f t="shared" si="3"/>
        <v>574.6</v>
      </c>
      <c r="H19" s="339">
        <f t="shared" si="3"/>
        <v>8.5563396387671133</v>
      </c>
      <c r="I19" s="339">
        <f t="shared" si="3"/>
        <v>39.90902266869228</v>
      </c>
      <c r="J19" s="340"/>
      <c r="K19" s="340"/>
      <c r="L19" s="340"/>
      <c r="M19" s="340"/>
      <c r="N19" s="341">
        <f t="shared" si="3"/>
        <v>0.26161926389833273</v>
      </c>
      <c r="O19" s="341">
        <f t="shared" si="3"/>
        <v>0.35647971797341937</v>
      </c>
      <c r="P19" s="342">
        <f t="shared" si="3"/>
        <v>0.50157068236971059</v>
      </c>
    </row>
    <row r="20" spans="2:16" ht="16">
      <c r="B20" s="343" t="s">
        <v>303</v>
      </c>
      <c r="C20" s="344"/>
      <c r="D20" s="345"/>
      <c r="E20" s="346">
        <f>MEDIAN(E11:E16)</f>
        <v>3171.665</v>
      </c>
      <c r="F20" s="346">
        <f t="shared" ref="F20:P20" si="4">MEDIAN(F11:F16)</f>
        <v>405.84333333333336</v>
      </c>
      <c r="G20" s="346">
        <f t="shared" si="4"/>
        <v>105.09</v>
      </c>
      <c r="H20" s="347">
        <f t="shared" si="4"/>
        <v>5.9381414044309739</v>
      </c>
      <c r="I20" s="347">
        <f t="shared" si="4"/>
        <v>27.308265564455048</v>
      </c>
      <c r="J20" s="347"/>
      <c r="K20" s="347"/>
      <c r="L20" s="347"/>
      <c r="M20" s="347"/>
      <c r="N20" s="348">
        <f t="shared" si="4"/>
        <v>0.23848758452373442</v>
      </c>
      <c r="O20" s="348">
        <f t="shared" si="4"/>
        <v>0.22387773234083652</v>
      </c>
      <c r="P20" s="349">
        <f t="shared" si="4"/>
        <v>0.41188271065178883</v>
      </c>
    </row>
    <row r="21" spans="2:16" ht="16">
      <c r="B21" s="335" t="s">
        <v>304</v>
      </c>
      <c r="C21" s="336"/>
      <c r="D21" s="337"/>
      <c r="E21" s="338">
        <f>QUARTILE(E11:E16,1)</f>
        <v>2846.4524999999999</v>
      </c>
      <c r="F21" s="338">
        <f t="shared" ref="F21:P21" si="5">QUARTILE(F11:F16,1)</f>
        <v>374.00666666666666</v>
      </c>
      <c r="G21" s="338">
        <f t="shared" si="5"/>
        <v>15.728665785997359</v>
      </c>
      <c r="H21" s="339">
        <f t="shared" si="5"/>
        <v>4.3567004610065911</v>
      </c>
      <c r="I21" s="339">
        <f t="shared" si="5"/>
        <v>25.197776130478982</v>
      </c>
      <c r="J21" s="340"/>
      <c r="K21" s="340"/>
      <c r="L21" s="340"/>
      <c r="M21" s="340"/>
      <c r="N21" s="341">
        <f t="shared" si="5"/>
        <v>0.18238958379830422</v>
      </c>
      <c r="O21" s="341">
        <f t="shared" si="5"/>
        <v>0.19115615622283411</v>
      </c>
      <c r="P21" s="342">
        <f t="shared" si="5"/>
        <v>0.28054089444181118</v>
      </c>
    </row>
    <row r="22" spans="2:16" ht="16">
      <c r="B22" s="350" t="s">
        <v>305</v>
      </c>
      <c r="C22" s="351"/>
      <c r="D22" s="352"/>
      <c r="E22" s="353">
        <f>MIN(E11:E16)</f>
        <v>1190.6600000000001</v>
      </c>
      <c r="F22" s="353">
        <f t="shared" ref="F22:P22" si="6">MIN(F11:F16)</f>
        <v>234.19</v>
      </c>
      <c r="G22" s="353">
        <f t="shared" si="6"/>
        <v>13.26</v>
      </c>
      <c r="H22" s="354">
        <f t="shared" si="6"/>
        <v>3</v>
      </c>
      <c r="I22" s="354">
        <f t="shared" si="6"/>
        <v>20.877601809954751</v>
      </c>
      <c r="J22" s="355"/>
      <c r="K22" s="355"/>
      <c r="L22" s="355"/>
      <c r="M22" s="355"/>
      <c r="N22" s="356">
        <f t="shared" si="6"/>
        <v>7.5417068799117581E-2</v>
      </c>
      <c r="O22" s="356">
        <f t="shared" si="6"/>
        <v>0.14092881246986999</v>
      </c>
      <c r="P22" s="357">
        <f t="shared" si="6"/>
        <v>0.12448641245584957</v>
      </c>
    </row>
    <row r="25" spans="2:16">
      <c r="E25" s="358"/>
    </row>
    <row r="26" spans="2:16">
      <c r="E26" s="358"/>
    </row>
    <row r="27" spans="2:16">
      <c r="E27" s="35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4BE6-320C-465F-844E-710B144ADB20}">
  <dimension ref="B2:M11"/>
  <sheetViews>
    <sheetView showGridLines="0" workbookViewId="0">
      <selection activeCell="K8" sqref="K8"/>
    </sheetView>
  </sheetViews>
  <sheetFormatPr defaultRowHeight="14.5"/>
  <cols>
    <col min="2" max="2" width="29.81640625" customWidth="1"/>
    <col min="3" max="4" width="10.81640625" bestFit="1" customWidth="1"/>
  </cols>
  <sheetData>
    <row r="2" spans="2:13" ht="16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ht="16">
      <c r="B3" s="7" t="str">
        <f>Company_Name&amp;" - Usage and Adoption Trends"</f>
        <v>Butterfly Network, inc. - Usage and Adoption Trends</v>
      </c>
      <c r="C3" s="3"/>
      <c r="D3" s="7"/>
      <c r="E3" s="3"/>
      <c r="F3" s="7"/>
      <c r="G3" s="3"/>
      <c r="H3" s="7"/>
      <c r="I3" s="3"/>
      <c r="J3" s="7"/>
      <c r="K3" s="3"/>
      <c r="L3" s="7"/>
      <c r="M3" s="3"/>
    </row>
    <row r="5" spans="2:13">
      <c r="B5" s="444" t="s">
        <v>479</v>
      </c>
      <c r="C5" t="s">
        <v>481</v>
      </c>
      <c r="D5" t="s">
        <v>482</v>
      </c>
      <c r="E5" t="s">
        <v>484</v>
      </c>
    </row>
    <row r="6" spans="2:13">
      <c r="B6" s="444"/>
    </row>
    <row r="7" spans="2:13">
      <c r="B7" s="492" t="s">
        <v>480</v>
      </c>
    </row>
    <row r="8" spans="2:13">
      <c r="B8" s="600" t="s">
        <v>483</v>
      </c>
      <c r="C8" s="602">
        <v>5</v>
      </c>
      <c r="D8" s="602">
        <v>0</v>
      </c>
      <c r="E8" s="601" t="s">
        <v>485</v>
      </c>
    </row>
    <row r="9" spans="2:13">
      <c r="B9" s="600" t="s">
        <v>487</v>
      </c>
      <c r="C9" s="602"/>
      <c r="D9" s="602"/>
      <c r="E9" s="601"/>
    </row>
    <row r="11" spans="2:13">
      <c r="B11" s="492" t="s">
        <v>486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1334-0E12-41CF-9415-98C61AEAEEE0}">
  <dimension ref="B3:I13"/>
  <sheetViews>
    <sheetView showGridLines="0" workbookViewId="0">
      <selection activeCell="K2" sqref="K2"/>
    </sheetView>
  </sheetViews>
  <sheetFormatPr defaultRowHeight="14.5"/>
  <cols>
    <col min="2" max="2" width="9.90625" bestFit="1" customWidth="1"/>
    <col min="3" max="3" width="15.36328125" bestFit="1" customWidth="1"/>
    <col min="4" max="4" width="14.90625" customWidth="1"/>
    <col min="6" max="6" width="14.26953125" customWidth="1"/>
    <col min="8" max="8" width="14.453125" bestFit="1" customWidth="1"/>
  </cols>
  <sheetData>
    <row r="3" spans="2:9" ht="16">
      <c r="B3" s="617" t="s">
        <v>513</v>
      </c>
      <c r="C3" s="618"/>
      <c r="D3" s="618"/>
      <c r="F3" s="633" t="s">
        <v>528</v>
      </c>
      <c r="G3" s="634"/>
      <c r="H3" s="634"/>
    </row>
    <row r="4" spans="2:9" ht="16">
      <c r="B4" s="612"/>
      <c r="C4" s="612"/>
      <c r="D4" s="616" t="s">
        <v>517</v>
      </c>
      <c r="F4" s="148" t="s">
        <v>529</v>
      </c>
      <c r="H4" s="625">
        <v>46076</v>
      </c>
    </row>
    <row r="5" spans="2:9" ht="16">
      <c r="B5" s="611"/>
      <c r="C5" s="616" t="s">
        <v>514</v>
      </c>
      <c r="D5" s="616" t="s">
        <v>516</v>
      </c>
      <c r="F5" s="626" t="s">
        <v>530</v>
      </c>
      <c r="G5" s="627"/>
      <c r="H5" s="628">
        <v>3.06</v>
      </c>
    </row>
    <row r="6" spans="2:9" ht="16">
      <c r="B6" s="612" t="s">
        <v>152</v>
      </c>
      <c r="C6" s="614">
        <v>9.5962138125613308</v>
      </c>
      <c r="D6" s="614">
        <v>11.701936361979314</v>
      </c>
      <c r="F6" s="148" t="s">
        <v>299</v>
      </c>
      <c r="G6" s="21"/>
      <c r="H6" s="629">
        <v>3.79</v>
      </c>
    </row>
    <row r="7" spans="2:9" ht="16">
      <c r="B7" s="613" t="s">
        <v>515</v>
      </c>
      <c r="C7" s="615">
        <v>1.5319825362958657</v>
      </c>
      <c r="D7" s="615">
        <v>2.0875821535565473</v>
      </c>
      <c r="F7" s="626" t="s">
        <v>531</v>
      </c>
      <c r="G7" s="627"/>
      <c r="H7" s="628">
        <v>6.97</v>
      </c>
    </row>
    <row r="8" spans="2:9" ht="16">
      <c r="B8" s="612" t="s">
        <v>144</v>
      </c>
      <c r="C8" s="614">
        <v>5.9395975975524218</v>
      </c>
      <c r="D8" s="614">
        <v>7.4818276070126233</v>
      </c>
      <c r="F8" s="148" t="s">
        <v>532</v>
      </c>
      <c r="G8" s="21"/>
      <c r="H8" s="630" t="s">
        <v>538</v>
      </c>
    </row>
    <row r="9" spans="2:9" ht="16">
      <c r="B9" s="613" t="s">
        <v>515</v>
      </c>
      <c r="C9" s="615">
        <v>0.56717614711145692</v>
      </c>
      <c r="D9" s="615">
        <v>0.97409699393472904</v>
      </c>
      <c r="F9" s="626" t="s">
        <v>533</v>
      </c>
      <c r="G9" s="627"/>
      <c r="H9" s="631">
        <f>Diluted</f>
        <v>227.39</v>
      </c>
    </row>
    <row r="10" spans="2:9" ht="16">
      <c r="B10" s="612" t="s">
        <v>153</v>
      </c>
      <c r="C10" s="614">
        <v>3.5848166463423157</v>
      </c>
      <c r="D10" s="614">
        <v>4.6960088421636375</v>
      </c>
      <c r="F10" s="148" t="s">
        <v>534</v>
      </c>
      <c r="G10" s="21"/>
      <c r="H10" s="632">
        <v>957</v>
      </c>
    </row>
    <row r="11" spans="2:9" ht="16">
      <c r="B11" s="613" t="s">
        <v>515</v>
      </c>
      <c r="C11" s="615">
        <v>-5.4138088036328358E-2</v>
      </c>
      <c r="D11" s="615">
        <v>0.23905246495082788</v>
      </c>
      <c r="F11" s="626" t="s">
        <v>535</v>
      </c>
      <c r="G11" s="627"/>
      <c r="H11" s="628">
        <v>0.77</v>
      </c>
      <c r="I11" s="458"/>
    </row>
    <row r="12" spans="2:9" ht="16">
      <c r="B12" s="612" t="s">
        <v>303</v>
      </c>
      <c r="D12" s="614">
        <f>MEDIAN(C6:D6,C8:D8,C10:D10)</f>
        <v>6.7107126022825225</v>
      </c>
      <c r="F12" s="148" t="s">
        <v>536</v>
      </c>
      <c r="G12" s="148"/>
      <c r="H12" s="629">
        <v>0.59</v>
      </c>
    </row>
    <row r="13" spans="2:9" ht="16">
      <c r="F13" s="626" t="s">
        <v>537</v>
      </c>
      <c r="G13" s="627"/>
      <c r="H13" s="63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23</vt:i4>
      </vt:variant>
    </vt:vector>
  </HeadingPairs>
  <TitlesOfParts>
    <vt:vector size="38" baseType="lpstr">
      <vt:lpstr>Cover</vt:lpstr>
      <vt:lpstr>Summary</vt:lpstr>
      <vt:lpstr>Graphs</vt:lpstr>
      <vt:lpstr>Q3</vt:lpstr>
      <vt:lpstr>Model</vt:lpstr>
      <vt:lpstr>Drivers</vt:lpstr>
      <vt:lpstr>DCF</vt:lpstr>
      <vt:lpstr>WACC</vt:lpstr>
      <vt:lpstr>Valsum</vt:lpstr>
      <vt:lpstr>ValGraph</vt:lpstr>
      <vt:lpstr>PubComps</vt:lpstr>
      <vt:lpstr>PubComps_Data</vt:lpstr>
      <vt:lpstr>MAComps</vt:lpstr>
      <vt:lpstr>Sample</vt:lpstr>
      <vt:lpstr>PPT</vt:lpstr>
      <vt:lpstr>Company_Name</vt:lpstr>
      <vt:lpstr>Cost_of_Debt</vt:lpstr>
      <vt:lpstr>Cost_of_Preferred</vt:lpstr>
      <vt:lpstr>Diluted</vt:lpstr>
      <vt:lpstr>Discount_Rate</vt:lpstr>
      <vt:lpstr>Equity_Risk_Premium</vt:lpstr>
      <vt:lpstr>Forward_Year_1</vt:lpstr>
      <vt:lpstr>Forward_Year_2</vt:lpstr>
      <vt:lpstr>Forward_Year_3</vt:lpstr>
      <vt:lpstr>Hist_Year</vt:lpstr>
      <vt:lpstr>LTM</vt:lpstr>
      <vt:lpstr>Premium_Case</vt:lpstr>
      <vt:lpstr>Pub_Comps_Params</vt:lpstr>
      <vt:lpstr>Pub_Comps_Range</vt:lpstr>
      <vt:lpstr>Pub_Comps_Tickers</vt:lpstr>
      <vt:lpstr>Risk_Free_Rate</vt:lpstr>
      <vt:lpstr>Scenario</vt:lpstr>
      <vt:lpstr>Share_Price</vt:lpstr>
      <vt:lpstr>Tax_Rate</vt:lpstr>
      <vt:lpstr>Terminal_Growth_Rate</vt:lpstr>
      <vt:lpstr>Ticker</vt:lpstr>
      <vt:lpstr>Units</vt:lpstr>
      <vt:lpstr>Valuation_Date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Rentrop</dc:creator>
  <cp:lastModifiedBy>glenn Rentrop</cp:lastModifiedBy>
  <dcterms:created xsi:type="dcterms:W3CDTF">2025-10-28T19:37:44Z</dcterms:created>
  <dcterms:modified xsi:type="dcterms:W3CDTF">2026-03-10T03:46:33Z</dcterms:modified>
</cp:coreProperties>
</file>