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063f627c2eb15/Documents/"/>
    </mc:Choice>
  </mc:AlternateContent>
  <xr:revisionPtr revIDLastSave="3433" documentId="8_{B12CD382-F1CC-4852-A7BB-E897123C9404}" xr6:coauthVersionLast="47" xr6:coauthVersionMax="47" xr10:uidLastSave="{22BB233F-ED36-4F61-B4BD-77A2FFDB7F6C}"/>
  <bookViews>
    <workbookView xWindow="-110" yWindow="-110" windowWidth="19420" windowHeight="12220" firstSheet="2" activeTab="5" xr2:uid="{7FD8CBC5-2A6F-4951-82F5-DC9D62A364DA}"/>
  </bookViews>
  <sheets>
    <sheet name="Cover" sheetId="10" r:id="rId1"/>
    <sheet name="Summary" sheetId="11" r:id="rId2"/>
    <sheet name="Graphs" sheetId="9" r:id="rId3"/>
    <sheet name="Q" sheetId="6" r:id="rId4"/>
    <sheet name="Model" sheetId="1" r:id="rId5"/>
    <sheet name="Drivers" sheetId="2" r:id="rId6"/>
    <sheet name="DCF" sheetId="3" r:id="rId7"/>
    <sheet name="WACC" sheetId="8" r:id="rId8"/>
    <sheet name="PubComps" sheetId="7" r:id="rId9"/>
    <sheet name="PubComps_Data" sheetId="4" r:id="rId10"/>
    <sheet name="MAComps" sheetId="5" r:id="rId11"/>
    <sheet name="PPT" sheetId="12" r:id="rId12"/>
  </sheets>
  <externalReferences>
    <externalReference r:id="rId13"/>
    <externalReference r:id="rId14"/>
  </externalReferences>
  <definedNames>
    <definedName name="Bundle">DCF!$F$6</definedName>
    <definedName name="COGS">DCF!$E$121</definedName>
    <definedName name="Company_Name">Model!$H$7</definedName>
    <definedName name="Cost_of_Debt">WACC!$F$8</definedName>
    <definedName name="Cost_of_Preferred">WACC!$F$9</definedName>
    <definedName name="Diluted">Model!$H$10</definedName>
    <definedName name="Discount_Rate">DCF!$F$15</definedName>
    <definedName name="Equity_Risk_Premium">WACC!$F$7</definedName>
    <definedName name="Forward_Year_1">Model!$O$14</definedName>
    <definedName name="Forward_Year_2">Model!$O$15</definedName>
    <definedName name="Forward_Year_3">Model!$O$16</definedName>
    <definedName name="Hist_Year">Model!$O$7</definedName>
    <definedName name="LTM">Model!$O$13</definedName>
    <definedName name="Pub_Comps_Params">PubComps_Data!$C$3:$C$99</definedName>
    <definedName name="Pub_Comps_Range">PubComps_Data!$C$3:$AL$99</definedName>
    <definedName name="Pub_Comps_Tickers">PubComps_Data!$C$3:$AL$3</definedName>
    <definedName name="Risk_Free_Rate">WACC!$F$6</definedName>
    <definedName name="Scenario">DCF!$F$5</definedName>
    <definedName name="Share_Price">Model!$H$9</definedName>
    <definedName name="Tax_Rate">Model!$H$12</definedName>
    <definedName name="Terminal_Growth_Rate">DCF!$P$10</definedName>
    <definedName name="Ticker">Model!$H$8</definedName>
    <definedName name="Units">Model!$H$15</definedName>
    <definedName name="Uplift">DCF!$F$7</definedName>
    <definedName name="Valuation_Date">Model!$O$10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2" l="1"/>
  <c r="K11" i="6"/>
  <c r="K13" i="6"/>
  <c r="I13" i="6"/>
  <c r="J13" i="6"/>
  <c r="H13" i="6"/>
  <c r="K40" i="6"/>
  <c r="I38" i="2"/>
  <c r="I39" i="2"/>
  <c r="J38" i="2"/>
  <c r="H73" i="1"/>
  <c r="I73" i="1"/>
  <c r="J73" i="1"/>
  <c r="G73" i="1"/>
  <c r="K22" i="1"/>
  <c r="L22" i="1"/>
  <c r="M22" i="1"/>
  <c r="N22" i="1"/>
  <c r="O22" i="1"/>
  <c r="P22" i="1"/>
  <c r="J14" i="2"/>
  <c r="F59" i="12"/>
  <c r="O26" i="2" l="1"/>
  <c r="N26" i="2"/>
  <c r="M26" i="2"/>
  <c r="L26" i="2"/>
  <c r="K26" i="2"/>
  <c r="J33" i="9"/>
  <c r="V18" i="9"/>
  <c r="J2" i="9"/>
  <c r="J18" i="9"/>
  <c r="I42" i="6"/>
  <c r="J42" i="6"/>
  <c r="J43" i="6" s="1"/>
  <c r="H42" i="6"/>
  <c r="I20" i="6"/>
  <c r="J20" i="6"/>
  <c r="H20" i="6"/>
  <c r="H34" i="11"/>
  <c r="I34" i="11"/>
  <c r="J34" i="11"/>
  <c r="G34" i="11"/>
  <c r="H33" i="11"/>
  <c r="I33" i="11"/>
  <c r="J33" i="11"/>
  <c r="K33" i="11"/>
  <c r="L33" i="11"/>
  <c r="M33" i="11"/>
  <c r="N33" i="11"/>
  <c r="O33" i="11"/>
  <c r="P33" i="11"/>
  <c r="G33" i="11"/>
  <c r="H25" i="11"/>
  <c r="I25" i="11"/>
  <c r="J25" i="11"/>
  <c r="G25" i="11"/>
  <c r="H23" i="11"/>
  <c r="I23" i="11"/>
  <c r="J23" i="11"/>
  <c r="G23" i="11"/>
  <c r="H12" i="11"/>
  <c r="I12" i="11"/>
  <c r="J12" i="11"/>
  <c r="K12" i="11"/>
  <c r="G12" i="11"/>
  <c r="O7" i="11"/>
  <c r="P7" i="11" s="1"/>
  <c r="N7" i="11"/>
  <c r="M7" i="11"/>
  <c r="L7" i="11"/>
  <c r="K7" i="11"/>
  <c r="J7" i="11"/>
  <c r="I7" i="11"/>
  <c r="H7" i="11"/>
  <c r="G7" i="11"/>
  <c r="C3" i="11"/>
  <c r="E102" i="3"/>
  <c r="E103" i="3" s="1"/>
  <c r="E104" i="3" s="1"/>
  <c r="E105" i="3" s="1"/>
  <c r="E106" i="3" s="1"/>
  <c r="E107" i="3" s="1"/>
  <c r="E108" i="3" s="1"/>
  <c r="E109" i="3" s="1"/>
  <c r="E110" i="3" s="1"/>
  <c r="E111" i="3" s="1"/>
  <c r="L121" i="3"/>
  <c r="M121" i="3"/>
  <c r="N121" i="3"/>
  <c r="O121" i="3"/>
  <c r="P121" i="3"/>
  <c r="K121" i="3"/>
  <c r="G100" i="3"/>
  <c r="H100" i="3" s="1"/>
  <c r="I100" i="3" s="1"/>
  <c r="J100" i="3" s="1"/>
  <c r="K100" i="3" s="1"/>
  <c r="L100" i="3" s="1"/>
  <c r="M100" i="3" s="1"/>
  <c r="N100" i="3" s="1"/>
  <c r="O100" i="3" s="1"/>
  <c r="P100" i="3" s="1"/>
  <c r="F174" i="3"/>
  <c r="F170" i="3"/>
  <c r="F169" i="3"/>
  <c r="F168" i="3"/>
  <c r="F167" i="3"/>
  <c r="F166" i="3"/>
  <c r="F165" i="3"/>
  <c r="F149" i="3"/>
  <c r="H121" i="3"/>
  <c r="I121" i="3"/>
  <c r="J121" i="3"/>
  <c r="G121" i="3"/>
  <c r="K101" i="1"/>
  <c r="L101" i="1" s="1"/>
  <c r="M101" i="1" s="1"/>
  <c r="N101" i="1" s="1"/>
  <c r="O101" i="1" s="1"/>
  <c r="P101" i="1" s="1"/>
  <c r="L117" i="1"/>
  <c r="L137" i="1"/>
  <c r="M137" i="1" s="1"/>
  <c r="N137" i="1" s="1"/>
  <c r="O137" i="1" s="1"/>
  <c r="P137" i="1" s="1"/>
  <c r="I43" i="6" l="1"/>
  <c r="R33" i="11"/>
  <c r="F14" i="3"/>
  <c r="F33" i="12"/>
  <c r="M33" i="2"/>
  <c r="N33" i="2"/>
  <c r="O33" i="2"/>
  <c r="L33" i="2"/>
  <c r="M35" i="2"/>
  <c r="N35" i="2"/>
  <c r="O35" i="2"/>
  <c r="L35" i="2"/>
  <c r="L18" i="2"/>
  <c r="M18" i="2"/>
  <c r="N18" i="2"/>
  <c r="O18" i="2"/>
  <c r="K18" i="2"/>
  <c r="L10" i="2"/>
  <c r="M10" i="2"/>
  <c r="N10" i="2"/>
  <c r="O10" i="2"/>
  <c r="K10" i="2"/>
  <c r="M23" i="1"/>
  <c r="G8" i="4"/>
  <c r="B2" i="10"/>
  <c r="D17" i="10"/>
  <c r="D16" i="10"/>
  <c r="D12" i="10"/>
  <c r="B26" i="8"/>
  <c r="C24" i="8"/>
  <c r="C29" i="8" s="1"/>
  <c r="B24" i="8"/>
  <c r="F8" i="8"/>
  <c r="B2" i="8"/>
  <c r="B30" i="10"/>
  <c r="B26" i="10"/>
  <c r="B31" i="10"/>
  <c r="B25" i="10"/>
  <c r="B29" i="10"/>
  <c r="B33" i="10"/>
  <c r="B24" i="10"/>
  <c r="B27" i="10"/>
  <c r="B32" i="10"/>
  <c r="B28" i="10"/>
  <c r="C40" i="7" l="1"/>
  <c r="V26" i="7"/>
  <c r="U26" i="7"/>
  <c r="T26" i="7"/>
  <c r="S26" i="7"/>
  <c r="R26" i="7"/>
  <c r="Q26" i="7"/>
  <c r="P26" i="7"/>
  <c r="O26" i="7"/>
  <c r="N26" i="7"/>
  <c r="D21" i="7"/>
  <c r="C21" i="7"/>
  <c r="AA8" i="7"/>
  <c r="Z8" i="7"/>
  <c r="Y8" i="7"/>
  <c r="V8" i="7"/>
  <c r="U8" i="7"/>
  <c r="T8" i="7"/>
  <c r="R8" i="7"/>
  <c r="Q8" i="7"/>
  <c r="P8" i="7"/>
  <c r="S8" i="7" s="1"/>
  <c r="AK7" i="7"/>
  <c r="F11" i="3" l="1"/>
  <c r="O32" i="2"/>
  <c r="N32" i="2"/>
  <c r="M32" i="2"/>
  <c r="L32" i="2"/>
  <c r="L31" i="2" s="1"/>
  <c r="H56" i="3"/>
  <c r="I56" i="3"/>
  <c r="J56" i="3"/>
  <c r="G56" i="3"/>
  <c r="K10" i="11"/>
  <c r="O17" i="2"/>
  <c r="N17" i="2"/>
  <c r="M17" i="2"/>
  <c r="L17" i="2"/>
  <c r="O9" i="2"/>
  <c r="N9" i="2"/>
  <c r="M9" i="2"/>
  <c r="L9" i="2"/>
  <c r="K9" i="2"/>
  <c r="K8" i="2" s="1"/>
  <c r="L12" i="11" s="1"/>
  <c r="H9" i="2"/>
  <c r="I9" i="2"/>
  <c r="J9" i="2"/>
  <c r="G9" i="2"/>
  <c r="K17" i="2"/>
  <c r="J40" i="6"/>
  <c r="I40" i="6"/>
  <c r="J33" i="6"/>
  <c r="I33" i="6"/>
  <c r="I37" i="6" s="1"/>
  <c r="H33" i="6"/>
  <c r="J26" i="6"/>
  <c r="I26" i="6"/>
  <c r="H26" i="6"/>
  <c r="H37" i="6" s="1"/>
  <c r="J16" i="6"/>
  <c r="I16" i="6"/>
  <c r="H16" i="6"/>
  <c r="J11" i="6"/>
  <c r="I11" i="6"/>
  <c r="B2" i="6"/>
  <c r="N45" i="2"/>
  <c r="M45" i="2"/>
  <c r="L45" i="2"/>
  <c r="K45" i="2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P13" i="5"/>
  <c r="O13" i="5"/>
  <c r="N13" i="5"/>
  <c r="I13" i="5"/>
  <c r="H13" i="5"/>
  <c r="P12" i="5"/>
  <c r="O12" i="5"/>
  <c r="O18" i="5" s="1"/>
  <c r="N12" i="5"/>
  <c r="I12" i="5"/>
  <c r="I19" i="5" s="1"/>
  <c r="H12" i="5"/>
  <c r="H19" i="5" s="1"/>
  <c r="P11" i="5"/>
  <c r="O11" i="5"/>
  <c r="N11" i="5"/>
  <c r="I11" i="5"/>
  <c r="H11" i="5"/>
  <c r="B6" i="5"/>
  <c r="J37" i="6" l="1"/>
  <c r="M31" i="2"/>
  <c r="N31" i="2" s="1"/>
  <c r="O31" i="2" s="1"/>
  <c r="L8" i="2"/>
  <c r="M12" i="11" s="1"/>
  <c r="K22" i="2"/>
  <c r="N21" i="5"/>
  <c r="P22" i="5"/>
  <c r="H22" i="5"/>
  <c r="I22" i="5"/>
  <c r="O19" i="5"/>
  <c r="O20" i="5"/>
  <c r="O21" i="5"/>
  <c r="O22" i="5"/>
  <c r="N19" i="5"/>
  <c r="N20" i="5"/>
  <c r="N22" i="5"/>
  <c r="N18" i="5"/>
  <c r="P18" i="5"/>
  <c r="P20" i="5"/>
  <c r="P21" i="5"/>
  <c r="P19" i="5"/>
  <c r="H21" i="5"/>
  <c r="I21" i="5"/>
  <c r="H18" i="5"/>
  <c r="I18" i="5"/>
  <c r="H20" i="5"/>
  <c r="I20" i="5"/>
  <c r="M8" i="2" l="1"/>
  <c r="N12" i="11" s="1"/>
  <c r="L22" i="2"/>
  <c r="AL11" i="4"/>
  <c r="AG11" i="4"/>
  <c r="AB11" i="4"/>
  <c r="W11" i="4"/>
  <c r="R11" i="4"/>
  <c r="AK29" i="4"/>
  <c r="AL79" i="4" s="1"/>
  <c r="AJ29" i="4"/>
  <c r="AL75" i="4" s="1"/>
  <c r="AF29" i="4"/>
  <c r="AG79" i="4" s="1"/>
  <c r="AE29" i="4"/>
  <c r="AG75" i="4" s="1"/>
  <c r="AD29" i="4"/>
  <c r="AG71" i="4" s="1"/>
  <c r="H3" i="4"/>
  <c r="AL80" i="4"/>
  <c r="AG80" i="4"/>
  <c r="AB80" i="4"/>
  <c r="W80" i="4"/>
  <c r="R80" i="4"/>
  <c r="M80" i="4"/>
  <c r="AB79" i="4"/>
  <c r="W79" i="4"/>
  <c r="R79" i="4"/>
  <c r="M79" i="4"/>
  <c r="AL78" i="4"/>
  <c r="AG78" i="4"/>
  <c r="AB78" i="4"/>
  <c r="W78" i="4"/>
  <c r="R78" i="4"/>
  <c r="M78" i="4"/>
  <c r="AL76" i="4"/>
  <c r="AG76" i="4"/>
  <c r="AB76" i="4"/>
  <c r="W76" i="4"/>
  <c r="R76" i="4"/>
  <c r="M76" i="4"/>
  <c r="AB75" i="4"/>
  <c r="W75" i="4"/>
  <c r="R75" i="4"/>
  <c r="M75" i="4"/>
  <c r="AL74" i="4"/>
  <c r="AG74" i="4"/>
  <c r="AB74" i="4"/>
  <c r="W74" i="4"/>
  <c r="R74" i="4"/>
  <c r="M74" i="4"/>
  <c r="AL72" i="4"/>
  <c r="AG72" i="4"/>
  <c r="AB72" i="4"/>
  <c r="W72" i="4"/>
  <c r="R72" i="4"/>
  <c r="M72" i="4"/>
  <c r="AL71" i="4"/>
  <c r="AB71" i="4"/>
  <c r="W71" i="4"/>
  <c r="R71" i="4"/>
  <c r="M71" i="4"/>
  <c r="AL70" i="4"/>
  <c r="AG70" i="4"/>
  <c r="AB70" i="4"/>
  <c r="W70" i="4"/>
  <c r="R70" i="4"/>
  <c r="M70" i="4"/>
  <c r="AI63" i="4"/>
  <c r="AD63" i="4"/>
  <c r="Y63" i="4"/>
  <c r="T63" i="4"/>
  <c r="O63" i="4"/>
  <c r="J63" i="4"/>
  <c r="E63" i="4"/>
  <c r="C89" i="4" s="1"/>
  <c r="AL52" i="4"/>
  <c r="AF52" i="4"/>
  <c r="AG52" i="4" s="1"/>
  <c r="AA52" i="4"/>
  <c r="AB52" i="4" s="1"/>
  <c r="W52" i="4"/>
  <c r="R52" i="4"/>
  <c r="M52" i="4"/>
  <c r="G52" i="4"/>
  <c r="H52" i="4" s="1"/>
  <c r="AL49" i="4"/>
  <c r="AG49" i="4"/>
  <c r="AB49" i="4"/>
  <c r="W49" i="4"/>
  <c r="R49" i="4"/>
  <c r="M49" i="4"/>
  <c r="H49" i="4"/>
  <c r="AL48" i="4"/>
  <c r="AG48" i="4"/>
  <c r="AB48" i="4"/>
  <c r="W48" i="4"/>
  <c r="R48" i="4"/>
  <c r="M48" i="4"/>
  <c r="H48" i="4"/>
  <c r="AL45" i="4"/>
  <c r="AG45" i="4"/>
  <c r="AB45" i="4"/>
  <c r="W45" i="4"/>
  <c r="R45" i="4"/>
  <c r="M45" i="4"/>
  <c r="H45" i="4"/>
  <c r="AL44" i="4"/>
  <c r="AG44" i="4"/>
  <c r="AB44" i="4"/>
  <c r="W44" i="4"/>
  <c r="R44" i="4"/>
  <c r="M44" i="4"/>
  <c r="H44" i="4"/>
  <c r="AL43" i="4"/>
  <c r="AG43" i="4"/>
  <c r="AB43" i="4"/>
  <c r="W43" i="4"/>
  <c r="R43" i="4"/>
  <c r="M43" i="4"/>
  <c r="H43" i="4"/>
  <c r="AL42" i="4"/>
  <c r="AG42" i="4"/>
  <c r="AB42" i="4"/>
  <c r="W42" i="4"/>
  <c r="R42" i="4"/>
  <c r="M42" i="4"/>
  <c r="H42" i="4"/>
  <c r="AL41" i="4"/>
  <c r="AG41" i="4"/>
  <c r="AB41" i="4"/>
  <c r="W41" i="4"/>
  <c r="R41" i="4"/>
  <c r="M41" i="4"/>
  <c r="H41" i="4"/>
  <c r="AL40" i="4"/>
  <c r="AG40" i="4"/>
  <c r="AB40" i="4"/>
  <c r="W40" i="4"/>
  <c r="R40" i="4"/>
  <c r="M40" i="4"/>
  <c r="H40" i="4"/>
  <c r="AL39" i="4"/>
  <c r="AG39" i="4"/>
  <c r="AB39" i="4"/>
  <c r="W39" i="4"/>
  <c r="R39" i="4"/>
  <c r="M39" i="4"/>
  <c r="H39" i="4"/>
  <c r="AL38" i="4"/>
  <c r="AG38" i="4"/>
  <c r="AB38" i="4"/>
  <c r="W38" i="4"/>
  <c r="R38" i="4"/>
  <c r="M38" i="4"/>
  <c r="H38" i="4"/>
  <c r="AL37" i="4"/>
  <c r="AG37" i="4"/>
  <c r="AB37" i="4"/>
  <c r="W37" i="4"/>
  <c r="R37" i="4"/>
  <c r="M37" i="4"/>
  <c r="H37" i="4"/>
  <c r="H34" i="4"/>
  <c r="H33" i="4"/>
  <c r="H24" i="4"/>
  <c r="H22" i="4"/>
  <c r="H21" i="4"/>
  <c r="H20" i="4"/>
  <c r="H19" i="4"/>
  <c r="H18" i="4"/>
  <c r="H17" i="4"/>
  <c r="H13" i="4"/>
  <c r="AL9" i="4"/>
  <c r="AG9" i="4"/>
  <c r="AB9" i="4"/>
  <c r="W9" i="4"/>
  <c r="R9" i="4"/>
  <c r="AL8" i="4"/>
  <c r="AL85" i="4" s="1"/>
  <c r="AG8" i="4"/>
  <c r="AG85" i="4" s="1"/>
  <c r="AB8" i="4"/>
  <c r="W8" i="4"/>
  <c r="R8" i="4"/>
  <c r="H8" i="4"/>
  <c r="H6" i="4"/>
  <c r="G6" i="4"/>
  <c r="H4" i="4"/>
  <c r="L42" i="2"/>
  <c r="M42" i="2"/>
  <c r="N42" i="2"/>
  <c r="K42" i="2"/>
  <c r="N21" i="7" l="1"/>
  <c r="G19" i="8"/>
  <c r="D17" i="8"/>
  <c r="B17" i="8"/>
  <c r="K16" i="8"/>
  <c r="B19" i="8"/>
  <c r="I16" i="8"/>
  <c r="K18" i="8"/>
  <c r="G16" i="8"/>
  <c r="I18" i="8"/>
  <c r="E16" i="8"/>
  <c r="D16" i="8"/>
  <c r="I20" i="8"/>
  <c r="B16" i="8"/>
  <c r="G20" i="8"/>
  <c r="K15" i="8"/>
  <c r="B18" i="8"/>
  <c r="K17" i="8"/>
  <c r="E15" i="8"/>
  <c r="G17" i="8"/>
  <c r="E19" i="8"/>
  <c r="D19" i="8"/>
  <c r="E20" i="8"/>
  <c r="D20" i="8"/>
  <c r="B20" i="8"/>
  <c r="D15" i="8"/>
  <c r="I19" i="8"/>
  <c r="B15" i="8"/>
  <c r="G18" i="8"/>
  <c r="E18" i="8"/>
  <c r="D18" i="8"/>
  <c r="I15" i="8"/>
  <c r="G15" i="8"/>
  <c r="I17" i="8"/>
  <c r="K19" i="8"/>
  <c r="E17" i="8"/>
  <c r="K20" i="8"/>
  <c r="D24" i="8"/>
  <c r="E24" i="8"/>
  <c r="G24" i="8"/>
  <c r="M14" i="7"/>
  <c r="I13" i="7"/>
  <c r="E12" i="7"/>
  <c r="K10" i="7"/>
  <c r="G9" i="7"/>
  <c r="K14" i="7"/>
  <c r="G13" i="7"/>
  <c r="T13" i="7"/>
  <c r="L11" i="7"/>
  <c r="D9" i="7"/>
  <c r="F27" i="7"/>
  <c r="K11" i="7"/>
  <c r="G10" i="7"/>
  <c r="B10" i="7"/>
  <c r="M29" i="7"/>
  <c r="D27" i="7"/>
  <c r="H14" i="7"/>
  <c r="T10" i="7"/>
  <c r="M30" i="7"/>
  <c r="D28" i="7"/>
  <c r="M12" i="7"/>
  <c r="I11" i="7"/>
  <c r="E10" i="7"/>
  <c r="B12" i="7"/>
  <c r="M31" i="7"/>
  <c r="D29" i="7"/>
  <c r="T14" i="7"/>
  <c r="L12" i="7"/>
  <c r="H11" i="7"/>
  <c r="D10" i="7"/>
  <c r="B13" i="7"/>
  <c r="M32" i="7"/>
  <c r="D30" i="7"/>
  <c r="I9" i="7"/>
  <c r="T12" i="7"/>
  <c r="F12" i="7"/>
  <c r="L10" i="7"/>
  <c r="L14" i="7"/>
  <c r="H13" i="7"/>
  <c r="D12" i="7"/>
  <c r="N11" i="7"/>
  <c r="J10" i="7"/>
  <c r="T9" i="7"/>
  <c r="F9" i="7"/>
  <c r="M11" i="7"/>
  <c r="I10" i="7"/>
  <c r="E9" i="7"/>
  <c r="M27" i="7"/>
  <c r="J14" i="7"/>
  <c r="F13" i="7"/>
  <c r="H10" i="7"/>
  <c r="M28" i="7"/>
  <c r="B21" i="7"/>
  <c r="I14" i="7"/>
  <c r="E13" i="7"/>
  <c r="F28" i="7"/>
  <c r="D13" i="7"/>
  <c r="N12" i="7"/>
  <c r="J11" i="7"/>
  <c r="F10" i="7"/>
  <c r="B11" i="7"/>
  <c r="F29" i="7"/>
  <c r="B27" i="7"/>
  <c r="G14" i="7"/>
  <c r="F30" i="7"/>
  <c r="B28" i="7"/>
  <c r="F14" i="7"/>
  <c r="N9" i="7"/>
  <c r="F31" i="7"/>
  <c r="B29" i="7"/>
  <c r="G12" i="7"/>
  <c r="M10" i="7"/>
  <c r="N14" i="7"/>
  <c r="J13" i="7"/>
  <c r="E14" i="7"/>
  <c r="K12" i="7"/>
  <c r="G11" i="7"/>
  <c r="M9" i="7"/>
  <c r="B14" i="7"/>
  <c r="F32" i="7"/>
  <c r="D31" i="7"/>
  <c r="B30" i="7"/>
  <c r="D14" i="7"/>
  <c r="N13" i="7"/>
  <c r="J12" i="7"/>
  <c r="T11" i="7"/>
  <c r="F11" i="7"/>
  <c r="L9" i="7"/>
  <c r="B9" i="7"/>
  <c r="D32" i="7"/>
  <c r="B31" i="7"/>
  <c r="M13" i="7"/>
  <c r="I12" i="7"/>
  <c r="E11" i="7"/>
  <c r="K9" i="7"/>
  <c r="B32" i="7"/>
  <c r="L13" i="7"/>
  <c r="H12" i="7"/>
  <c r="D11" i="7"/>
  <c r="N10" i="7"/>
  <c r="J9" i="7"/>
  <c r="B40" i="7"/>
  <c r="K13" i="7"/>
  <c r="H9" i="7"/>
  <c r="H21" i="7"/>
  <c r="K21" i="7"/>
  <c r="J21" i="7"/>
  <c r="L21" i="7"/>
  <c r="G21" i="7"/>
  <c r="W83" i="4"/>
  <c r="AB83" i="4"/>
  <c r="C91" i="4"/>
  <c r="AB82" i="4"/>
  <c r="AG82" i="4"/>
  <c r="AB54" i="4"/>
  <c r="AB58" i="4" s="1"/>
  <c r="AB66" i="4" s="1"/>
  <c r="C90" i="4"/>
  <c r="N8" i="2"/>
  <c r="O12" i="11" s="1"/>
  <c r="M22" i="2"/>
  <c r="AB85" i="4"/>
  <c r="W85" i="4"/>
  <c r="R85" i="4"/>
  <c r="AG54" i="4"/>
  <c r="AG58" i="4" s="1"/>
  <c r="AJ66" i="4" s="1"/>
  <c r="AL95" i="4" s="1"/>
  <c r="AL54" i="4"/>
  <c r="AL58" i="4" s="1"/>
  <c r="AI66" i="4" s="1"/>
  <c r="AL91" i="4" s="1"/>
  <c r="AL82" i="4"/>
  <c r="W54" i="4"/>
  <c r="W58" i="4" s="1"/>
  <c r="U66" i="4" s="1"/>
  <c r="W95" i="4" s="1"/>
  <c r="AL87" i="4"/>
  <c r="R86" i="4"/>
  <c r="M54" i="4"/>
  <c r="M58" i="4" s="1"/>
  <c r="M59" i="4" s="1"/>
  <c r="R54" i="4"/>
  <c r="R58" i="4" s="1"/>
  <c r="R66" i="4" s="1"/>
  <c r="AG87" i="4"/>
  <c r="R82" i="4"/>
  <c r="H54" i="4"/>
  <c r="H58" i="4" s="1"/>
  <c r="F40" i="7" s="1"/>
  <c r="Z66" i="4"/>
  <c r="AB95" i="4" s="1"/>
  <c r="Y66" i="4"/>
  <c r="AB91" i="4" s="1"/>
  <c r="W82" i="4"/>
  <c r="AB86" i="4"/>
  <c r="R87" i="4"/>
  <c r="M85" i="4"/>
  <c r="AL83" i="4"/>
  <c r="AG86" i="4"/>
  <c r="W87" i="4"/>
  <c r="M83" i="4"/>
  <c r="M87" i="4"/>
  <c r="AL86" i="4"/>
  <c r="AG83" i="4"/>
  <c r="AB87" i="4"/>
  <c r="W86" i="4"/>
  <c r="R83" i="4"/>
  <c r="M86" i="4"/>
  <c r="M82" i="4"/>
  <c r="F17" i="8" l="1"/>
  <c r="J18" i="8"/>
  <c r="F20" i="8"/>
  <c r="H16" i="8"/>
  <c r="L19" i="8"/>
  <c r="F19" i="8"/>
  <c r="F15" i="7"/>
  <c r="F17" i="7"/>
  <c r="F18" i="7"/>
  <c r="F19" i="7"/>
  <c r="F16" i="7"/>
  <c r="H18" i="8"/>
  <c r="H20" i="8"/>
  <c r="T15" i="7"/>
  <c r="T19" i="7"/>
  <c r="T16" i="7"/>
  <c r="T17" i="7"/>
  <c r="T18" i="7"/>
  <c r="I24" i="8"/>
  <c r="J24" i="8" s="1"/>
  <c r="J19" i="8"/>
  <c r="J20" i="8"/>
  <c r="D22" i="8"/>
  <c r="L15" i="8"/>
  <c r="L16" i="8"/>
  <c r="N19" i="7"/>
  <c r="N17" i="7"/>
  <c r="N18" i="7"/>
  <c r="N15" i="7"/>
  <c r="N16" i="7"/>
  <c r="F16" i="8"/>
  <c r="F34" i="7"/>
  <c r="F38" i="7"/>
  <c r="F35" i="7"/>
  <c r="F37" i="7"/>
  <c r="F36" i="7"/>
  <c r="L34" i="8"/>
  <c r="L38" i="8" s="1"/>
  <c r="L20" i="8"/>
  <c r="D15" i="7"/>
  <c r="D16" i="7"/>
  <c r="D19" i="7"/>
  <c r="D18" i="7"/>
  <c r="D17" i="7"/>
  <c r="E21" i="7"/>
  <c r="M16" i="7"/>
  <c r="M15" i="7"/>
  <c r="M18" i="7"/>
  <c r="M17" i="7"/>
  <c r="M19" i="7"/>
  <c r="J16" i="8"/>
  <c r="F21" i="7"/>
  <c r="J17" i="8"/>
  <c r="H17" i="8"/>
  <c r="M38" i="7"/>
  <c r="M37" i="7"/>
  <c r="M34" i="7"/>
  <c r="M36" i="7"/>
  <c r="M35" i="7"/>
  <c r="G22" i="8"/>
  <c r="H15" i="8"/>
  <c r="F15" i="8"/>
  <c r="E22" i="8"/>
  <c r="I22" i="8"/>
  <c r="J15" i="8"/>
  <c r="L18" i="8"/>
  <c r="L17" i="8"/>
  <c r="F18" i="8"/>
  <c r="K22" i="8"/>
  <c r="H19" i="8"/>
  <c r="AG59" i="4"/>
  <c r="AF66" i="4"/>
  <c r="AG99" i="4" s="1"/>
  <c r="AB59" i="4"/>
  <c r="Y64" i="4" s="1"/>
  <c r="AB89" i="4" s="1"/>
  <c r="O66" i="4"/>
  <c r="R91" i="4" s="1"/>
  <c r="R59" i="4"/>
  <c r="Q65" i="4" s="1"/>
  <c r="R98" i="4" s="1"/>
  <c r="AG66" i="4"/>
  <c r="L66" i="4"/>
  <c r="M99" i="4" s="1"/>
  <c r="AE66" i="4"/>
  <c r="AG95" i="4" s="1"/>
  <c r="AD66" i="4"/>
  <c r="AG91" i="4" s="1"/>
  <c r="P66" i="4"/>
  <c r="R95" i="4" s="1"/>
  <c r="AA66" i="4"/>
  <c r="AB99" i="4" s="1"/>
  <c r="J66" i="4"/>
  <c r="M91" i="4" s="1"/>
  <c r="N22" i="2"/>
  <c r="O8" i="2"/>
  <c r="AL59" i="4"/>
  <c r="AI65" i="4" s="1"/>
  <c r="AL90" i="4" s="1"/>
  <c r="AL66" i="4"/>
  <c r="AK66" i="4"/>
  <c r="AL99" i="4" s="1"/>
  <c r="W66" i="4"/>
  <c r="V66" i="4"/>
  <c r="W99" i="4" s="1"/>
  <c r="W59" i="4"/>
  <c r="T64" i="4" s="1"/>
  <c r="W89" i="4" s="1"/>
  <c r="T66" i="4"/>
  <c r="W91" i="4" s="1"/>
  <c r="M66" i="4"/>
  <c r="K66" i="4"/>
  <c r="M95" i="4" s="1"/>
  <c r="Q66" i="4"/>
  <c r="R99" i="4" s="1"/>
  <c r="AK65" i="4"/>
  <c r="AL98" i="4" s="1"/>
  <c r="AK64" i="4"/>
  <c r="AL97" i="4" s="1"/>
  <c r="AG65" i="4"/>
  <c r="AG64" i="4"/>
  <c r="AF65" i="4"/>
  <c r="AG98" i="4" s="1"/>
  <c r="AF64" i="4"/>
  <c r="AG97" i="4" s="1"/>
  <c r="AE65" i="4"/>
  <c r="AG94" i="4" s="1"/>
  <c r="AE64" i="4"/>
  <c r="AG93" i="4" s="1"/>
  <c r="AD65" i="4"/>
  <c r="AG90" i="4" s="1"/>
  <c r="AD64" i="4"/>
  <c r="AG89" i="4" s="1"/>
  <c r="AJ64" i="4"/>
  <c r="AL93" i="4" s="1"/>
  <c r="AL64" i="4"/>
  <c r="AL65" i="4"/>
  <c r="AJ65" i="4"/>
  <c r="AL94" i="4" s="1"/>
  <c r="AB65" i="4"/>
  <c r="AB64" i="4"/>
  <c r="AA65" i="4"/>
  <c r="AB98" i="4" s="1"/>
  <c r="AA64" i="4"/>
  <c r="AB97" i="4" s="1"/>
  <c r="Z64" i="4"/>
  <c r="AB93" i="4" s="1"/>
  <c r="Z65" i="4"/>
  <c r="AB94" i="4" s="1"/>
  <c r="M65" i="4"/>
  <c r="M64" i="4"/>
  <c r="L65" i="4"/>
  <c r="M98" i="4" s="1"/>
  <c r="L64" i="4"/>
  <c r="M97" i="4" s="1"/>
  <c r="K65" i="4"/>
  <c r="M94" i="4" s="1"/>
  <c r="K64" i="4"/>
  <c r="M93" i="4" s="1"/>
  <c r="J65" i="4"/>
  <c r="M90" i="4" s="1"/>
  <c r="J64" i="4"/>
  <c r="M89" i="4" s="1"/>
  <c r="O22" i="2" l="1"/>
  <c r="P12" i="11"/>
  <c r="L24" i="8"/>
  <c r="D29" i="8" s="1"/>
  <c r="L29" i="8" s="1"/>
  <c r="L32" i="8" s="1"/>
  <c r="L36" i="8" s="1"/>
  <c r="F22" i="8"/>
  <c r="F30" i="8" s="1"/>
  <c r="E30" i="8" s="1"/>
  <c r="F24" i="8"/>
  <c r="J22" i="8"/>
  <c r="J30" i="8" s="1"/>
  <c r="I30" i="8" s="1"/>
  <c r="L22" i="8"/>
  <c r="D30" i="8" s="1"/>
  <c r="H24" i="8"/>
  <c r="H22" i="8"/>
  <c r="R65" i="4"/>
  <c r="R64" i="4"/>
  <c r="O64" i="4"/>
  <c r="R89" i="4" s="1"/>
  <c r="O65" i="4"/>
  <c r="R90" i="4" s="1"/>
  <c r="P64" i="4"/>
  <c r="R93" i="4" s="1"/>
  <c r="P65" i="4"/>
  <c r="R94" i="4" s="1"/>
  <c r="Q64" i="4"/>
  <c r="R97" i="4" s="1"/>
  <c r="V65" i="4"/>
  <c r="W98" i="4" s="1"/>
  <c r="Y65" i="4"/>
  <c r="AB90" i="4" s="1"/>
  <c r="V64" i="4"/>
  <c r="W97" i="4" s="1"/>
  <c r="W65" i="4"/>
  <c r="W64" i="4"/>
  <c r="T65" i="4"/>
  <c r="W90" i="4" s="1"/>
  <c r="U64" i="4"/>
  <c r="W93" i="4" s="1"/>
  <c r="AI64" i="4"/>
  <c r="AL89" i="4" s="1"/>
  <c r="U65" i="4"/>
  <c r="W94" i="4" s="1"/>
  <c r="L30" i="8" l="1"/>
  <c r="L33" i="8" s="1"/>
  <c r="L37" i="8" s="1"/>
  <c r="L40" i="8" s="1"/>
  <c r="F15" i="3" s="1"/>
  <c r="G6" i="2" a="1"/>
  <c r="G6" i="2" s="1"/>
  <c r="H6" i="2" a="1"/>
  <c r="H6" i="2" s="1"/>
  <c r="I6" i="2" a="1"/>
  <c r="I6" i="2" s="1"/>
  <c r="F6" i="2" a="1"/>
  <c r="F6" i="2" s="1"/>
  <c r="F12" i="3"/>
  <c r="F22" i="3" s="1"/>
  <c r="J57" i="3"/>
  <c r="H57" i="3"/>
  <c r="H54" i="3"/>
  <c r="I54" i="3"/>
  <c r="J54" i="3"/>
  <c r="G54" i="3"/>
  <c r="E87" i="3"/>
  <c r="E88" i="3" s="1"/>
  <c r="E89" i="3" s="1"/>
  <c r="E90" i="3" s="1"/>
  <c r="E91" i="3" s="1"/>
  <c r="E92" i="3" s="1"/>
  <c r="E93" i="3" s="1"/>
  <c r="E94" i="3" s="1"/>
  <c r="E95" i="3" s="1"/>
  <c r="E96" i="3" s="1"/>
  <c r="G85" i="3"/>
  <c r="H85" i="3" s="1"/>
  <c r="I85" i="3" s="1"/>
  <c r="J85" i="3" s="1"/>
  <c r="K85" i="3" s="1"/>
  <c r="L85" i="3" s="1"/>
  <c r="M85" i="3" s="1"/>
  <c r="N85" i="3" s="1"/>
  <c r="O85" i="3" s="1"/>
  <c r="P85" i="3" s="1"/>
  <c r="E72" i="3"/>
  <c r="E73" i="3" s="1"/>
  <c r="E74" i="3" s="1"/>
  <c r="E75" i="3" s="1"/>
  <c r="E76" i="3" s="1"/>
  <c r="E77" i="3" s="1"/>
  <c r="E78" i="3" s="1"/>
  <c r="E79" i="3" s="1"/>
  <c r="E80" i="3" s="1"/>
  <c r="E81" i="3" s="1"/>
  <c r="G70" i="3"/>
  <c r="H70" i="3" s="1"/>
  <c r="I70" i="3" s="1"/>
  <c r="J70" i="3" s="1"/>
  <c r="K70" i="3" s="1"/>
  <c r="L70" i="3" s="1"/>
  <c r="M70" i="3" s="1"/>
  <c r="N70" i="3" s="1"/>
  <c r="O70" i="3" s="1"/>
  <c r="P70" i="3" s="1"/>
  <c r="B41" i="3"/>
  <c r="P35" i="3"/>
  <c r="K35" i="3"/>
  <c r="K31" i="3"/>
  <c r="P31" i="3" s="1"/>
  <c r="K30" i="3"/>
  <c r="P30" i="3" s="1"/>
  <c r="K29" i="3"/>
  <c r="P29" i="3" s="1"/>
  <c r="K28" i="3"/>
  <c r="P28" i="3" s="1"/>
  <c r="K27" i="3"/>
  <c r="P27" i="3" s="1"/>
  <c r="K26" i="3"/>
  <c r="P26" i="3" s="1"/>
  <c r="P10" i="3"/>
  <c r="K10" i="3"/>
  <c r="K8" i="3"/>
  <c r="F147" i="3" s="1"/>
  <c r="F10" i="3"/>
  <c r="F9" i="3"/>
  <c r="B3" i="3"/>
  <c r="L53" i="1"/>
  <c r="M53" i="1" s="1"/>
  <c r="N53" i="1" s="1"/>
  <c r="O53" i="1" s="1"/>
  <c r="P53" i="1" s="1"/>
  <c r="M162" i="1"/>
  <c r="N162" i="1" s="1"/>
  <c r="O162" i="1" s="1"/>
  <c r="P162" i="1" s="1"/>
  <c r="L46" i="1"/>
  <c r="M46" i="1" s="1"/>
  <c r="N46" i="1" s="1"/>
  <c r="O46" i="1" s="1"/>
  <c r="P46" i="1" s="1"/>
  <c r="L45" i="1"/>
  <c r="M45" i="1" s="1"/>
  <c r="N45" i="1" s="1"/>
  <c r="O45" i="1" s="1"/>
  <c r="P45" i="1" s="1"/>
  <c r="P147" i="1"/>
  <c r="P204" i="1"/>
  <c r="P30" i="11" s="1"/>
  <c r="K207" i="1"/>
  <c r="L207" i="1" s="1"/>
  <c r="K204" i="1"/>
  <c r="K30" i="11" s="1"/>
  <c r="L204" i="1"/>
  <c r="L30" i="11" s="1"/>
  <c r="M204" i="1"/>
  <c r="M30" i="11" s="1"/>
  <c r="N204" i="1"/>
  <c r="N30" i="11" s="1"/>
  <c r="O204" i="1"/>
  <c r="O30" i="11" s="1"/>
  <c r="K163" i="1"/>
  <c r="K161" i="1"/>
  <c r="L161" i="1" s="1"/>
  <c r="H59" i="1"/>
  <c r="I59" i="1"/>
  <c r="J59" i="1"/>
  <c r="G59" i="1"/>
  <c r="I58" i="1"/>
  <c r="J58" i="1"/>
  <c r="M54" i="1"/>
  <c r="N54" i="1" s="1"/>
  <c r="H54" i="1"/>
  <c r="I54" i="1"/>
  <c r="J54" i="1"/>
  <c r="G54" i="1"/>
  <c r="L52" i="1"/>
  <c r="M52" i="1" s="1"/>
  <c r="N52" i="1" s="1"/>
  <c r="O52" i="1" s="1"/>
  <c r="P52" i="1" s="1"/>
  <c r="H52" i="1"/>
  <c r="K119" i="1"/>
  <c r="L119" i="1" s="1"/>
  <c r="K120" i="1"/>
  <c r="L120" i="1" s="1"/>
  <c r="H50" i="1"/>
  <c r="I50" i="1"/>
  <c r="J50" i="1"/>
  <c r="G50" i="1"/>
  <c r="I55" i="1"/>
  <c r="J55" i="1"/>
  <c r="K55" i="1"/>
  <c r="H55" i="1"/>
  <c r="K129" i="1"/>
  <c r="L129" i="1" s="1"/>
  <c r="I57" i="1"/>
  <c r="J57" i="1"/>
  <c r="H57" i="1"/>
  <c r="H49" i="1"/>
  <c r="I49" i="1"/>
  <c r="J49" i="1"/>
  <c r="G49" i="1"/>
  <c r="F14" i="2" l="1"/>
  <c r="G10" i="11"/>
  <c r="I14" i="2"/>
  <c r="J15" i="2" s="1"/>
  <c r="J10" i="11"/>
  <c r="H14" i="2"/>
  <c r="I10" i="11"/>
  <c r="G14" i="2"/>
  <c r="G15" i="2" s="1"/>
  <c r="H10" i="11"/>
  <c r="K174" i="1"/>
  <c r="H15" i="2"/>
  <c r="I15" i="2"/>
  <c r="J45" i="2"/>
  <c r="J42" i="2"/>
  <c r="I57" i="3"/>
  <c r="L174" i="1"/>
  <c r="M207" i="1"/>
  <c r="L163" i="1"/>
  <c r="K57" i="1"/>
  <c r="K54" i="1"/>
  <c r="M161" i="1"/>
  <c r="M120" i="1"/>
  <c r="L55" i="1"/>
  <c r="L126" i="1" s="1"/>
  <c r="K126" i="1"/>
  <c r="K178" i="1" s="1"/>
  <c r="M119" i="1"/>
  <c r="M129" i="1"/>
  <c r="K49" i="1"/>
  <c r="G60" i="2"/>
  <c r="G67" i="2" s="1"/>
  <c r="H60" i="2"/>
  <c r="H67" i="2" s="1"/>
  <c r="I60" i="2"/>
  <c r="I67" i="2" s="1"/>
  <c r="F60" i="2"/>
  <c r="F67" i="2" s="1"/>
  <c r="G55" i="2"/>
  <c r="H55" i="2"/>
  <c r="I55" i="2"/>
  <c r="J60" i="2" s="1"/>
  <c r="F55" i="2"/>
  <c r="G52" i="2"/>
  <c r="H59" i="3" s="1"/>
  <c r="H52" i="2"/>
  <c r="I59" i="3" s="1"/>
  <c r="I52" i="2"/>
  <c r="J59" i="3" s="1"/>
  <c r="F52" i="2"/>
  <c r="G59" i="3" s="1"/>
  <c r="G50" i="2"/>
  <c r="K57" i="2"/>
  <c r="L57" i="2" s="1"/>
  <c r="M57" i="2" s="1"/>
  <c r="N57" i="2" s="1"/>
  <c r="O57" i="2" s="1"/>
  <c r="B50" i="2"/>
  <c r="H47" i="1"/>
  <c r="I47" i="1"/>
  <c r="J47" i="1"/>
  <c r="G47" i="1"/>
  <c r="H46" i="1"/>
  <c r="H45" i="1"/>
  <c r="J44" i="1"/>
  <c r="I44" i="1"/>
  <c r="K107" i="1"/>
  <c r="K94" i="1"/>
  <c r="L94" i="1" s="1"/>
  <c r="K93" i="1"/>
  <c r="L93" i="1" s="1"/>
  <c r="K69" i="1" l="1"/>
  <c r="E28" i="4" s="1"/>
  <c r="H70" i="4" s="1"/>
  <c r="N120" i="1"/>
  <c r="M174" i="1"/>
  <c r="N174" i="1"/>
  <c r="L107" i="1"/>
  <c r="K173" i="1"/>
  <c r="L178" i="1"/>
  <c r="M163" i="1"/>
  <c r="N163" i="1" s="1"/>
  <c r="N207" i="1"/>
  <c r="O207" i="1" s="1"/>
  <c r="N161" i="1"/>
  <c r="M55" i="1"/>
  <c r="M126" i="1" s="1"/>
  <c r="M178" i="1" s="1"/>
  <c r="N119" i="1"/>
  <c r="N129" i="1"/>
  <c r="L49" i="1"/>
  <c r="L115" i="1" s="1"/>
  <c r="K115" i="1"/>
  <c r="K108" i="1"/>
  <c r="K185" i="1" s="1"/>
  <c r="G57" i="2"/>
  <c r="H57" i="2"/>
  <c r="I57" i="2"/>
  <c r="M107" i="1"/>
  <c r="M93" i="1"/>
  <c r="M94" i="1"/>
  <c r="N55" i="1" l="1"/>
  <c r="O55" i="1" s="1"/>
  <c r="K14" i="2"/>
  <c r="O161" i="1"/>
  <c r="P161" i="1"/>
  <c r="O163" i="1"/>
  <c r="P163" i="1"/>
  <c r="L173" i="1"/>
  <c r="L157" i="1"/>
  <c r="K157" i="1"/>
  <c r="P207" i="1"/>
  <c r="O120" i="1"/>
  <c r="P120" i="1" s="1"/>
  <c r="O174" i="1"/>
  <c r="M49" i="1"/>
  <c r="N49" i="1" s="1"/>
  <c r="M173" i="1"/>
  <c r="O119" i="1"/>
  <c r="P119" i="1" s="1"/>
  <c r="P55" i="1"/>
  <c r="O129" i="1"/>
  <c r="P129" i="1" s="1"/>
  <c r="P126" i="1" s="1"/>
  <c r="N126" i="1"/>
  <c r="N178" i="1" s="1"/>
  <c r="N107" i="1"/>
  <c r="N93" i="1"/>
  <c r="N94" i="1"/>
  <c r="O94" i="1" s="1"/>
  <c r="L14" i="2" l="1"/>
  <c r="K24" i="2"/>
  <c r="O49" i="1"/>
  <c r="M115" i="1"/>
  <c r="M157" i="1" s="1"/>
  <c r="P174" i="1"/>
  <c r="N173" i="1"/>
  <c r="O126" i="1"/>
  <c r="P178" i="1" s="1"/>
  <c r="P49" i="1"/>
  <c r="P115" i="1" s="1"/>
  <c r="N115" i="1"/>
  <c r="O107" i="1"/>
  <c r="P94" i="1"/>
  <c r="O93" i="1"/>
  <c r="P93" i="1" s="1"/>
  <c r="K6" i="2" l="1"/>
  <c r="L10" i="11" s="1"/>
  <c r="L24" i="2"/>
  <c r="M14" i="2"/>
  <c r="O173" i="1"/>
  <c r="N157" i="1"/>
  <c r="P107" i="1"/>
  <c r="P173" i="1" s="1"/>
  <c r="O115" i="1"/>
  <c r="P157" i="1" s="1"/>
  <c r="O178" i="1"/>
  <c r="L69" i="1" l="1"/>
  <c r="F28" i="4" s="1"/>
  <c r="H74" i="4" s="1"/>
  <c r="L6" i="2"/>
  <c r="N14" i="2"/>
  <c r="M24" i="2"/>
  <c r="O157" i="1"/>
  <c r="M69" i="1" l="1"/>
  <c r="G28" i="4" s="1"/>
  <c r="H78" i="4" s="1"/>
  <c r="M10" i="11"/>
  <c r="H82" i="4"/>
  <c r="M6" i="2"/>
  <c r="N24" i="2"/>
  <c r="N6" i="2" s="1"/>
  <c r="O10" i="11" s="1"/>
  <c r="R10" i="11" s="1"/>
  <c r="O14" i="2"/>
  <c r="N69" i="1" l="1"/>
  <c r="N10" i="11"/>
  <c r="O43" i="3"/>
  <c r="O69" i="1"/>
  <c r="O24" i="2"/>
  <c r="O6" i="2" s="1"/>
  <c r="P10" i="11" s="1"/>
  <c r="G36" i="1"/>
  <c r="H33" i="1" s="1"/>
  <c r="H36" i="1" s="1"/>
  <c r="I33" i="1" s="1"/>
  <c r="I36" i="1" s="1"/>
  <c r="J33" i="1" s="1"/>
  <c r="J36" i="1" s="1"/>
  <c r="K33" i="1" s="1"/>
  <c r="K85" i="1"/>
  <c r="L85" i="1" s="1"/>
  <c r="K83" i="1"/>
  <c r="K86" i="1" s="1"/>
  <c r="I31" i="1"/>
  <c r="J31" i="1"/>
  <c r="G28" i="1"/>
  <c r="H28" i="1"/>
  <c r="I28" i="1"/>
  <c r="J28" i="1"/>
  <c r="G29" i="1"/>
  <c r="H29" i="1"/>
  <c r="I29" i="1"/>
  <c r="J29" i="1"/>
  <c r="H27" i="1"/>
  <c r="I27" i="1"/>
  <c r="J27" i="1"/>
  <c r="G27" i="1"/>
  <c r="H22" i="1"/>
  <c r="I22" i="1"/>
  <c r="J22" i="1"/>
  <c r="G22" i="1"/>
  <c r="B19" i="1"/>
  <c r="I19" i="1"/>
  <c r="J19" i="1" s="1"/>
  <c r="K19" i="1" s="1"/>
  <c r="L19" i="1" s="1"/>
  <c r="M19" i="1" s="1"/>
  <c r="N19" i="1" s="1"/>
  <c r="O19" i="1" s="1"/>
  <c r="P19" i="1" s="1"/>
  <c r="G19" i="1"/>
  <c r="H43" i="3"/>
  <c r="I43" i="3"/>
  <c r="J43" i="3"/>
  <c r="G43" i="3"/>
  <c r="F3" i="2"/>
  <c r="F50" i="2" s="1"/>
  <c r="H3" i="2"/>
  <c r="B3" i="2"/>
  <c r="P69" i="1" l="1"/>
  <c r="P43" i="3"/>
  <c r="P44" i="3" s="1"/>
  <c r="H44" i="3"/>
  <c r="J44" i="3"/>
  <c r="I44" i="3"/>
  <c r="I3" i="2"/>
  <c r="H50" i="2"/>
  <c r="M85" i="1"/>
  <c r="H147" i="1"/>
  <c r="B147" i="1"/>
  <c r="B104" i="1"/>
  <c r="I104" i="1"/>
  <c r="I52" i="1" s="1"/>
  <c r="G104" i="1"/>
  <c r="G52" i="1" s="1"/>
  <c r="B67" i="1"/>
  <c r="I67" i="1"/>
  <c r="J67" i="1" s="1"/>
  <c r="K67" i="1" s="1"/>
  <c r="G67" i="1"/>
  <c r="G5" i="1"/>
  <c r="G147" i="1" s="1"/>
  <c r="O14" i="1"/>
  <c r="H13" i="1"/>
  <c r="O8" i="1"/>
  <c r="I5" i="1"/>
  <c r="J5" i="1" s="1"/>
  <c r="K5" i="1" s="1"/>
  <c r="L5" i="1" s="1"/>
  <c r="M5" i="1" s="1"/>
  <c r="N5" i="1" s="1"/>
  <c r="O5" i="1" s="1"/>
  <c r="O147" i="1" s="1"/>
  <c r="B5" i="1"/>
  <c r="H204" i="1"/>
  <c r="H30" i="11" s="1"/>
  <c r="I204" i="1"/>
  <c r="I30" i="11" s="1"/>
  <c r="J204" i="1"/>
  <c r="J30" i="11" s="1"/>
  <c r="R30" i="11" s="1"/>
  <c r="G204" i="1"/>
  <c r="G30" i="11" s="1"/>
  <c r="H187" i="1"/>
  <c r="H29" i="11" s="1"/>
  <c r="I187" i="1"/>
  <c r="I29" i="11" s="1"/>
  <c r="J187" i="1"/>
  <c r="J29" i="11" s="1"/>
  <c r="G187" i="1"/>
  <c r="G29" i="11" s="1"/>
  <c r="O15" i="1" l="1"/>
  <c r="C71" i="4"/>
  <c r="C95" i="4"/>
  <c r="Y27" i="4"/>
  <c r="Z63" i="4" s="1"/>
  <c r="C94" i="4"/>
  <c r="C93" i="4"/>
  <c r="O27" i="4"/>
  <c r="P63" i="4" s="1"/>
  <c r="C72" i="4"/>
  <c r="AI27" i="4"/>
  <c r="AJ63" i="4" s="1"/>
  <c r="J27" i="4"/>
  <c r="K63" i="4" s="1"/>
  <c r="AD27" i="4"/>
  <c r="AE63" i="4" s="1"/>
  <c r="E27" i="4"/>
  <c r="F63" i="4" s="1"/>
  <c r="T27" i="4"/>
  <c r="U63" i="4" s="1"/>
  <c r="C86" i="4"/>
  <c r="C70" i="4"/>
  <c r="L67" i="1"/>
  <c r="M67" i="1" s="1"/>
  <c r="N67" i="1" s="1"/>
  <c r="O67" i="1" s="1"/>
  <c r="P67" i="1" s="1"/>
  <c r="J3" i="2"/>
  <c r="I50" i="2"/>
  <c r="G45" i="1"/>
  <c r="G46" i="1"/>
  <c r="J104" i="1"/>
  <c r="J52" i="1" s="1"/>
  <c r="I45" i="1"/>
  <c r="I46" i="1"/>
  <c r="N85" i="1"/>
  <c r="N147" i="1"/>
  <c r="I147" i="1"/>
  <c r="M147" i="1"/>
  <c r="L147" i="1"/>
  <c r="K147" i="1"/>
  <c r="J147" i="1"/>
  <c r="O11" i="7" l="1"/>
  <c r="U9" i="7"/>
  <c r="O12" i="7"/>
  <c r="U14" i="7"/>
  <c r="Q13" i="7"/>
  <c r="U12" i="7"/>
  <c r="U13" i="7"/>
  <c r="Q12" i="7"/>
  <c r="U10" i="7"/>
  <c r="Q9" i="7"/>
  <c r="O9" i="7"/>
  <c r="O14" i="7"/>
  <c r="O13" i="7"/>
  <c r="U11" i="7"/>
  <c r="Q10" i="7"/>
  <c r="Q14" i="7"/>
  <c r="O10" i="7"/>
  <c r="Q11" i="7"/>
  <c r="O21" i="7"/>
  <c r="O16" i="1"/>
  <c r="C97" i="4"/>
  <c r="Z27" i="4"/>
  <c r="AA63" i="4" s="1"/>
  <c r="C74" i="4"/>
  <c r="P11" i="7" s="1"/>
  <c r="U27" i="4"/>
  <c r="V63" i="4" s="1"/>
  <c r="C87" i="4"/>
  <c r="P27" i="4"/>
  <c r="Q63" i="4" s="1"/>
  <c r="C75" i="4"/>
  <c r="AJ27" i="4"/>
  <c r="AK63" i="4" s="1"/>
  <c r="K27" i="4"/>
  <c r="L63" i="4" s="1"/>
  <c r="AE27" i="4"/>
  <c r="AF63" i="4" s="1"/>
  <c r="C99" i="4"/>
  <c r="F27" i="4"/>
  <c r="G63" i="4" s="1"/>
  <c r="C98" i="4"/>
  <c r="C76" i="4"/>
  <c r="K3" i="2"/>
  <c r="J50" i="2"/>
  <c r="K104" i="1"/>
  <c r="L104" i="1" s="1"/>
  <c r="M104" i="1" s="1"/>
  <c r="N104" i="1" s="1"/>
  <c r="O104" i="1" s="1"/>
  <c r="P104" i="1" s="1"/>
  <c r="J45" i="1"/>
  <c r="J46" i="1"/>
  <c r="O85" i="1"/>
  <c r="V14" i="7" l="1"/>
  <c r="P14" i="7"/>
  <c r="P10" i="7"/>
  <c r="R13" i="7"/>
  <c r="R14" i="7"/>
  <c r="V9" i="7"/>
  <c r="Q16" i="7"/>
  <c r="Q15" i="7"/>
  <c r="Q17" i="7"/>
  <c r="Q19" i="7"/>
  <c r="Q18" i="7"/>
  <c r="R10" i="7"/>
  <c r="V10" i="7"/>
  <c r="V11" i="7"/>
  <c r="P13" i="7"/>
  <c r="P12" i="7"/>
  <c r="U16" i="7"/>
  <c r="U18" i="7"/>
  <c r="U19" i="7"/>
  <c r="U15" i="7"/>
  <c r="U17" i="7"/>
  <c r="R9" i="7"/>
  <c r="R12" i="7"/>
  <c r="V27" i="4"/>
  <c r="W63" i="4" s="1"/>
  <c r="C79" i="4"/>
  <c r="Q27" i="4"/>
  <c r="R63" i="4" s="1"/>
  <c r="L27" i="4"/>
  <c r="M63" i="4" s="1"/>
  <c r="C78" i="4"/>
  <c r="Z11" i="7" s="1"/>
  <c r="AF27" i="4"/>
  <c r="AG63" i="4" s="1"/>
  <c r="G27" i="4"/>
  <c r="H63" i="4" s="1"/>
  <c r="C80" i="4"/>
  <c r="AA27" i="4"/>
  <c r="AB63" i="4" s="1"/>
  <c r="AK27" i="4"/>
  <c r="AL63" i="4" s="1"/>
  <c r="R11" i="7"/>
  <c r="O18" i="7"/>
  <c r="O17" i="7"/>
  <c r="O19" i="7"/>
  <c r="O15" i="7"/>
  <c r="O16" i="7"/>
  <c r="V13" i="7"/>
  <c r="P21" i="7"/>
  <c r="V12" i="7"/>
  <c r="P9" i="7"/>
  <c r="L3" i="2"/>
  <c r="K50" i="2"/>
  <c r="P85" i="1"/>
  <c r="L79" i="1"/>
  <c r="L123" i="3" l="1"/>
  <c r="L125" i="3" s="1"/>
  <c r="L18" i="11"/>
  <c r="V17" i="7"/>
  <c r="W13" i="7"/>
  <c r="P28" i="7"/>
  <c r="S13" i="7"/>
  <c r="AA10" i="7"/>
  <c r="Y14" i="7"/>
  <c r="N30" i="7"/>
  <c r="V32" i="7"/>
  <c r="U29" i="7"/>
  <c r="X13" i="7"/>
  <c r="R29" i="7"/>
  <c r="O27" i="7"/>
  <c r="Q31" i="7"/>
  <c r="O28" i="7"/>
  <c r="X12" i="7"/>
  <c r="AA11" i="7"/>
  <c r="Z9" i="7"/>
  <c r="O31" i="7"/>
  <c r="N31" i="7"/>
  <c r="AA12" i="7"/>
  <c r="T28" i="7"/>
  <c r="S27" i="7"/>
  <c r="S29" i="7"/>
  <c r="T30" i="7"/>
  <c r="Q27" i="7"/>
  <c r="Z10" i="7"/>
  <c r="T31" i="7"/>
  <c r="U32" i="7"/>
  <c r="Z12" i="7"/>
  <c r="W12" i="7"/>
  <c r="W9" i="7"/>
  <c r="Q29" i="7"/>
  <c r="S9" i="7"/>
  <c r="Y12" i="7"/>
  <c r="R27" i="7"/>
  <c r="R30" i="7"/>
  <c r="W14" i="7"/>
  <c r="P16" i="7"/>
  <c r="P15" i="7"/>
  <c r="P18" i="7"/>
  <c r="P17" i="7"/>
  <c r="P19" i="7"/>
  <c r="AA13" i="7"/>
  <c r="N29" i="7"/>
  <c r="N27" i="7"/>
  <c r="Z14" i="7"/>
  <c r="U30" i="7"/>
  <c r="V31" i="7"/>
  <c r="Y13" i="7"/>
  <c r="P32" i="7"/>
  <c r="X14" i="7"/>
  <c r="R31" i="7"/>
  <c r="P29" i="7"/>
  <c r="U27" i="7"/>
  <c r="S10" i="7"/>
  <c r="P30" i="7"/>
  <c r="Y11" i="7"/>
  <c r="V30" i="7"/>
  <c r="W10" i="7"/>
  <c r="Q28" i="7"/>
  <c r="S14" i="7"/>
  <c r="R28" i="7"/>
  <c r="X11" i="7"/>
  <c r="U28" i="7"/>
  <c r="T27" i="7"/>
  <c r="R17" i="7"/>
  <c r="R18" i="7"/>
  <c r="R16" i="7"/>
  <c r="R19" i="7"/>
  <c r="R15" i="7"/>
  <c r="S11" i="7"/>
  <c r="AA14" i="7"/>
  <c r="P27" i="7"/>
  <c r="N32" i="7"/>
  <c r="S31" i="7"/>
  <c r="T32" i="7"/>
  <c r="O29" i="7"/>
  <c r="X9" i="7"/>
  <c r="P31" i="7"/>
  <c r="V16" i="7"/>
  <c r="W11" i="7"/>
  <c r="S12" i="7"/>
  <c r="Y10" i="7"/>
  <c r="S28" i="7"/>
  <c r="T29" i="7"/>
  <c r="V18" i="7"/>
  <c r="S30" i="7"/>
  <c r="R32" i="7"/>
  <c r="N28" i="7"/>
  <c r="S32" i="7"/>
  <c r="Q30" i="7"/>
  <c r="V28" i="7"/>
  <c r="V19" i="7"/>
  <c r="V29" i="7"/>
  <c r="O32" i="7"/>
  <c r="X10" i="7"/>
  <c r="O30" i="7"/>
  <c r="V27" i="7"/>
  <c r="Y9" i="7"/>
  <c r="V15" i="7"/>
  <c r="Z13" i="7"/>
  <c r="Q32" i="7"/>
  <c r="AA9" i="7"/>
  <c r="U31" i="7"/>
  <c r="L154" i="1"/>
  <c r="L46" i="3"/>
  <c r="M3" i="2"/>
  <c r="L50" i="2"/>
  <c r="K52" i="2"/>
  <c r="M79" i="1"/>
  <c r="M123" i="3" l="1"/>
  <c r="M125" i="3" s="1"/>
  <c r="M18" i="11"/>
  <c r="L139" i="3"/>
  <c r="L129" i="3"/>
  <c r="L137" i="3" s="1"/>
  <c r="Y17" i="7"/>
  <c r="Y19" i="7"/>
  <c r="Y18" i="7"/>
  <c r="Y16" i="7"/>
  <c r="Y15" i="7"/>
  <c r="Y21" i="7" s="1"/>
  <c r="V34" i="7"/>
  <c r="V35" i="7"/>
  <c r="V37" i="7"/>
  <c r="V36" i="7"/>
  <c r="V38" i="7"/>
  <c r="U38" i="7"/>
  <c r="U34" i="7"/>
  <c r="U37" i="7"/>
  <c r="U36" i="7"/>
  <c r="U35" i="7"/>
  <c r="O38" i="7"/>
  <c r="O37" i="7"/>
  <c r="O35" i="7"/>
  <c r="O34" i="7"/>
  <c r="O36" i="7"/>
  <c r="Q34" i="7"/>
  <c r="Q35" i="7"/>
  <c r="Q37" i="7"/>
  <c r="Q38" i="7"/>
  <c r="Q36" i="7"/>
  <c r="K7" i="3" s="1"/>
  <c r="F146" i="3" s="1"/>
  <c r="T38" i="7"/>
  <c r="T35" i="7"/>
  <c r="T37" i="7"/>
  <c r="T36" i="7"/>
  <c r="T34" i="7"/>
  <c r="X16" i="7"/>
  <c r="X18" i="7"/>
  <c r="X17" i="7"/>
  <c r="X15" i="7"/>
  <c r="X21" i="7" s="1"/>
  <c r="X19" i="7"/>
  <c r="S36" i="7"/>
  <c r="S35" i="7"/>
  <c r="S38" i="7"/>
  <c r="S37" i="7"/>
  <c r="S34" i="7"/>
  <c r="R36" i="7"/>
  <c r="R37" i="7"/>
  <c r="R35" i="7"/>
  <c r="R34" i="7"/>
  <c r="R38" i="7"/>
  <c r="AA16" i="7"/>
  <c r="AA18" i="7"/>
  <c r="AA17" i="7"/>
  <c r="AA19" i="7"/>
  <c r="AA15" i="7"/>
  <c r="AA21" i="7" s="1"/>
  <c r="S18" i="7"/>
  <c r="S17" i="7"/>
  <c r="S16" i="7"/>
  <c r="S15" i="7"/>
  <c r="S19" i="7"/>
  <c r="P34" i="7"/>
  <c r="P36" i="7"/>
  <c r="P37" i="7"/>
  <c r="P35" i="7"/>
  <c r="P38" i="7"/>
  <c r="N37" i="7"/>
  <c r="N34" i="7"/>
  <c r="N38" i="7"/>
  <c r="N36" i="7"/>
  <c r="N35" i="7"/>
  <c r="W15" i="7"/>
  <c r="W21" i="7" s="1"/>
  <c r="W17" i="7"/>
  <c r="W19" i="7"/>
  <c r="W16" i="7"/>
  <c r="W18" i="7"/>
  <c r="Z15" i="7"/>
  <c r="Z21" i="7" s="1"/>
  <c r="Z19" i="7"/>
  <c r="Z18" i="7"/>
  <c r="Z16" i="7"/>
  <c r="Z17" i="7"/>
  <c r="L183" i="1"/>
  <c r="L25" i="11" s="1"/>
  <c r="L59" i="3"/>
  <c r="M154" i="1"/>
  <c r="M46" i="3"/>
  <c r="N3" i="2"/>
  <c r="M50" i="2"/>
  <c r="L52" i="2"/>
  <c r="K62" i="2"/>
  <c r="L62" i="2"/>
  <c r="M62" i="2"/>
  <c r="N62" i="2"/>
  <c r="O62" i="2"/>
  <c r="N79" i="1"/>
  <c r="N123" i="3" l="1"/>
  <c r="N125" i="3" s="1"/>
  <c r="N18" i="11"/>
  <c r="M139" i="3"/>
  <c r="M129" i="3"/>
  <c r="M137" i="3" s="1"/>
  <c r="N154" i="1"/>
  <c r="N46" i="3"/>
  <c r="M183" i="1"/>
  <c r="M25" i="11" s="1"/>
  <c r="M59" i="3"/>
  <c r="O3" i="2"/>
  <c r="O50" i="2" s="1"/>
  <c r="N50" i="2"/>
  <c r="M52" i="2"/>
  <c r="M63" i="2"/>
  <c r="N63" i="2"/>
  <c r="O63" i="2"/>
  <c r="L63" i="2"/>
  <c r="O79" i="1"/>
  <c r="O46" i="3" l="1"/>
  <c r="O18" i="11"/>
  <c r="O123" i="3"/>
  <c r="O125" i="3" s="1"/>
  <c r="N139" i="3"/>
  <c r="N129" i="3"/>
  <c r="N137" i="3" s="1"/>
  <c r="N183" i="1"/>
  <c r="N25" i="11" s="1"/>
  <c r="N59" i="3"/>
  <c r="O154" i="1"/>
  <c r="N52" i="2"/>
  <c r="O59" i="3" s="1"/>
  <c r="N64" i="2"/>
  <c r="O64" i="2"/>
  <c r="M64" i="2"/>
  <c r="P79" i="1"/>
  <c r="P46" i="3" l="1"/>
  <c r="P18" i="11"/>
  <c r="P123" i="3"/>
  <c r="P125" i="3" s="1"/>
  <c r="O129" i="3"/>
  <c r="O137" i="3" s="1"/>
  <c r="O139" i="3"/>
  <c r="O183" i="1"/>
  <c r="O25" i="11" s="1"/>
  <c r="R25" i="11" s="1"/>
  <c r="O52" i="2"/>
  <c r="P59" i="3" s="1"/>
  <c r="P154" i="1"/>
  <c r="O65" i="2"/>
  <c r="N65" i="2"/>
  <c r="G140" i="1"/>
  <c r="H140" i="1"/>
  <c r="I140" i="1"/>
  <c r="J140" i="1"/>
  <c r="H127" i="1"/>
  <c r="H134" i="1" s="1"/>
  <c r="I127" i="1"/>
  <c r="I134" i="1" s="1"/>
  <c r="J127" i="1"/>
  <c r="J134" i="1" s="1"/>
  <c r="G127" i="1"/>
  <c r="G134" i="1" s="1"/>
  <c r="H112" i="1"/>
  <c r="H121" i="1" s="1"/>
  <c r="H32" i="11" s="1"/>
  <c r="I112" i="1"/>
  <c r="I121" i="1" s="1"/>
  <c r="I32" i="11" s="1"/>
  <c r="J112" i="1"/>
  <c r="J121" i="1" s="1"/>
  <c r="J32" i="11" s="1"/>
  <c r="H86" i="1"/>
  <c r="I86" i="1"/>
  <c r="J86" i="1"/>
  <c r="G86" i="1"/>
  <c r="H79" i="1"/>
  <c r="I79" i="1"/>
  <c r="J79" i="1"/>
  <c r="G79" i="1"/>
  <c r="H72" i="1"/>
  <c r="H15" i="11" s="1"/>
  <c r="H16" i="11" s="1"/>
  <c r="I72" i="1"/>
  <c r="I15" i="11" s="1"/>
  <c r="I16" i="11" s="1"/>
  <c r="J72" i="1"/>
  <c r="G72" i="1"/>
  <c r="G15" i="11" s="1"/>
  <c r="G16" i="11" s="1"/>
  <c r="I18" i="11" l="1"/>
  <c r="I123" i="3"/>
  <c r="I125" i="3" s="1"/>
  <c r="H18" i="11"/>
  <c r="H123" i="3"/>
  <c r="H125" i="3" s="1"/>
  <c r="G11" i="4"/>
  <c r="H11" i="4" s="1"/>
  <c r="H85" i="4" s="1"/>
  <c r="J15" i="11"/>
  <c r="J16" i="11" s="1"/>
  <c r="P139" i="3"/>
  <c r="F155" i="3" s="1"/>
  <c r="F158" i="3" s="1"/>
  <c r="P129" i="3"/>
  <c r="P137" i="3" s="1"/>
  <c r="F159" i="3" s="1"/>
  <c r="G18" i="11"/>
  <c r="G123" i="3"/>
  <c r="G125" i="3" s="1"/>
  <c r="J18" i="11"/>
  <c r="J123" i="3"/>
  <c r="J125" i="3" s="1"/>
  <c r="G63" i="1"/>
  <c r="G46" i="3"/>
  <c r="J63" i="1"/>
  <c r="J46" i="3"/>
  <c r="I63" i="1"/>
  <c r="I46" i="3"/>
  <c r="H63" i="1"/>
  <c r="H46" i="3"/>
  <c r="O66" i="2"/>
  <c r="P183" i="1"/>
  <c r="P25" i="11" s="1"/>
  <c r="F53" i="2"/>
  <c r="G53" i="1"/>
  <c r="I53" i="2"/>
  <c r="J53" i="1"/>
  <c r="H53" i="2"/>
  <c r="I53" i="1"/>
  <c r="G53" i="2"/>
  <c r="H53" i="1"/>
  <c r="J142" i="1"/>
  <c r="J144" i="1" s="1"/>
  <c r="I142" i="1"/>
  <c r="I144" i="1" s="1"/>
  <c r="H142" i="1"/>
  <c r="H144" i="1" s="1"/>
  <c r="G142" i="1"/>
  <c r="I81" i="1"/>
  <c r="I20" i="11" s="1"/>
  <c r="H81" i="1"/>
  <c r="H20" i="11" s="1"/>
  <c r="G81" i="1"/>
  <c r="G20" i="11" s="1"/>
  <c r="J81" i="1"/>
  <c r="J20" i="11" s="1"/>
  <c r="J129" i="3" l="1"/>
  <c r="J137" i="3" s="1"/>
  <c r="J139" i="3"/>
  <c r="G129" i="3"/>
  <c r="G137" i="3" s="1"/>
  <c r="G139" i="3"/>
  <c r="F160" i="3"/>
  <c r="F162" i="3" s="1"/>
  <c r="H139" i="3"/>
  <c r="H129" i="3"/>
  <c r="H137" i="3" s="1"/>
  <c r="I139" i="3"/>
  <c r="I129" i="3"/>
  <c r="I137" i="3" s="1"/>
  <c r="K63" i="1"/>
  <c r="J88" i="1"/>
  <c r="J91" i="1" s="1"/>
  <c r="G9" i="4" s="1"/>
  <c r="H9" i="4" s="1"/>
  <c r="J97" i="1"/>
  <c r="J48" i="3"/>
  <c r="G88" i="1"/>
  <c r="G91" i="1" s="1"/>
  <c r="G97" i="1"/>
  <c r="G48" i="3"/>
  <c r="H88" i="1"/>
  <c r="H91" i="1" s="1"/>
  <c r="H95" i="1" s="1"/>
  <c r="H22" i="11" s="1"/>
  <c r="H97" i="1"/>
  <c r="H48" i="3"/>
  <c r="I88" i="1"/>
  <c r="I91" i="1" s="1"/>
  <c r="I97" i="1"/>
  <c r="I48" i="3"/>
  <c r="J63" i="3" l="1"/>
  <c r="J64" i="3" s="1"/>
  <c r="J37" i="11" s="1"/>
  <c r="J36" i="11"/>
  <c r="I63" i="3"/>
  <c r="I64" i="3" s="1"/>
  <c r="I37" i="11" s="1"/>
  <c r="I36" i="11"/>
  <c r="H63" i="3"/>
  <c r="H64" i="3" s="1"/>
  <c r="H37" i="11" s="1"/>
  <c r="H36" i="11"/>
  <c r="G63" i="3"/>
  <c r="G64" i="3" s="1"/>
  <c r="G37" i="11" s="1"/>
  <c r="G36" i="11"/>
  <c r="J52" i="3"/>
  <c r="J61" i="3" s="1"/>
  <c r="I95" i="1"/>
  <c r="I22" i="11" s="1"/>
  <c r="I149" i="1"/>
  <c r="I180" i="1" s="1"/>
  <c r="G95" i="1"/>
  <c r="G22" i="11" s="1"/>
  <c r="G149" i="1"/>
  <c r="G180" i="1" s="1"/>
  <c r="T21" i="7"/>
  <c r="E66" i="4"/>
  <c r="H91" i="4" s="1"/>
  <c r="T40" i="7" s="1"/>
  <c r="J149" i="1"/>
  <c r="J180" i="1" s="1"/>
  <c r="J95" i="1"/>
  <c r="J22" i="11" s="1"/>
  <c r="I52" i="3"/>
  <c r="I61" i="3" s="1"/>
  <c r="H52" i="3"/>
  <c r="H61" i="3" s="1"/>
  <c r="G52" i="3"/>
  <c r="G61" i="3" s="1"/>
  <c r="H149" i="1"/>
  <c r="G209" i="1" l="1"/>
  <c r="G211" i="1" s="1"/>
  <c r="H210" i="1" s="1"/>
  <c r="G28" i="11"/>
  <c r="I209" i="1"/>
  <c r="I28" i="11"/>
  <c r="J209" i="1"/>
  <c r="J28" i="11"/>
  <c r="H180" i="1"/>
  <c r="L124" i="1"/>
  <c r="M124" i="1"/>
  <c r="H209" i="1" l="1"/>
  <c r="H211" i="1" s="1"/>
  <c r="I210" i="1" s="1"/>
  <c r="I211" i="1" s="1"/>
  <c r="J210" i="1" s="1"/>
  <c r="K210" i="1" s="1"/>
  <c r="H28" i="11"/>
  <c r="N124" i="1"/>
  <c r="M176" i="1"/>
  <c r="O124" i="1"/>
  <c r="P124" i="1"/>
  <c r="N176" i="1" l="1"/>
  <c r="P176" i="1"/>
  <c r="O176" i="1"/>
  <c r="H31" i="1" l="1"/>
  <c r="G112" i="1"/>
  <c r="G121" i="1" s="1"/>
  <c r="G144" i="1" l="1"/>
  <c r="G32" i="11"/>
  <c r="N123" i="1"/>
  <c r="K43" i="3"/>
  <c r="K44" i="3" s="1"/>
  <c r="N43" i="3"/>
  <c r="N111" i="1"/>
  <c r="K125" i="1"/>
  <c r="M43" i="3"/>
  <c r="N133" i="1"/>
  <c r="N71" i="1"/>
  <c r="N72" i="1" s="1"/>
  <c r="N73" i="1" s="1"/>
  <c r="L43" i="3"/>
  <c r="P111" i="1"/>
  <c r="K111" i="1"/>
  <c r="K171" i="1" s="1"/>
  <c r="M133" i="1"/>
  <c r="O109" i="1"/>
  <c r="O71" i="1"/>
  <c r="L109" i="1"/>
  <c r="N110" i="1"/>
  <c r="P125" i="1"/>
  <c r="N81" i="1" l="1"/>
  <c r="N15" i="11"/>
  <c r="N16" i="11" s="1"/>
  <c r="N44" i="3"/>
  <c r="O44" i="3"/>
  <c r="L71" i="1"/>
  <c r="L72" i="1" s="1"/>
  <c r="O110" i="1"/>
  <c r="O170" i="1" s="1"/>
  <c r="M125" i="1"/>
  <c r="M132" i="1" s="1"/>
  <c r="M44" i="3"/>
  <c r="P109" i="1"/>
  <c r="L133" i="1"/>
  <c r="M179" i="1" s="1"/>
  <c r="O133" i="1"/>
  <c r="O179" i="1" s="1"/>
  <c r="O123" i="1"/>
  <c r="O125" i="1"/>
  <c r="O132" i="1" s="1"/>
  <c r="M111" i="1"/>
  <c r="N171" i="1" s="1"/>
  <c r="M123" i="1"/>
  <c r="M71" i="1"/>
  <c r="M72" i="1" s="1"/>
  <c r="O111" i="1"/>
  <c r="P171" i="1" s="1"/>
  <c r="P71" i="1"/>
  <c r="P72" i="1" s="1"/>
  <c r="P73" i="1" s="1"/>
  <c r="O116" i="1"/>
  <c r="L116" i="1"/>
  <c r="P123" i="1"/>
  <c r="O72" i="1"/>
  <c r="O73" i="1" s="1"/>
  <c r="M110" i="1"/>
  <c r="N170" i="1" s="1"/>
  <c r="K116" i="1"/>
  <c r="K172" i="1" s="1"/>
  <c r="L44" i="3"/>
  <c r="K109" i="1"/>
  <c r="K123" i="1"/>
  <c r="K175" i="1" s="1"/>
  <c r="P132" i="1"/>
  <c r="N179" i="1"/>
  <c r="K132" i="1"/>
  <c r="P116" i="1"/>
  <c r="P133" i="1"/>
  <c r="P110" i="1"/>
  <c r="K110" i="1"/>
  <c r="L125" i="1"/>
  <c r="L123" i="1"/>
  <c r="N109" i="1"/>
  <c r="N56" i="3" s="1"/>
  <c r="L111" i="1"/>
  <c r="M116" i="1"/>
  <c r="K133" i="1"/>
  <c r="K179" i="1" s="1"/>
  <c r="M109" i="1"/>
  <c r="K71" i="1"/>
  <c r="K72" i="1" s="1"/>
  <c r="K73" i="1" s="1"/>
  <c r="N125" i="1"/>
  <c r="N127" i="1" s="1"/>
  <c r="N116" i="1"/>
  <c r="L110" i="1"/>
  <c r="M15" i="11" l="1"/>
  <c r="M16" i="11" s="1"/>
  <c r="M73" i="1"/>
  <c r="L15" i="11"/>
  <c r="L16" i="11" s="1"/>
  <c r="L73" i="1"/>
  <c r="E29" i="4"/>
  <c r="H71" i="4" s="1"/>
  <c r="Q21" i="7" s="1"/>
  <c r="K15" i="11"/>
  <c r="K16" i="11" s="1"/>
  <c r="N48" i="3"/>
  <c r="N20" i="11"/>
  <c r="O81" i="1"/>
  <c r="O15" i="11"/>
  <c r="P81" i="1"/>
  <c r="P15" i="11"/>
  <c r="P16" i="11" s="1"/>
  <c r="M81" i="1"/>
  <c r="G29" i="4"/>
  <c r="L81" i="1"/>
  <c r="F29" i="4"/>
  <c r="K169" i="1"/>
  <c r="L56" i="3"/>
  <c r="P56" i="3"/>
  <c r="O56" i="3"/>
  <c r="M169" i="1"/>
  <c r="M56" i="3"/>
  <c r="O172" i="1"/>
  <c r="P170" i="1"/>
  <c r="P172" i="1"/>
  <c r="P169" i="1"/>
  <c r="M127" i="1"/>
  <c r="M134" i="1" s="1"/>
  <c r="O171" i="1"/>
  <c r="P175" i="1"/>
  <c r="L169" i="1"/>
  <c r="K79" i="1"/>
  <c r="P127" i="1"/>
  <c r="P134" i="1" s="1"/>
  <c r="O175" i="1"/>
  <c r="O127" i="1"/>
  <c r="O134" i="1" s="1"/>
  <c r="M170" i="1"/>
  <c r="N175" i="1"/>
  <c r="P179" i="1"/>
  <c r="L172" i="1"/>
  <c r="N172" i="1"/>
  <c r="M172" i="1"/>
  <c r="O169" i="1"/>
  <c r="P177" i="1"/>
  <c r="M171" i="1"/>
  <c r="L171" i="1"/>
  <c r="L175" i="1"/>
  <c r="L127" i="1"/>
  <c r="M175" i="1"/>
  <c r="L132" i="1"/>
  <c r="L177" i="1" s="1"/>
  <c r="L170" i="1"/>
  <c r="K170" i="1"/>
  <c r="N132" i="1"/>
  <c r="N134" i="1" s="1"/>
  <c r="L179" i="1"/>
  <c r="K177" i="1"/>
  <c r="N169" i="1"/>
  <c r="K81" i="1" l="1"/>
  <c r="K88" i="1" s="1"/>
  <c r="K18" i="11"/>
  <c r="K123" i="3"/>
  <c r="K125" i="3" s="1"/>
  <c r="H86" i="4"/>
  <c r="M48" i="3"/>
  <c r="M20" i="11"/>
  <c r="P48" i="3"/>
  <c r="P20" i="11"/>
  <c r="L48" i="3"/>
  <c r="L20" i="11"/>
  <c r="O16" i="11"/>
  <c r="R15" i="11"/>
  <c r="O48" i="3"/>
  <c r="O20" i="11"/>
  <c r="H75" i="4"/>
  <c r="H79" i="4"/>
  <c r="S21" i="7" s="1"/>
  <c r="M57" i="3"/>
  <c r="M177" i="1"/>
  <c r="O57" i="3"/>
  <c r="P57" i="3"/>
  <c r="L134" i="1"/>
  <c r="K46" i="3"/>
  <c r="J52" i="2"/>
  <c r="O61" i="2" s="1"/>
  <c r="K124" i="1"/>
  <c r="K154" i="1"/>
  <c r="N57" i="3"/>
  <c r="O177" i="1"/>
  <c r="N177" i="1"/>
  <c r="K48" i="3" l="1"/>
  <c r="K20" i="11"/>
  <c r="K139" i="3"/>
  <c r="K129" i="3"/>
  <c r="K137" i="3" s="1"/>
  <c r="K176" i="1"/>
  <c r="K56" i="3"/>
  <c r="K57" i="3" s="1"/>
  <c r="R21" i="7"/>
  <c r="H87" i="4"/>
  <c r="H83" i="4"/>
  <c r="K59" i="3"/>
  <c r="K61" i="2"/>
  <c r="N61" i="2"/>
  <c r="L61" i="2"/>
  <c r="K183" i="1"/>
  <c r="L176" i="1"/>
  <c r="K127" i="1"/>
  <c r="K134" i="1" s="1"/>
  <c r="M61" i="2"/>
  <c r="J61" i="2"/>
  <c r="J67" i="2" s="1"/>
  <c r="K151" i="1" s="1"/>
  <c r="K54" i="3" s="1"/>
  <c r="K52" i="3"/>
  <c r="K34" i="1"/>
  <c r="K187" i="1" l="1"/>
  <c r="K29" i="11" s="1"/>
  <c r="K25" i="11"/>
  <c r="K97" i="1"/>
  <c r="L57" i="3"/>
  <c r="J55" i="2"/>
  <c r="K61" i="3"/>
  <c r="K35" i="1"/>
  <c r="K38" i="1" s="1"/>
  <c r="K39" i="1" s="1"/>
  <c r="K63" i="3" l="1"/>
  <c r="K64" i="3" s="1"/>
  <c r="K37" i="11" s="1"/>
  <c r="K36" i="11"/>
  <c r="K90" i="1"/>
  <c r="K91" i="1" s="1"/>
  <c r="K50" i="3"/>
  <c r="K60" i="2"/>
  <c r="K67" i="2" s="1"/>
  <c r="L151" i="1" s="1"/>
  <c r="K114" i="1"/>
  <c r="K36" i="1"/>
  <c r="L33" i="1" s="1"/>
  <c r="E30" i="4" l="1"/>
  <c r="F66" i="4" s="1"/>
  <c r="H95" i="4" s="1"/>
  <c r="U40" i="7" s="1"/>
  <c r="K100" i="1"/>
  <c r="K23" i="11" s="1"/>
  <c r="L54" i="3"/>
  <c r="L97" i="1"/>
  <c r="K55" i="2"/>
  <c r="K149" i="1"/>
  <c r="K138" i="1" s="1"/>
  <c r="K95" i="1"/>
  <c r="K22" i="11" s="1"/>
  <c r="L63" i="3" l="1"/>
  <c r="L64" i="3" s="1"/>
  <c r="L37" i="11" s="1"/>
  <c r="L36" i="11"/>
  <c r="H72" i="4"/>
  <c r="U21" i="7" s="1"/>
  <c r="L114" i="1"/>
  <c r="L60" i="2"/>
  <c r="L67" i="2" s="1"/>
  <c r="M151" i="1" s="1"/>
  <c r="K180" i="1"/>
  <c r="K209" i="1" l="1"/>
  <c r="K211" i="1" s="1"/>
  <c r="L210" i="1" s="1"/>
  <c r="K28" i="11"/>
  <c r="L55" i="2"/>
  <c r="M114" i="1" s="1"/>
  <c r="M54" i="3"/>
  <c r="M97" i="1"/>
  <c r="K140" i="1"/>
  <c r="K142" i="1" s="1"/>
  <c r="K106" i="1" l="1"/>
  <c r="M63" i="3"/>
  <c r="M64" i="3" s="1"/>
  <c r="M37" i="11" s="1"/>
  <c r="M36" i="11"/>
  <c r="M60" i="2"/>
  <c r="M67" i="2" s="1"/>
  <c r="N151" i="1" s="1"/>
  <c r="N54" i="3" s="1"/>
  <c r="Q106" i="1" l="1"/>
  <c r="K34" i="11"/>
  <c r="F23" i="3"/>
  <c r="H16" i="4" s="1"/>
  <c r="I21" i="7" s="1"/>
  <c r="L83" i="1"/>
  <c r="L86" i="1" s="1"/>
  <c r="L88" i="1" s="1"/>
  <c r="L34" i="1" s="1"/>
  <c r="K112" i="1"/>
  <c r="K121" i="1" s="1"/>
  <c r="K32" i="11" s="1"/>
  <c r="L108" i="1"/>
  <c r="L185" i="1" s="1"/>
  <c r="L187" i="1" s="1"/>
  <c r="L29" i="11" s="1"/>
  <c r="N97" i="1"/>
  <c r="M55" i="2"/>
  <c r="N114" i="1" s="1"/>
  <c r="K25" i="3" l="1"/>
  <c r="F164" i="3" s="1"/>
  <c r="F172" i="3" s="1"/>
  <c r="F176" i="3" s="1"/>
  <c r="F177" i="3" s="1"/>
  <c r="F30" i="3"/>
  <c r="H59" i="4"/>
  <c r="H65" i="4" s="1"/>
  <c r="K144" i="1"/>
  <c r="L52" i="3"/>
  <c r="L61" i="3" s="1"/>
  <c r="N63" i="3"/>
  <c r="N64" i="3" s="1"/>
  <c r="N37" i="11" s="1"/>
  <c r="N36" i="11"/>
  <c r="N60" i="2"/>
  <c r="N67" i="2" s="1"/>
  <c r="O151" i="1" s="1"/>
  <c r="O54" i="3" s="1"/>
  <c r="L35" i="1"/>
  <c r="L38" i="1" s="1"/>
  <c r="L39" i="1" s="1"/>
  <c r="M21" i="7" l="1"/>
  <c r="G64" i="4"/>
  <c r="H97" i="4" s="1"/>
  <c r="P40" i="7" s="1"/>
  <c r="F64" i="4"/>
  <c r="H93" i="4" s="1"/>
  <c r="O40" i="7" s="1"/>
  <c r="H64" i="4"/>
  <c r="G65" i="4"/>
  <c r="H98" i="4" s="1"/>
  <c r="S40" i="7" s="1"/>
  <c r="F65" i="4"/>
  <c r="H94" i="4" s="1"/>
  <c r="R40" i="7" s="1"/>
  <c r="E65" i="4"/>
  <c r="H90" i="4" s="1"/>
  <c r="Q40" i="7" s="1"/>
  <c r="E64" i="4"/>
  <c r="H89" i="4" s="1"/>
  <c r="N40" i="7" s="1"/>
  <c r="P25" i="3"/>
  <c r="E100" i="3"/>
  <c r="M40" i="7"/>
  <c r="K17" i="3"/>
  <c r="L90" i="1"/>
  <c r="L91" i="1" s="1"/>
  <c r="L50" i="3"/>
  <c r="N55" i="2"/>
  <c r="O114" i="1" s="1"/>
  <c r="O97" i="1"/>
  <c r="L36" i="1"/>
  <c r="M33" i="1" s="1"/>
  <c r="O63" i="3" l="1"/>
  <c r="O64" i="3" s="1"/>
  <c r="O37" i="11" s="1"/>
  <c r="O36" i="11"/>
  <c r="R36" i="11" s="1"/>
  <c r="F30" i="4"/>
  <c r="H76" i="4" s="1"/>
  <c r="V21" i="7" s="1"/>
  <c r="L100" i="1"/>
  <c r="L23" i="11" s="1"/>
  <c r="O60" i="2"/>
  <c r="O67" i="2" s="1"/>
  <c r="P151" i="1" s="1"/>
  <c r="P97" i="1" s="1"/>
  <c r="L149" i="1"/>
  <c r="L138" i="1" s="1"/>
  <c r="L95" i="1"/>
  <c r="L22" i="11" s="1"/>
  <c r="P63" i="3" l="1"/>
  <c r="P64" i="3" s="1"/>
  <c r="P37" i="11" s="1"/>
  <c r="P36" i="11"/>
  <c r="G66" i="4"/>
  <c r="H99" i="4" s="1"/>
  <c r="V40" i="7" s="1"/>
  <c r="P54" i="3"/>
  <c r="O55" i="2"/>
  <c r="P114" i="1" s="1"/>
  <c r="L180" i="1"/>
  <c r="K16" i="3" l="1"/>
  <c r="K19" i="3" s="1"/>
  <c r="L209" i="1"/>
  <c r="L211" i="1" s="1"/>
  <c r="M210" i="1" s="1"/>
  <c r="L28" i="11"/>
  <c r="L140" i="1"/>
  <c r="L142" i="1" s="1"/>
  <c r="L106" i="1" l="1"/>
  <c r="L34" i="11" s="1"/>
  <c r="M83" i="1" l="1"/>
  <c r="M86" i="1" s="1"/>
  <c r="M88" i="1" s="1"/>
  <c r="M34" i="1" s="1"/>
  <c r="L112" i="1"/>
  <c r="L121" i="1" s="1"/>
  <c r="L144" i="1" s="1"/>
  <c r="M108" i="1"/>
  <c r="M185" i="1" s="1"/>
  <c r="M187" i="1" s="1"/>
  <c r="M29" i="11" s="1"/>
  <c r="L32" i="11" l="1"/>
  <c r="M52" i="3"/>
  <c r="M61" i="3" s="1"/>
  <c r="M35" i="1"/>
  <c r="M38" i="1" s="1"/>
  <c r="M39" i="1" s="1"/>
  <c r="M90" i="1" l="1"/>
  <c r="M91" i="1" s="1"/>
  <c r="M50" i="3"/>
  <c r="M36" i="1"/>
  <c r="N33" i="1" s="1"/>
  <c r="G30" i="4" l="1"/>
  <c r="H80" i="4" s="1"/>
  <c r="M100" i="1"/>
  <c r="M23" i="11" s="1"/>
  <c r="M149" i="1"/>
  <c r="M138" i="1" s="1"/>
  <c r="M95" i="1"/>
  <c r="M22" i="11" s="1"/>
  <c r="H66" i="4" l="1"/>
  <c r="M180" i="1"/>
  <c r="M209" i="1" l="1"/>
  <c r="M211" i="1" s="1"/>
  <c r="M106" i="1" s="1"/>
  <c r="M34" i="11" s="1"/>
  <c r="M28" i="11"/>
  <c r="M140" i="1"/>
  <c r="M142" i="1" s="1"/>
  <c r="N210" i="1" l="1"/>
  <c r="M112" i="1"/>
  <c r="M121" i="1" s="1"/>
  <c r="N83" i="1"/>
  <c r="N86" i="1" s="1"/>
  <c r="N88" i="1" s="1"/>
  <c r="N108" i="1"/>
  <c r="M144" i="1" l="1"/>
  <c r="M32" i="11"/>
  <c r="N185" i="1"/>
  <c r="N187" i="1" s="1"/>
  <c r="N29" i="11" s="1"/>
  <c r="N52" i="3"/>
  <c r="N61" i="3" s="1"/>
  <c r="N34" i="1"/>
  <c r="N35" i="1" l="1"/>
  <c r="N38" i="1" s="1"/>
  <c r="N39" i="1" s="1"/>
  <c r="N90" i="1" l="1"/>
  <c r="N91" i="1" s="1"/>
  <c r="N100" i="1" s="1"/>
  <c r="N23" i="11" s="1"/>
  <c r="N50" i="3"/>
  <c r="N36" i="1"/>
  <c r="O33" i="1" s="1"/>
  <c r="N95" i="1" l="1"/>
  <c r="N22" i="11" s="1"/>
  <c r="N149" i="1"/>
  <c r="N138" i="1" s="1"/>
  <c r="N180" i="1" l="1"/>
  <c r="N209" i="1" l="1"/>
  <c r="N211" i="1" s="1"/>
  <c r="O210" i="1" s="1"/>
  <c r="N28" i="11"/>
  <c r="N140" i="1"/>
  <c r="N142" i="1" s="1"/>
  <c r="N106" i="1" l="1"/>
  <c r="N34" i="11" s="1"/>
  <c r="N112" i="1" l="1"/>
  <c r="N121" i="1" s="1"/>
  <c r="N144" i="1" s="1"/>
  <c r="O108" i="1"/>
  <c r="O185" i="1" s="1"/>
  <c r="O187" i="1" s="1"/>
  <c r="O29" i="11" s="1"/>
  <c r="R29" i="11" s="1"/>
  <c r="O83" i="1"/>
  <c r="O86" i="1" s="1"/>
  <c r="O88" i="1" s="1"/>
  <c r="O52" i="3" s="1"/>
  <c r="O61" i="3" s="1"/>
  <c r="N32" i="11" l="1"/>
  <c r="O34" i="1"/>
  <c r="O35" i="1" s="1"/>
  <c r="O38" i="1" s="1"/>
  <c r="O39" i="1" s="1"/>
  <c r="O90" i="1" l="1"/>
  <c r="O91" i="1" s="1"/>
  <c r="O100" i="1" s="1"/>
  <c r="O23" i="11" s="1"/>
  <c r="O50" i="3"/>
  <c r="O36" i="1"/>
  <c r="P33" i="1" s="1"/>
  <c r="O149" i="1" l="1"/>
  <c r="O138" i="1" s="1"/>
  <c r="O95" i="1"/>
  <c r="O22" i="11" s="1"/>
  <c r="R22" i="11" s="1"/>
  <c r="O180" i="1" l="1"/>
  <c r="O209" i="1" l="1"/>
  <c r="O211" i="1" s="1"/>
  <c r="P210" i="1" s="1"/>
  <c r="O28" i="11"/>
  <c r="R28" i="11" s="1"/>
  <c r="O140" i="1"/>
  <c r="O142" i="1" s="1"/>
  <c r="O106" i="1" l="1"/>
  <c r="O34" i="11" s="1"/>
  <c r="R34" i="11" s="1"/>
  <c r="P83" i="1" l="1"/>
  <c r="P86" i="1" s="1"/>
  <c r="P88" i="1" s="1"/>
  <c r="P52" i="3" s="1"/>
  <c r="P61" i="3" s="1"/>
  <c r="P16" i="3" s="1"/>
  <c r="P17" i="3" s="1"/>
  <c r="O112" i="1"/>
  <c r="O121" i="1" s="1"/>
  <c r="O144" i="1" s="1"/>
  <c r="P108" i="1"/>
  <c r="P185" i="1" s="1"/>
  <c r="P187" i="1" s="1"/>
  <c r="P29" i="11" s="1"/>
  <c r="P34" i="1" l="1"/>
  <c r="P35" i="1" s="1"/>
  <c r="P38" i="1" s="1"/>
  <c r="P39" i="1" s="1"/>
  <c r="P20" i="3"/>
  <c r="K20" i="3"/>
  <c r="K21" i="3" s="1"/>
  <c r="O32" i="11"/>
  <c r="R32" i="11" s="1"/>
  <c r="P19" i="3"/>
  <c r="P90" i="1" l="1"/>
  <c r="P91" i="1" s="1"/>
  <c r="P50" i="3"/>
  <c r="P21" i="3"/>
  <c r="P23" i="3" s="1"/>
  <c r="K33" i="3"/>
  <c r="K37" i="3" s="1"/>
  <c r="K38" i="3" s="1"/>
  <c r="K23" i="3"/>
  <c r="P36" i="1"/>
  <c r="P149" i="1" l="1"/>
  <c r="P138" i="1" s="1"/>
  <c r="P140" i="1" s="1"/>
  <c r="P142" i="1" s="1"/>
  <c r="P100" i="1"/>
  <c r="P23" i="11" s="1"/>
  <c r="E70" i="3"/>
  <c r="P33" i="3"/>
  <c r="P37" i="3" s="1"/>
  <c r="P38" i="3" s="1"/>
  <c r="P95" i="1"/>
  <c r="P22" i="11" s="1"/>
  <c r="P180" i="1" l="1"/>
  <c r="P28" i="11" s="1"/>
  <c r="E85" i="3"/>
  <c r="P209" i="1" l="1"/>
  <c r="P211" i="1" s="1"/>
  <c r="P106" i="1" s="1"/>
  <c r="P112" i="1" s="1"/>
  <c r="P121" i="1" s="1"/>
  <c r="P34" i="11" l="1"/>
  <c r="P32" i="11"/>
  <c r="P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79" authorId="0" shapeId="0" xr:uid="{37B55320-58BB-4363-993B-D685B21F9233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Management guidance - plan to keep opex at Q3-23 level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52" authorId="0" shapeId="0" xr:uid="{76EA50D4-5B75-4BB4-B36F-4624FFD0EF66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2025,2026 capex per Bloomberg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8" authorId="0" shapeId="0" xr:uid="{7ACF7113-F407-4358-A7AC-B2CA41EABF15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All Figures per Capital IQ</t>
        </r>
      </text>
    </comment>
    <comment ref="C28" authorId="0" shapeId="0" xr:uid="{4E638F77-FA34-479D-9A42-F4C5054C0B70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Projected Financials Via Bloomberg
</t>
        </r>
      </text>
    </comment>
  </commentList>
</comments>
</file>

<file path=xl/sharedStrings.xml><?xml version="1.0" encoding="utf-8"?>
<sst xmlns="http://schemas.openxmlformats.org/spreadsheetml/2006/main" count="1126" uniqueCount="519">
  <si>
    <t>Revenue</t>
  </si>
  <si>
    <t>Total revenue</t>
  </si>
  <si>
    <t>Cost of product</t>
  </si>
  <si>
    <t>Gross profit</t>
  </si>
  <si>
    <t>Research and development</t>
  </si>
  <si>
    <t>Sales and marketing</t>
  </si>
  <si>
    <t>General and administrative</t>
  </si>
  <si>
    <t>Goodwill impairment charges</t>
  </si>
  <si>
    <t>Total operating expenses</t>
  </si>
  <si>
    <t>Interest income</t>
  </si>
  <si>
    <t>Interest expense</t>
  </si>
  <si>
    <t>Other income (expense), net</t>
  </si>
  <si>
    <t>Total other income (expense), net</t>
  </si>
  <si>
    <t>Loss before income taxes</t>
  </si>
  <si>
    <t>Provision for income tax expense</t>
  </si>
  <si>
    <t>Net loss</t>
  </si>
  <si>
    <t>Changes in unrealized (loss) gain on available for sale securities</t>
  </si>
  <si>
    <t>Foreign currency translation adjustments</t>
  </si>
  <si>
    <t>Total comprehensive loss</t>
  </si>
  <si>
    <t>Net loss per common share, basic and diluted</t>
  </si>
  <si>
    <t>Weighted-average shares used to compute basic and diluted net loss per share</t>
  </si>
  <si>
    <t>Cash and cash equivalents</t>
  </si>
  <si>
    <t>Restricted cash, current</t>
  </si>
  <si>
    <t>Short-term investments</t>
  </si>
  <si>
    <t>Accounts receivable, net</t>
  </si>
  <si>
    <t>Inventory</t>
  </si>
  <si>
    <t>Prepaid expenses and other current assets</t>
  </si>
  <si>
    <t>Total current assets</t>
  </si>
  <si>
    <t>Property and equipment, net</t>
  </si>
  <si>
    <t>Operating lease, right-of-use assets</t>
  </si>
  <si>
    <t>Unbilled receivable, non-current portion</t>
  </si>
  <si>
    <t>Goodwill</t>
  </si>
  <si>
    <t>Intangible assets, net</t>
  </si>
  <si>
    <t>Restricted cash, non-current</t>
  </si>
  <si>
    <t>Other non-current assets</t>
  </si>
  <si>
    <t>Total assets</t>
  </si>
  <si>
    <t>Accounts payable</t>
  </si>
  <si>
    <t>Accrued and other current liabilities</t>
  </si>
  <si>
    <t>Contract liabilities, current</t>
  </si>
  <si>
    <t>Operating lease liability, current portion</t>
  </si>
  <si>
    <t>Total current liabilities</t>
  </si>
  <si>
    <t>Operating lease liability, long-term portion</t>
  </si>
  <si>
    <t>Debt</t>
  </si>
  <si>
    <t>Other non-current liabilities</t>
  </si>
  <si>
    <t>Total liabilities</t>
  </si>
  <si>
    <t>Additional paid-in capital</t>
  </si>
  <si>
    <t>Accumulated deficit</t>
  </si>
  <si>
    <t>Total stockholders’ equity</t>
  </si>
  <si>
    <t>Total liabilities and stockholders’ equity</t>
  </si>
  <si>
    <t>Depreciation and amortization</t>
  </si>
  <si>
    <t>Loss on write-off and disposal of property and equipment and right-of-use asset impairment</t>
  </si>
  <si>
    <t>Gain on lease termination</t>
  </si>
  <si>
    <t>Stock-based compensation</t>
  </si>
  <si>
    <t>Reduction of revenue related to stock warrant issued to customer</t>
  </si>
  <si>
    <t>Interest expense and loss on debt extinguishment</t>
  </si>
  <si>
    <t>Amortization of debt issuance costs and debt discount</t>
  </si>
  <si>
    <t>Non-cash interest income</t>
  </si>
  <si>
    <t>Accretion or amortization on short-term investments</t>
  </si>
  <si>
    <t>Change in fair value of warrant liabilities</t>
  </si>
  <si>
    <t>Inventory write down</t>
  </si>
  <si>
    <t>Provision (recovery of) for doubtful accounts</t>
  </si>
  <si>
    <t>Realized gain on sale of investments</t>
  </si>
  <si>
    <t>Accounts receivable</t>
  </si>
  <si>
    <t>Prepaid expenses and other assets</t>
  </si>
  <si>
    <t>Accrued and other liabilities</t>
  </si>
  <si>
    <t>Contract liabilities</t>
  </si>
  <si>
    <t>Operating lease liability</t>
  </si>
  <si>
    <t>Deferred income taxes</t>
  </si>
  <si>
    <t>Change in right-of-use asset</t>
  </si>
  <si>
    <t>Provision for doubtful accounts</t>
  </si>
  <si>
    <t>Loss from disposal of property and equipment</t>
  </si>
  <si>
    <t>Net cash used in operating activities</t>
  </si>
  <si>
    <t>Proceeds from sale of property &amp; equipment</t>
  </si>
  <si>
    <t>Purchases of property and equipment</t>
  </si>
  <si>
    <t>Cash and cash equivalents acquired in the Velodyne Merger</t>
  </si>
  <si>
    <t>Acquisition, net of cash acquired</t>
  </si>
  <si>
    <t>Net cash provided by investing activities</t>
  </si>
  <si>
    <t>Proceeds from exercise of stock options</t>
  </si>
  <si>
    <t>Proceeds from borrowings, net of debt discount and issuance costs</t>
  </si>
  <si>
    <t>Repayments of borrowings</t>
  </si>
  <si>
    <t>Proceeds from the issuance of common stock under at-the-market offering, net of commissions and fees</t>
  </si>
  <si>
    <t>At-the-market offering costs for the issuance of common stock</t>
  </si>
  <si>
    <t>Net cash provided by financing activities</t>
  </si>
  <si>
    <t>Effect of exchange rates on cash and cash equivalents</t>
  </si>
  <si>
    <t>Cash, cash equivalents and restricted cash at beginning of year</t>
  </si>
  <si>
    <t>Cash, cash equivalents and restricted cash at end of year</t>
  </si>
  <si>
    <t>Cash paid for interest</t>
  </si>
  <si>
    <t>Property and equipment purchases included in accounts payable and accrued liabilities</t>
  </si>
  <si>
    <t>Common stock shares issued in the Velodyne Merger</t>
  </si>
  <si>
    <t>Common stock warrants issued in the Velodyne Merger</t>
  </si>
  <si>
    <t>Proceeds from the merger and private offering</t>
  </si>
  <si>
    <t>Payment of offering costs</t>
  </si>
  <si>
    <t>Repayment of debt</t>
  </si>
  <si>
    <t>Proceeds from issuance of promissory notes to related parties</t>
  </si>
  <si>
    <t>Repayment of promissory notes to related parties</t>
  </si>
  <si>
    <t>Repurchase of common stock</t>
  </si>
  <si>
    <t>Proceeds from exercise of warrants</t>
  </si>
  <si>
    <t>Taxes paid related to net share settlement of restricted stock units</t>
  </si>
  <si>
    <t>Net increase (decrease) in cash, cash equivalents and restricted cash</t>
  </si>
  <si>
    <t>Equity issued in connection with acquisition</t>
  </si>
  <si>
    <t>Issuance of redeemable convertible preferred stock upon exercise of warrants</t>
  </si>
  <si>
    <t>Conversion of redeemable convertible preferred stock to common stock</t>
  </si>
  <si>
    <t>Right-of-use assets obtained in exchange for operating lease liability</t>
  </si>
  <si>
    <t>Unpaid at-the-market offering costs</t>
  </si>
  <si>
    <t>Proceeds from ESPP purchase</t>
  </si>
  <si>
    <t>Proceeds from issuance of redeemable convertible preferred stock, net off issuance cost of 265</t>
  </si>
  <si>
    <t>Warrant liabilities</t>
  </si>
  <si>
    <t>Common stock</t>
  </si>
  <si>
    <t>Accumulated other comprehensive income (loss)</t>
  </si>
  <si>
    <t>Balance Check</t>
  </si>
  <si>
    <t>Historical</t>
  </si>
  <si>
    <t>Projected:</t>
  </si>
  <si>
    <t>Units:</t>
  </si>
  <si>
    <t>Company Name:</t>
  </si>
  <si>
    <t>Name</t>
  </si>
  <si>
    <t>Last Fiscal Year:</t>
  </si>
  <si>
    <t>Ticker:</t>
  </si>
  <si>
    <t>Next Fiscal Year:</t>
  </si>
  <si>
    <t>Current Share Price:</t>
  </si>
  <si>
    <t>$ / Share</t>
  </si>
  <si>
    <t>Most Recent Quarter End Date:</t>
  </si>
  <si>
    <t>Diluted Shares Outstanding:</t>
  </si>
  <si>
    <t>M Shares</t>
  </si>
  <si>
    <t>Valuation Date:</t>
  </si>
  <si>
    <t>Effective Tax Rate:</t>
  </si>
  <si>
    <t>%</t>
  </si>
  <si>
    <t>Discount Rate (WACC):</t>
  </si>
  <si>
    <t>LTM Period:</t>
  </si>
  <si>
    <t>Forward Year 1:</t>
  </si>
  <si>
    <t>Conversion Units:</t>
  </si>
  <si>
    <t>#</t>
  </si>
  <si>
    <t>Forward Year 2:</t>
  </si>
  <si>
    <t>Forward Year 3:</t>
  </si>
  <si>
    <t>Ouster, Inc.</t>
  </si>
  <si>
    <t>OUST</t>
  </si>
  <si>
    <t>Contract liabilities, long-term portion</t>
  </si>
  <si>
    <t>Cost of product % Revenue</t>
  </si>
  <si>
    <t>Research and development % Revenue</t>
  </si>
  <si>
    <t>Sales and marketing % Revenue</t>
  </si>
  <si>
    <t>General and administrative % Revenue</t>
  </si>
  <si>
    <t>Interest income % Cash &amp; Equivalents</t>
  </si>
  <si>
    <t>-</t>
  </si>
  <si>
    <t>(+) NOLs Created</t>
  </si>
  <si>
    <t>(-) NOLs Used</t>
  </si>
  <si>
    <t>Ending Balance</t>
  </si>
  <si>
    <t>Taxable Income After NOL</t>
  </si>
  <si>
    <t>Cash Taxes Payable</t>
  </si>
  <si>
    <t>NOL Utilization Limit (% of EBT)</t>
  </si>
  <si>
    <t>Beginning NOLs Balance</t>
  </si>
  <si>
    <t>Management Target</t>
  </si>
  <si>
    <t>Days receivables outstanding</t>
  </si>
  <si>
    <t>Days inventory outstanding</t>
  </si>
  <si>
    <t>Days</t>
  </si>
  <si>
    <t>Prepaid expenses and other current assets % Revenue</t>
  </si>
  <si>
    <t>CapEx:</t>
  </si>
  <si>
    <t>$T</t>
  </si>
  <si>
    <t>CapEx % OpEx (Cash only):</t>
  </si>
  <si>
    <t>Property, Plant and Equipment, Net:</t>
  </si>
  <si>
    <t>D&amp;A of Existing Net PP&amp;E and Intangibles:</t>
  </si>
  <si>
    <t>D&amp;A of NEW CapEx &amp; Intangible Purchases:</t>
  </si>
  <si>
    <t>D&amp;A - Existing PP&amp;E and Intangibles, Net:</t>
  </si>
  <si>
    <t>D&amp;A - Year 1 CapEx &amp; Intangible Purchases:</t>
  </si>
  <si>
    <t>D&amp;A - Year 2 CapEx &amp; Intangible Purchases:</t>
  </si>
  <si>
    <t>D&amp;A - Year 3 CapEx &amp; Intangible Purchases:</t>
  </si>
  <si>
    <t>D&amp;A - Year 4 CapEx &amp; Intangible Purchases:</t>
  </si>
  <si>
    <t>D&amp;A - Year 5 CapEx &amp; Intangible Purchases:</t>
  </si>
  <si>
    <t>D&amp;A - Year 6 CapEx &amp; Intangible Purchases:</t>
  </si>
  <si>
    <t>Total Depreciation &amp; Amortisation:</t>
  </si>
  <si>
    <t>Operating lease, right-of-use assets % Operating lease liability</t>
  </si>
  <si>
    <t>BALANCE SHEET</t>
  </si>
  <si>
    <t>INCOME STATEMENT</t>
  </si>
  <si>
    <t>Operating lease liability, long-term portion, change</t>
  </si>
  <si>
    <t>Unbilled receivable, non-current portion % Revenue</t>
  </si>
  <si>
    <t>Days Payables Outstanding</t>
  </si>
  <si>
    <t>Accrued and other current liabilities % Opex</t>
  </si>
  <si>
    <t>Contract liabilities, current % Revenue</t>
  </si>
  <si>
    <t>Contract liabilities, long-term portion % Short -term portion</t>
  </si>
  <si>
    <t>Other non-current liabilities % Revenue</t>
  </si>
  <si>
    <t>CASH FLOW STATEMENT</t>
  </si>
  <si>
    <t>Stock-based compensation % Opex</t>
  </si>
  <si>
    <t>Change in short-term investments</t>
  </si>
  <si>
    <t>change in unbilled recievable</t>
  </si>
  <si>
    <t>change in restricted cash</t>
  </si>
  <si>
    <t>change in other non-current assets</t>
  </si>
  <si>
    <t>change in other non-current liabilities</t>
  </si>
  <si>
    <t>Scenario:</t>
  </si>
  <si>
    <t>Base</t>
  </si>
  <si>
    <t>Terminal Value - Multiples Method:</t>
  </si>
  <si>
    <t>Terminal Value - Perpetuity Growth Method:</t>
  </si>
  <si>
    <t>Expected Long-Term GDP Growth:</t>
  </si>
  <si>
    <t>Baseline Terminal EBITDA Multiple:</t>
  </si>
  <si>
    <t>Baseline Terminal FCF Growth Rate:</t>
  </si>
  <si>
    <t>Upside</t>
  </si>
  <si>
    <t>Downside</t>
  </si>
  <si>
    <t>Baseline Terminal Value:</t>
  </si>
  <si>
    <t>Current Equity Value:</t>
  </si>
  <si>
    <t>Implied Terminal FCF Growth Rate:</t>
  </si>
  <si>
    <t>Implied Terminal EBITDA Multiple:</t>
  </si>
  <si>
    <t>(-) Cash &amp; Investments:</t>
  </si>
  <si>
    <t>(-) Net Operating Losses:</t>
  </si>
  <si>
    <t xml:space="preserve">(+) Present Value of Terminal Value: </t>
  </si>
  <si>
    <t>(+) Debt &amp; Finance Leases:</t>
  </si>
  <si>
    <t>(+) Present Value of UFCF:</t>
  </si>
  <si>
    <t>(+) Preferred Stock:</t>
  </si>
  <si>
    <t xml:space="preserve">Implied Enterprise Value: </t>
  </si>
  <si>
    <t>(+) Operating Leases:</t>
  </si>
  <si>
    <t>(+) Noncontrolling Interests:</t>
  </si>
  <si>
    <t>% of implied TEV from Terminal Value:</t>
  </si>
  <si>
    <t>(+) Unfunded Pensions:</t>
  </si>
  <si>
    <t>Current Enterprise Value:</t>
  </si>
  <si>
    <t>(+) Cash and Investments:</t>
  </si>
  <si>
    <t>(+) Net Operating Losses:</t>
  </si>
  <si>
    <t>(-)Debt and Finance Leases:</t>
  </si>
  <si>
    <t>(-)Preferred Stock:</t>
  </si>
  <si>
    <t>(-) Operating Leases:</t>
  </si>
  <si>
    <t>(-) Noncontrolling Interests:</t>
  </si>
  <si>
    <t>(-)Unfunded Pensions:</t>
  </si>
  <si>
    <t xml:space="preserve">Implied Equity Value: </t>
  </si>
  <si>
    <t>Implied Share Price from DCF:</t>
  </si>
  <si>
    <t>Premium / (Discount) to Current:</t>
  </si>
  <si>
    <t>% Change</t>
  </si>
  <si>
    <t>Operating Expenses</t>
  </si>
  <si>
    <t>Operating Income (EBIT)</t>
  </si>
  <si>
    <t>(-) Taxes, Excluding Effect of Interest</t>
  </si>
  <si>
    <t>Net Operating Profit After Taxes (NOPAT)</t>
  </si>
  <si>
    <t>Depreciation and amortization:</t>
  </si>
  <si>
    <t>Operating Net Working Capital</t>
  </si>
  <si>
    <t>Change in Working Capital</t>
  </si>
  <si>
    <t xml:space="preserve">Capital Expenditures: </t>
  </si>
  <si>
    <t>Unlevered Free Cash Flow</t>
  </si>
  <si>
    <t>EBITDA</t>
  </si>
  <si>
    <t>EBITDA Margin</t>
  </si>
  <si>
    <t>Sensitivity Analyses</t>
  </si>
  <si>
    <t>Discount Rate: (WACC)</t>
  </si>
  <si>
    <t>Bloomberg estimate</t>
  </si>
  <si>
    <t>Calendarization:</t>
  </si>
  <si>
    <t>N/A</t>
  </si>
  <si>
    <t>Old Partial</t>
  </si>
  <si>
    <t>New Partial</t>
  </si>
  <si>
    <t>FY</t>
  </si>
  <si>
    <t>LTM</t>
  </si>
  <si>
    <t>LTM Revenue:</t>
  </si>
  <si>
    <t>LTM Reported Net Income:</t>
  </si>
  <si>
    <t>Balance Sheet Data:</t>
  </si>
  <si>
    <t>(-) Cash &amp; Cash-Equivalents:</t>
  </si>
  <si>
    <t>(-) Equity Investments:</t>
  </si>
  <si>
    <t>(-) Other Non-Core Assets, Net:</t>
  </si>
  <si>
    <t>(+) Debt &amp; Capital Leases:</t>
  </si>
  <si>
    <t>(+) Unfunded Pension Obligations:</t>
  </si>
  <si>
    <t>(+) Restructuring &amp; Other Liabilities:</t>
  </si>
  <si>
    <t>Projected Financials:</t>
  </si>
  <si>
    <t>Revenue:</t>
  </si>
  <si>
    <t>Reported Net Income:</t>
  </si>
  <si>
    <t>Diluted Shares Calculations:</t>
  </si>
  <si>
    <t>Share Price:</t>
  </si>
  <si>
    <t>Common Shares Outstanding:</t>
  </si>
  <si>
    <t>Options and Warrants:</t>
  </si>
  <si>
    <t>Total</t>
  </si>
  <si>
    <t>Strike</t>
  </si>
  <si>
    <t>Dilution</t>
  </si>
  <si>
    <t>Convertible Bonds: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</si>
  <si>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</si>
  <si>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</si>
  <si>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</si>
  <si>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</si>
  <si>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</si>
  <si>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</si>
  <si>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</si>
  <si>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</si>
  <si>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</si>
  <si>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Levered Beta:</t>
  </si>
  <si>
    <t>Valuation Multiples:</t>
  </si>
  <si>
    <t>EV / Revenue:</t>
  </si>
  <si>
    <t>P / E:</t>
  </si>
  <si>
    <t>Lookup Variables:</t>
  </si>
  <si>
    <t>Year 1 Projected Revenue Growth:</t>
  </si>
  <si>
    <t>Year 1 Projected EBITDA Growth:</t>
  </si>
  <si>
    <t>LTM EBITDA Margin:</t>
  </si>
  <si>
    <t>Corporate Website:</t>
  </si>
  <si>
    <t>HSAI</t>
  </si>
  <si>
    <t>INVZ</t>
  </si>
  <si>
    <t>AEVA</t>
  </si>
  <si>
    <t>MVIS</t>
  </si>
  <si>
    <t>LIDR</t>
  </si>
  <si>
    <t>LAZR</t>
  </si>
  <si>
    <t>Hesai Group</t>
  </si>
  <si>
    <t>Innoviz Technologies, Ltd.</t>
  </si>
  <si>
    <t>Aeva Technologies, Inc.</t>
  </si>
  <si>
    <t>Luminar Technologies, Inc.</t>
  </si>
  <si>
    <t>MicroVision, Inc.</t>
  </si>
  <si>
    <t>Aeye, Inc.</t>
  </si>
  <si>
    <t>Gross Profit:</t>
  </si>
  <si>
    <t>LTM Gross Profit:</t>
  </si>
  <si>
    <t>EV / Gross Profit:</t>
  </si>
  <si>
    <t>($ in Millions Except Per Share and Per Unit Data)</t>
  </si>
  <si>
    <t>Operating Metrics</t>
  </si>
  <si>
    <t>Valuation Multiples</t>
  </si>
  <si>
    <t>Share Prices</t>
  </si>
  <si>
    <t>Premiums Paid</t>
  </si>
  <si>
    <t>Transaction</t>
  </si>
  <si>
    <t xml:space="preserve">EV / </t>
  </si>
  <si>
    <t>Enterprise</t>
  </si>
  <si>
    <t>Offer</t>
  </si>
  <si>
    <t>1-Day</t>
  </si>
  <si>
    <t>1-Week</t>
  </si>
  <si>
    <t>1-Month</t>
  </si>
  <si>
    <t>Acquirer Name</t>
  </si>
  <si>
    <t>Target Name</t>
  </si>
  <si>
    <t>Date</t>
  </si>
  <si>
    <t>Value</t>
  </si>
  <si>
    <t>Price</t>
  </si>
  <si>
    <t>Prior</t>
  </si>
  <si>
    <t>Maximum</t>
  </si>
  <si>
    <t>75th Percentile</t>
  </si>
  <si>
    <t>Median</t>
  </si>
  <si>
    <t>25th Percentile</t>
  </si>
  <si>
    <t>Minimum</t>
  </si>
  <si>
    <t>Middleground Management, LP</t>
  </si>
  <si>
    <t>Stemmer Imaging AG</t>
  </si>
  <si>
    <t>Unknown</t>
  </si>
  <si>
    <t>SES-imagotag Societe Anonyme</t>
  </si>
  <si>
    <t>Nippon Avionics Co. Ltd.</t>
  </si>
  <si>
    <t>Japan Industrial Partners, Inc.</t>
  </si>
  <si>
    <t>Oppenheimer estimates</t>
  </si>
  <si>
    <t>($ in Thousands Except Per Share and Per Unit Data)</t>
  </si>
  <si>
    <t>Reported Income Statement and Cash Flow Statement Figures from Q3:</t>
  </si>
  <si>
    <t>FY25- Q1</t>
  </si>
  <si>
    <t>FY25- Q2</t>
  </si>
  <si>
    <t>FY25- Q3</t>
  </si>
  <si>
    <t>Operating Income (EBIT):</t>
  </si>
  <si>
    <t>Annual Operating Margin:</t>
  </si>
  <si>
    <t>Taxes, Excluding Effect of Interest:</t>
  </si>
  <si>
    <t>Net Operating Profit After Tax (NOPAT):</t>
  </si>
  <si>
    <t>Adjustments for Non-Cash Charges:</t>
  </si>
  <si>
    <t>Depreciation &amp; Amortization:</t>
  </si>
  <si>
    <t>Deferred Income Taxes:</t>
  </si>
  <si>
    <t>Other Operating Activities:</t>
  </si>
  <si>
    <t>Total Adjustments for Non-Cash Charges:</t>
  </si>
  <si>
    <t>Net Change in Working Capital:</t>
  </si>
  <si>
    <t>Accounts Receivable:</t>
  </si>
  <si>
    <t>Inventories:</t>
  </si>
  <si>
    <t>Accounts Payable:</t>
  </si>
  <si>
    <t>Other Liabilities:</t>
  </si>
  <si>
    <t>Total Net Change in Working Capital:</t>
  </si>
  <si>
    <t>Capital Expenditures and Acquisitions:</t>
  </si>
  <si>
    <t>Q3 Unlevered Free Cash Flow:</t>
  </si>
  <si>
    <t>Sensors Shipped</t>
  </si>
  <si>
    <t>ASP</t>
  </si>
  <si>
    <t>Sensors shipped</t>
  </si>
  <si>
    <t>% change</t>
  </si>
  <si>
    <t xml:space="preserve">Bundle: </t>
  </si>
  <si>
    <t>yes</t>
  </si>
  <si>
    <t>Attach Rate</t>
  </si>
  <si>
    <t>Perception Systems shipped</t>
  </si>
  <si>
    <t>Perception System ASP</t>
  </si>
  <si>
    <t>Perception System uplift</t>
  </si>
  <si>
    <t>Stereolabs Revenue</t>
  </si>
  <si>
    <t>Precedent Transactions – International LIDAR manufacturing companies</t>
  </si>
  <si>
    <t>Announced Between July 31st, 2019 and December 31st, 2024</t>
  </si>
  <si>
    <t>Comparable Companies - Semiconductor Manufacturing Equipment Provisions and Servicing</t>
  </si>
  <si>
    <t>($ USD in Millions Except Per Share Amounts in USD as Stated)</t>
  </si>
  <si>
    <t>2025-12-31 Revenue:</t>
  </si>
  <si>
    <t>2026-12-31 Revenue:</t>
  </si>
  <si>
    <t>2025-12-31 Reported Net Income:</t>
  </si>
  <si>
    <t>2026-12-31 Reported Net Income:</t>
  </si>
  <si>
    <t>2025-12-31 EBITDA Margin:</t>
  </si>
  <si>
    <t>2026-12-31 EBITDA Margin:</t>
  </si>
  <si>
    <t>Operating Statistics:</t>
  </si>
  <si>
    <t>Capitalization</t>
  </si>
  <si>
    <t>Projected</t>
  </si>
  <si>
    <t>Share</t>
  </si>
  <si>
    <t>Diluted</t>
  </si>
  <si>
    <t>Equity</t>
  </si>
  <si>
    <t>Other &amp;</t>
  </si>
  <si>
    <t>Net Income</t>
  </si>
  <si>
    <t>ONTO</t>
  </si>
  <si>
    <t>ACLS</t>
  </si>
  <si>
    <t>FORM</t>
  </si>
  <si>
    <t>UCTT</t>
  </si>
  <si>
    <t>VECO</t>
  </si>
  <si>
    <t>ENTG</t>
  </si>
  <si>
    <t>Company Name</t>
  </si>
  <si>
    <t>Ticker</t>
  </si>
  <si>
    <t>Shares</t>
  </si>
  <si>
    <t xml:space="preserve">Value </t>
  </si>
  <si>
    <t>Beta</t>
  </si>
  <si>
    <t>Tax Rate</t>
  </si>
  <si>
    <t>Cash</t>
  </si>
  <si>
    <t>Preferred</t>
  </si>
  <si>
    <t>NCI</t>
  </si>
  <si>
    <t>Growth</t>
  </si>
  <si>
    <t>ACMR</t>
  </si>
  <si>
    <t>LTM EV / Revenue:</t>
  </si>
  <si>
    <t>2025-12-31 EV / Revenue:</t>
  </si>
  <si>
    <t>2026-12-31 EV / Revenue:</t>
  </si>
  <si>
    <t>LTM P / E:</t>
  </si>
  <si>
    <t>2025-12-31 P / E:</t>
  </si>
  <si>
    <t>2026-12-31 P / E:</t>
  </si>
  <si>
    <t>Valuation Statistics:</t>
  </si>
  <si>
    <t>Enterprise Value /</t>
  </si>
  <si>
    <t>P / E Multiple</t>
  </si>
  <si>
    <t>Share Price</t>
  </si>
  <si>
    <t>2025-12-31 Gross Profit:</t>
  </si>
  <si>
    <t>2026-12-31 Gross Profit:</t>
  </si>
  <si>
    <t>2027-12-31 Gross Profit:</t>
  </si>
  <si>
    <t>LTM EV / Gross Profit:</t>
  </si>
  <si>
    <t>2025-12-31 EV / Gross Profit:</t>
  </si>
  <si>
    <t>2026-12-31 EV / Gross Profit:</t>
  </si>
  <si>
    <t>Median LTM TEV / EBITDA of Comps:</t>
  </si>
  <si>
    <t>Median LTM TEV / EBITDA of Target: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</si>
  <si>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</si>
  <si>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</si>
  <si>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</si>
  <si>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</si>
  <si>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</si>
  <si>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Comparable Companies - Unlevered Beta Calculation:</t>
  </si>
  <si>
    <t>Levered</t>
  </si>
  <si>
    <t>Unlevered</t>
  </si>
  <si>
    <t>% Debt</t>
  </si>
  <si>
    <t>Stock</t>
  </si>
  <si>
    <t>% Preferred</t>
  </si>
  <si>
    <t>% Equity</t>
  </si>
  <si>
    <t>Median: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</si>
  <si>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</si>
  <si>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</si>
  <si>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</si>
  <si>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</si>
  <si>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</si>
  <si>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WACC, Current Capital Structure:</t>
  </si>
  <si>
    <t>WACC, "Optimal" Capital Structure:</t>
  </si>
  <si>
    <t>WACC, Current Capital Structure and Historical Cost of Equity:</t>
  </si>
  <si>
    <t>Average WACC Produced by All Methods:</t>
  </si>
  <si>
    <t>Model Name:</t>
  </si>
  <si>
    <t>Operating Model and Valuation (5-Year Forecast)</t>
  </si>
  <si>
    <t>Author:</t>
  </si>
  <si>
    <t>File Name:</t>
  </si>
  <si>
    <t>Analysis Date:</t>
  </si>
  <si>
    <t>Navigation, Summary, or Graph Worksheet:</t>
  </si>
  <si>
    <t>Financial Model Worksheet:</t>
  </si>
  <si>
    <t>Data and Back-End Calculation Worksheet:</t>
  </si>
  <si>
    <t>Sheet Name</t>
  </si>
  <si>
    <t>Link to Sheet</t>
  </si>
  <si>
    <t>Model and Valuation Summary</t>
  </si>
  <si>
    <t>Summary</t>
  </si>
  <si>
    <t>Operating Scenarios and 3-Statement Model</t>
  </si>
  <si>
    <t>Model</t>
  </si>
  <si>
    <t>Debt, Capex, D&amp;A</t>
  </si>
  <si>
    <t>Drivers</t>
  </si>
  <si>
    <t>Discounted Cash Flow Analysis and Sensitivities</t>
  </si>
  <si>
    <t>DCF</t>
  </si>
  <si>
    <t>Weighted Average Cost of Capital (WACC) Calculations</t>
  </si>
  <si>
    <t>WACC</t>
  </si>
  <si>
    <t>Comparable Public Companies - Output</t>
  </si>
  <si>
    <t>PubComps</t>
  </si>
  <si>
    <t>Comparable Public Companies - Data and Calculations</t>
  </si>
  <si>
    <t>PubComps_Data</t>
  </si>
  <si>
    <t>Precedent Transactions</t>
  </si>
  <si>
    <t>MAComps</t>
  </si>
  <si>
    <t>Graphs</t>
  </si>
  <si>
    <t>Q</t>
  </si>
  <si>
    <t>Quarterly figures &amp; KPIs</t>
  </si>
  <si>
    <t>NM</t>
  </si>
  <si>
    <t>DCF - Implied Share Prices</t>
  </si>
  <si>
    <t>Multiples Method</t>
  </si>
  <si>
    <t>Perpetuity Growth Method</t>
  </si>
  <si>
    <t>Ouster, Inc. - Net Operating Loss</t>
  </si>
  <si>
    <t>Glenn Rentrop, Atlantic Walk Research</t>
  </si>
  <si>
    <t>COGS</t>
  </si>
  <si>
    <t>Ouster, Inc. - COGS Sensitivity</t>
  </si>
  <si>
    <t>FCF</t>
  </si>
  <si>
    <t xml:space="preserve">Growth </t>
  </si>
  <si>
    <t>Rates</t>
  </si>
  <si>
    <t>Terminal</t>
  </si>
  <si>
    <t xml:space="preserve">TEV / </t>
  </si>
  <si>
    <t>Multiple</t>
  </si>
  <si>
    <t>Historical:</t>
  </si>
  <si>
    <t>Summary of Operational Performance:</t>
  </si>
  <si>
    <t>CAGR:</t>
  </si>
  <si>
    <t>Company-Wide:</t>
  </si>
  <si>
    <t>Profit Margin:</t>
  </si>
  <si>
    <t>Comprehensive Income:</t>
  </si>
  <si>
    <t>Basic Earnings per Share (EPS):</t>
  </si>
  <si>
    <t>$ as Stated</t>
  </si>
  <si>
    <t>Capital expenditures:</t>
  </si>
  <si>
    <t>% Revenue:</t>
  </si>
  <si>
    <t xml:space="preserve">Cash Flow From Operations: </t>
  </si>
  <si>
    <t>Cash Flow From Investing:</t>
  </si>
  <si>
    <t>Cash Flows From Financing Activities:</t>
  </si>
  <si>
    <t xml:space="preserve">Total Assets: </t>
  </si>
  <si>
    <t>Long-term Debt:</t>
  </si>
  <si>
    <t>Cash and Cash Equivalents:</t>
  </si>
  <si>
    <t>EBITDA:</t>
  </si>
  <si>
    <t>EBITDA Margin:</t>
  </si>
  <si>
    <t>Total Operating Expenses</t>
  </si>
  <si>
    <t>EBIT</t>
  </si>
  <si>
    <t>Uplift:</t>
  </si>
  <si>
    <t>Key Stats</t>
  </si>
  <si>
    <t>Initiation Date</t>
  </si>
  <si>
    <t>Initiation Price</t>
  </si>
  <si>
    <t>Price Target</t>
  </si>
  <si>
    <t>52 Week High - Low</t>
  </si>
  <si>
    <t>Shares Outstanding - Mil</t>
  </si>
  <si>
    <t>Market Cap - Mil</t>
  </si>
  <si>
    <t>Book Value / Share</t>
  </si>
  <si>
    <t>Cash per Share</t>
  </si>
  <si>
    <t xml:space="preserve">Dividend </t>
  </si>
  <si>
    <t>$6.34 - $41.65</t>
  </si>
  <si>
    <t>Revenue and EBITDA</t>
  </si>
  <si>
    <t>Sensors Shipped and ASP - Quarterly</t>
  </si>
  <si>
    <t>margin</t>
  </si>
  <si>
    <t>% Gross Margin</t>
  </si>
  <si>
    <t xml:space="preserve">Software attached sensors </t>
  </si>
  <si>
    <t>% mix</t>
  </si>
  <si>
    <t>FY25- Q4</t>
  </si>
  <si>
    <t>Product Revenue:</t>
  </si>
  <si>
    <t>Total Revenue:</t>
  </si>
  <si>
    <t>Royalty Revenue:</t>
  </si>
  <si>
    <t xml:space="preserve">% Growth </t>
  </si>
  <si>
    <t>Revenue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</si>
</sst>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&quot;OK!&quot;;&quot;Error&quot;"/>
    <numFmt numFmtId="165" formatCode="&quot;FY&quot;\ yy"/>
    <numFmt numFmtId="166" formatCode="_(* #,##0.0_);_(* \(#,##0.0\);_(* &quot;-&quot;?_);_(@_)"/>
    <numFmt numFmtId="167" formatCode="_([$$-409]* #,##0.00_);_([$$-409]* \(#,##0.00\);_([$$-409]* &quot;-&quot;??_);_(@_)"/>
    <numFmt numFmtId="168" formatCode="_(* #,##0.0_);_(* \(#,##0.0\);_(* &quot;-&quot;???_);_(@_)"/>
    <numFmt numFmtId="169" formatCode="0.0%;\(0.0%\)"/>
    <numFmt numFmtId="170" formatCode="_(#,##0.00%_);\(#,##0.00%\);_(&quot;–&quot;_)_%;_(@_)_%"/>
    <numFmt numFmtId="171" formatCode="_(* #,##0_);_(* \(#,##0\);_(* &quot;-&quot;????_);_(@_)"/>
    <numFmt numFmtId="172" formatCode="0.0%"/>
    <numFmt numFmtId="173" formatCode="_(0.0\ \x_);\(0.0\ \x\);_(&quot;–&quot;_);_(@_)"/>
    <numFmt numFmtId="174" formatCode="_(&quot;$&quot;* #,##0.0_);_(&quot;$&quot;* \(#,##0.0\);_(&quot;$&quot;* &quot;-&quot;?_);_(@_)"/>
    <numFmt numFmtId="175" formatCode="0.0\ \x"/>
    <numFmt numFmtId="176" formatCode="_(&quot;$&quot;* #,##0_);_(&quot;$&quot;* \(#,##0\);_(&quot;$&quot;* &quot;-&quot;?_);_(@_)"/>
    <numFmt numFmtId="177" formatCode="0.00%;\(0.00%\)"/>
    <numFmt numFmtId="178" formatCode="_([$$-409]* #,##0_);_([$$-409]* \(#,##0\);_([$$-409]* &quot;-&quot;??_);_(@_)"/>
    <numFmt numFmtId="179" formatCode="_(0.0%_);\(0.0%\);_(&quot;–&quot;_);_(@_)"/>
    <numFmt numFmtId="180" formatCode="_(* #,##0_);_(* \(#,##0\);_(* &quot;-&quot;?_);_(@_)"/>
    <numFmt numFmtId="181" formatCode="_(* #,##0.0_);_(* \(#,##0.0\);_(* &quot;-&quot;_);_(@_)"/>
    <numFmt numFmtId="182" formatCode="_(&quot;$&quot;* #,##0.00_);_(&quot;$&quot;* \(#,##0.00\);_(&quot;$&quot;* &quot;-&quot;?_);_(@_)"/>
    <numFmt numFmtId="183" formatCode="0.0%_);\(0.0%\);\-_%_);@_)"/>
    <numFmt numFmtId="184" formatCode="0.0\ \x;\(0.0\ \x\)"/>
    <numFmt numFmtId="185" formatCode="yyyy\-mm\-dd"/>
    <numFmt numFmtId="186" formatCode="_(0.0%_);\(0.0%\);_(&quot;–&quot;_)_%;_(@_)_%"/>
    <numFmt numFmtId="187" formatCode="#,##0.000"/>
    <numFmt numFmtId="188" formatCode="0.0\ \x;[Red]\ 0.0\ \x"/>
    <numFmt numFmtId="189" formatCode="0.0%;\(0.0%\);\-_)_%;@_)_%"/>
    <numFmt numFmtId="190" formatCode="m/d/yyyy;@"/>
    <numFmt numFmtId="191" formatCode="_(* #,##0_);[Red]_(* \(#,##0\);_(* &quot;-&quot;_);_(@_)"/>
    <numFmt numFmtId="192" formatCode="&quot;FY&quot;yy"/>
    <numFmt numFmtId="193" formatCode="_(&quot;$&quot;* #,##0.0_);_(&quot;$&quot;* \(#,##0.0\);_(&quot;$&quot;* &quot;-&quot;??_);_(@_)"/>
    <numFmt numFmtId="194" formatCode="_(#,##0.0%_);\(#,##0.0%\);_(&quot;–&quot;_)_%;_(@_)_%"/>
    <numFmt numFmtId="195" formatCode="_(* #,##0.0_);_(* \(#,##0.0\);_(* &quot;-&quot;??_);_(@_)"/>
    <numFmt numFmtId="196" formatCode="_(&quot;$&quot;* #,##0.00_);_(&quot;$&quot;* \(#,##0.00\);_(&quot;$&quot;* &quot;-&quot;_);_(@_)"/>
    <numFmt numFmtId="197" formatCode="_(* #,##0.00_);_(* \(#,##0.00\);_(* &quot;-&quot;_);_(@_)"/>
    <numFmt numFmtId="198" formatCode="_(0.00%_);\(0.00%\);_(&quot;–&quot;_)_%;_(@_)_%"/>
    <numFmt numFmtId="199" formatCode="_(#,##0.00_);\(#,##0.00\);_(&quot;–&quot;_);_(@_)"/>
    <numFmt numFmtId="200" formatCode="_(#,##0.00_)_%;\(#,##0.00\)_%;_(&quot;–&quot;_)_%;_(@_)_%"/>
    <numFmt numFmtId="201" formatCode="_(#,##0_)_%;\(#,##0\)_%;_(&quot;–&quot;_)_%;_(@_)_%"/>
    <numFmt numFmtId="202" formatCode="_(&quot;$&quot;* #,##0_);_(&quot;$&quot;* \(#,##0\);_(&quot;$&quot;* &quot;-&quot;??_);_(@_)"/>
  </numFmts>
  <fonts count="6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</font>
    <font>
      <b/>
      <i/>
      <sz val="12"/>
      <color rgb="FF0000FF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u/>
      <sz val="12"/>
      <color indexed="9"/>
      <name val="Aptos Narrow"/>
      <family val="2"/>
      <scheme val="minor"/>
    </font>
    <font>
      <u/>
      <sz val="12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2"/>
      <color indexed="9"/>
      <name val="Aptos Narrow"/>
      <family val="2"/>
      <scheme val="minor"/>
    </font>
    <font>
      <sz val="8"/>
      <color indexed="8"/>
      <name val="Arial"/>
      <family val="2"/>
    </font>
    <font>
      <sz val="12"/>
      <color theme="6"/>
      <name val="Aptos Narrow"/>
      <family val="2"/>
      <scheme val="minor"/>
    </font>
    <font>
      <sz val="10"/>
      <color rgb="FF000000"/>
      <name val="Times New Roman"/>
      <family val="1"/>
    </font>
    <font>
      <i/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name val="Aptos Narrow"/>
      <family val="2"/>
      <scheme val="minor"/>
    </font>
    <font>
      <sz val="7"/>
      <color rgb="FF232A3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i/>
      <sz val="12"/>
      <color rgb="FF000000"/>
      <name val="Aptos Narrow"/>
      <family val="2"/>
      <scheme val="minor"/>
    </font>
    <font>
      <i/>
      <sz val="12"/>
      <color rgb="FF00B05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4" fillId="0" borderId="0"/>
    <xf numFmtId="0" fontId="22" fillId="0" borderId="0"/>
    <xf numFmtId="0" fontId="28" fillId="0" borderId="0" applyNumberFormat="0" applyFill="0" applyBorder="0" applyAlignment="0" applyProtection="0"/>
    <xf numFmtId="0" fontId="1" fillId="0" borderId="0"/>
    <xf numFmtId="0" fontId="40" fillId="0" borderId="0" applyAlignment="0"/>
    <xf numFmtId="0" fontId="1" fillId="0" borderId="0"/>
    <xf numFmtId="0" fontId="1" fillId="0" borderId="0"/>
  </cellStyleXfs>
  <cellXfs count="543">
    <xf numFmtId="0" fontId="0" fillId="0" borderId="0" xfId="0"/>
    <xf numFmtId="3" fontId="0" fillId="0" borderId="0" xfId="0" applyNumberFormat="1"/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4" fillId="3" borderId="0" xfId="0" applyFont="1" applyFill="1"/>
    <xf numFmtId="0" fontId="4" fillId="3" borderId="2" xfId="0" applyFont="1" applyFill="1" applyBorder="1"/>
    <xf numFmtId="0" fontId="5" fillId="3" borderId="2" xfId="0" applyFont="1" applyFill="1" applyBorder="1"/>
    <xf numFmtId="0" fontId="4" fillId="3" borderId="3" xfId="0" applyFont="1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165" fontId="5" fillId="3" borderId="0" xfId="0" applyNumberFormat="1" applyFont="1" applyFill="1" applyAlignment="1">
      <alignment horizontal="center"/>
    </xf>
    <xf numFmtId="165" fontId="5" fillId="3" borderId="4" xfId="0" applyNumberFormat="1" applyFont="1" applyFill="1" applyBorder="1" applyAlignment="1">
      <alignment horizontal="center"/>
    </xf>
    <xf numFmtId="0" fontId="6" fillId="0" borderId="0" xfId="3" applyFont="1"/>
    <xf numFmtId="0" fontId="7" fillId="4" borderId="0" xfId="2" applyFont="1" applyFill="1" applyBorder="1" applyAlignment="1">
      <alignment horizontal="left"/>
    </xf>
    <xf numFmtId="0" fontId="8" fillId="0" borderId="0" xfId="0" applyFont="1"/>
    <xf numFmtId="0" fontId="9" fillId="0" borderId="0" xfId="0" applyFont="1"/>
    <xf numFmtId="166" fontId="9" fillId="0" borderId="0" xfId="0" applyNumberFormat="1" applyFont="1"/>
    <xf numFmtId="14" fontId="7" fillId="4" borderId="0" xfId="0" applyNumberFormat="1" applyFont="1" applyFill="1" applyAlignment="1">
      <alignment horizontal="center"/>
    </xf>
    <xf numFmtId="0" fontId="7" fillId="4" borderId="0" xfId="2" applyFont="1" applyFill="1" applyBorder="1" applyAlignment="1">
      <alignment horizontal="centerContinuous"/>
    </xf>
    <xf numFmtId="167" fontId="10" fillId="4" borderId="0" xfId="3" applyNumberFormat="1" applyFont="1" applyFill="1"/>
    <xf numFmtId="0" fontId="10" fillId="0" borderId="0" xfId="3" applyFont="1"/>
    <xf numFmtId="168" fontId="7" fillId="4" borderId="0" xfId="0" applyNumberFormat="1" applyFont="1" applyFill="1"/>
    <xf numFmtId="169" fontId="10" fillId="4" borderId="0" xfId="2" applyNumberFormat="1" applyFont="1" applyFill="1" applyBorder="1" applyAlignment="1">
      <alignment horizontal="center"/>
    </xf>
    <xf numFmtId="170" fontId="11" fillId="4" borderId="0" xfId="0" applyNumberFormat="1" applyFont="1" applyFill="1" applyAlignment="1">
      <alignment horizontal="center"/>
    </xf>
    <xf numFmtId="171" fontId="7" fillId="4" borderId="0" xfId="0" applyNumberFormat="1" applyFont="1" applyFill="1" applyAlignment="1">
      <alignment horizontal="center"/>
    </xf>
    <xf numFmtId="3" fontId="4" fillId="0" borderId="0" xfId="0" applyNumberFormat="1" applyFont="1"/>
    <xf numFmtId="41" fontId="4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5" xfId="0" applyFont="1" applyBorder="1" applyAlignment="1">
      <alignment horizontal="left" indent="1"/>
    </xf>
    <xf numFmtId="42" fontId="12" fillId="0" borderId="0" xfId="0" applyNumberFormat="1" applyFont="1"/>
    <xf numFmtId="0" fontId="13" fillId="0" borderId="0" xfId="0" applyFont="1"/>
    <xf numFmtId="42" fontId="13" fillId="0" borderId="0" xfId="0" applyNumberFormat="1" applyFont="1"/>
    <xf numFmtId="41" fontId="7" fillId="0" borderId="5" xfId="0" applyNumberFormat="1" applyFont="1" applyBorder="1"/>
    <xf numFmtId="41" fontId="7" fillId="0" borderId="0" xfId="0" applyNumberFormat="1" applyFont="1"/>
    <xf numFmtId="41" fontId="4" fillId="0" borderId="5" xfId="0" applyNumberFormat="1" applyFont="1" applyBorder="1"/>
    <xf numFmtId="41" fontId="13" fillId="0" borderId="0" xfId="0" applyNumberFormat="1" applyFont="1"/>
    <xf numFmtId="0" fontId="13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5" xfId="0" applyFont="1" applyBorder="1" applyAlignment="1">
      <alignment horizontal="left" indent="2"/>
    </xf>
    <xf numFmtId="41" fontId="4" fillId="0" borderId="0" xfId="0" applyNumberFormat="1" applyFont="1" applyAlignment="1">
      <alignment horizontal="left" indent="1"/>
    </xf>
    <xf numFmtId="41" fontId="4" fillId="0" borderId="5" xfId="0" applyNumberFormat="1" applyFont="1" applyBorder="1" applyAlignment="1">
      <alignment horizontal="left" indent="1"/>
    </xf>
    <xf numFmtId="165" fontId="5" fillId="3" borderId="6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0" fontId="1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9" fontId="4" fillId="0" borderId="0" xfId="1" applyFont="1"/>
    <xf numFmtId="9" fontId="16" fillId="0" borderId="0" xfId="1" applyFont="1"/>
    <xf numFmtId="9" fontId="4" fillId="0" borderId="0" xfId="0" applyNumberFormat="1" applyFont="1"/>
    <xf numFmtId="41" fontId="7" fillId="4" borderId="5" xfId="0" applyNumberFormat="1" applyFont="1" applyFill="1" applyBorder="1"/>
    <xf numFmtId="165" fontId="5" fillId="0" borderId="0" xfId="0" applyNumberFormat="1" applyFont="1" applyAlignment="1">
      <alignment horizontal="center"/>
    </xf>
    <xf numFmtId="41" fontId="7" fillId="4" borderId="0" xfId="0" applyNumberFormat="1" applyFont="1" applyFill="1"/>
    <xf numFmtId="41" fontId="4" fillId="4" borderId="5" xfId="0" applyNumberFormat="1" applyFont="1" applyFill="1" applyBorder="1"/>
    <xf numFmtId="41" fontId="4" fillId="4" borderId="0" xfId="0" applyNumberFormat="1" applyFont="1" applyFill="1"/>
    <xf numFmtId="3" fontId="0" fillId="5" borderId="0" xfId="0" applyNumberFormat="1" applyFill="1"/>
    <xf numFmtId="0" fontId="4" fillId="0" borderId="0" xfId="0" applyFont="1" applyAlignment="1">
      <alignment horizontal="left"/>
    </xf>
    <xf numFmtId="43" fontId="4" fillId="0" borderId="0" xfId="0" applyNumberFormat="1" applyFont="1"/>
    <xf numFmtId="166" fontId="4" fillId="0" borderId="0" xfId="0" applyNumberFormat="1" applyFont="1"/>
    <xf numFmtId="166" fontId="4" fillId="4" borderId="0" xfId="0" applyNumberFormat="1" applyFont="1" applyFill="1"/>
    <xf numFmtId="42" fontId="4" fillId="0" borderId="0" xfId="0" applyNumberFormat="1" applyFont="1"/>
    <xf numFmtId="172" fontId="10" fillId="0" borderId="0" xfId="0" applyNumberFormat="1" applyFont="1"/>
    <xf numFmtId="172" fontId="10" fillId="4" borderId="0" xfId="0" applyNumberFormat="1" applyFont="1" applyFill="1"/>
    <xf numFmtId="44" fontId="10" fillId="6" borderId="0" xfId="0" applyNumberFormat="1" applyFont="1" applyFill="1" applyAlignment="1">
      <alignment horizontal="left" vertical="center" indent="1"/>
    </xf>
    <xf numFmtId="169" fontId="10" fillId="0" borderId="0" xfId="2" applyNumberFormat="1" applyFont="1" applyFill="1" applyBorder="1" applyAlignment="1">
      <alignment horizontal="center"/>
    </xf>
    <xf numFmtId="44" fontId="10" fillId="6" borderId="0" xfId="0" applyNumberFormat="1" applyFont="1" applyFill="1" applyAlignment="1">
      <alignment horizontal="left" vertical="center"/>
    </xf>
    <xf numFmtId="41" fontId="10" fillId="0" borderId="0" xfId="0" applyNumberFormat="1" applyFont="1"/>
    <xf numFmtId="169" fontId="7" fillId="0" borderId="0" xfId="2" applyNumberFormat="1" applyFont="1" applyFill="1" applyBorder="1" applyAlignment="1">
      <alignment horizontal="center"/>
    </xf>
    <xf numFmtId="169" fontId="10" fillId="0" borderId="0" xfId="2" applyNumberFormat="1" applyFont="1" applyFill="1" applyBorder="1" applyAlignment="1">
      <alignment horizontal="right"/>
    </xf>
    <xf numFmtId="169" fontId="10" fillId="4" borderId="0" xfId="2" applyNumberFormat="1" applyFont="1" applyFill="1" applyBorder="1" applyAlignment="1">
      <alignment horizontal="right"/>
    </xf>
    <xf numFmtId="41" fontId="10" fillId="0" borderId="0" xfId="0" applyNumberFormat="1" applyFont="1" applyAlignment="1">
      <alignment vertical="center" wrapText="1"/>
    </xf>
    <xf numFmtId="0" fontId="4" fillId="0" borderId="5" xfId="0" applyFont="1" applyBorder="1"/>
    <xf numFmtId="0" fontId="13" fillId="0" borderId="7" xfId="0" applyFont="1" applyBorder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 indent="2"/>
    </xf>
    <xf numFmtId="9" fontId="0" fillId="0" borderId="0" xfId="0" applyNumberFormat="1"/>
    <xf numFmtId="0" fontId="0" fillId="7" borderId="0" xfId="0" applyFill="1"/>
    <xf numFmtId="0" fontId="18" fillId="7" borderId="0" xfId="0" applyFont="1" applyFill="1"/>
    <xf numFmtId="0" fontId="5" fillId="7" borderId="0" xfId="0" applyFont="1" applyFill="1"/>
    <xf numFmtId="9" fontId="16" fillId="4" borderId="0" xfId="0" applyNumberFormat="1" applyFont="1" applyFill="1"/>
    <xf numFmtId="9" fontId="16" fillId="0" borderId="0" xfId="0" applyNumberFormat="1" applyFont="1"/>
    <xf numFmtId="9" fontId="16" fillId="4" borderId="0" xfId="1" applyFont="1" applyFill="1"/>
    <xf numFmtId="0" fontId="16" fillId="0" borderId="0" xfId="0" applyFont="1"/>
    <xf numFmtId="0" fontId="16" fillId="4" borderId="0" xfId="0" applyFont="1" applyFill="1"/>
    <xf numFmtId="0" fontId="5" fillId="0" borderId="0" xfId="0" applyFont="1"/>
    <xf numFmtId="165" fontId="5" fillId="3" borderId="8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indent="1"/>
    </xf>
    <xf numFmtId="0" fontId="21" fillId="0" borderId="0" xfId="0" applyFont="1"/>
    <xf numFmtId="0" fontId="10" fillId="4" borderId="0" xfId="0" applyFont="1" applyFill="1"/>
    <xf numFmtId="0" fontId="10" fillId="0" borderId="0" xfId="0" applyFont="1"/>
    <xf numFmtId="0" fontId="13" fillId="8" borderId="5" xfId="0" applyFont="1" applyFill="1" applyBorder="1"/>
    <xf numFmtId="166" fontId="7" fillId="4" borderId="0" xfId="0" applyNumberFormat="1" applyFont="1" applyFill="1"/>
    <xf numFmtId="173" fontId="11" fillId="0" borderId="0" xfId="0" applyNumberFormat="1" applyFont="1" applyAlignment="1">
      <alignment horizontal="center"/>
    </xf>
    <xf numFmtId="169" fontId="7" fillId="4" borderId="0" xfId="2" applyNumberFormat="1" applyFont="1" applyFill="1" applyBorder="1" applyAlignment="1">
      <alignment horizontal="center"/>
    </xf>
    <xf numFmtId="173" fontId="10" fillId="0" borderId="0" xfId="3" applyNumberFormat="1" applyFont="1"/>
    <xf numFmtId="172" fontId="11" fillId="4" borderId="0" xfId="0" applyNumberFormat="1" applyFont="1" applyFill="1" applyAlignment="1">
      <alignment horizontal="center"/>
    </xf>
    <xf numFmtId="174" fontId="21" fillId="0" borderId="0" xfId="3" applyNumberFormat="1" applyFont="1"/>
    <xf numFmtId="175" fontId="10" fillId="4" borderId="0" xfId="3" applyNumberFormat="1" applyFont="1" applyFill="1" applyAlignment="1">
      <alignment horizontal="center"/>
    </xf>
    <xf numFmtId="172" fontId="11" fillId="0" borderId="0" xfId="0" applyNumberFormat="1" applyFont="1" applyAlignment="1">
      <alignment horizontal="center"/>
    </xf>
    <xf numFmtId="175" fontId="7" fillId="4" borderId="0" xfId="3" applyNumberFormat="1" applyFont="1" applyFill="1" applyAlignment="1">
      <alignment horizontal="center"/>
    </xf>
    <xf numFmtId="175" fontId="7" fillId="0" borderId="0" xfId="3" applyNumberFormat="1" applyFont="1" applyAlignment="1">
      <alignment horizontal="center"/>
    </xf>
    <xf numFmtId="170" fontId="11" fillId="0" borderId="0" xfId="0" applyNumberFormat="1" applyFont="1"/>
    <xf numFmtId="176" fontId="4" fillId="0" borderId="0" xfId="0" applyNumberFormat="1" applyFont="1"/>
    <xf numFmtId="176" fontId="8" fillId="0" borderId="0" xfId="0" applyNumberFormat="1" applyFont="1"/>
    <xf numFmtId="0" fontId="21" fillId="8" borderId="0" xfId="3" applyFont="1" applyFill="1"/>
    <xf numFmtId="0" fontId="4" fillId="8" borderId="0" xfId="0" applyFont="1" applyFill="1"/>
    <xf numFmtId="0" fontId="6" fillId="8" borderId="0" xfId="3" applyFont="1" applyFill="1"/>
    <xf numFmtId="42" fontId="21" fillId="8" borderId="0" xfId="0" applyNumberFormat="1" applyFont="1" applyFill="1"/>
    <xf numFmtId="177" fontId="8" fillId="0" borderId="0" xfId="4" applyNumberFormat="1" applyFont="1" applyAlignment="1">
      <alignment horizontal="center"/>
    </xf>
    <xf numFmtId="175" fontId="10" fillId="0" borderId="0" xfId="3" applyNumberFormat="1" applyFont="1"/>
    <xf numFmtId="0" fontId="10" fillId="0" borderId="0" xfId="3" applyFont="1" applyAlignment="1">
      <alignment horizontal="left" indent="1"/>
    </xf>
    <xf numFmtId="41" fontId="10" fillId="4" borderId="0" xfId="0" applyNumberFormat="1" applyFont="1" applyFill="1"/>
    <xf numFmtId="178" fontId="10" fillId="0" borderId="0" xfId="3" applyNumberFormat="1" applyFont="1"/>
    <xf numFmtId="6" fontId="10" fillId="0" borderId="0" xfId="3" applyNumberFormat="1" applyFont="1"/>
    <xf numFmtId="0" fontId="10" fillId="0" borderId="5" xfId="3" applyFont="1" applyBorder="1" applyAlignment="1">
      <alignment horizontal="left" indent="1"/>
    </xf>
    <xf numFmtId="0" fontId="10" fillId="0" borderId="5" xfId="3" applyFont="1" applyBorder="1"/>
    <xf numFmtId="178" fontId="10" fillId="0" borderId="5" xfId="3" applyNumberFormat="1" applyFont="1" applyBorder="1"/>
    <xf numFmtId="0" fontId="21" fillId="8" borderId="0" xfId="3" applyFont="1" applyFill="1" applyAlignment="1">
      <alignment horizontal="left"/>
    </xf>
    <xf numFmtId="0" fontId="10" fillId="8" borderId="0" xfId="3" applyFont="1" applyFill="1"/>
    <xf numFmtId="178" fontId="13" fillId="8" borderId="0" xfId="0" applyNumberFormat="1" applyFont="1" applyFill="1"/>
    <xf numFmtId="0" fontId="6" fillId="0" borderId="0" xfId="3" applyFont="1" applyAlignment="1">
      <alignment horizontal="left" indent="1"/>
    </xf>
    <xf numFmtId="179" fontId="6" fillId="0" borderId="0" xfId="3" applyNumberFormat="1" applyFont="1"/>
    <xf numFmtId="0" fontId="21" fillId="8" borderId="7" xfId="3" applyFont="1" applyFill="1" applyBorder="1"/>
    <xf numFmtId="42" fontId="21" fillId="8" borderId="7" xfId="3" applyNumberFormat="1" applyFont="1" applyFill="1" applyBorder="1"/>
    <xf numFmtId="180" fontId="10" fillId="4" borderId="0" xfId="3" applyNumberFormat="1" applyFont="1" applyFill="1"/>
    <xf numFmtId="0" fontId="10" fillId="0" borderId="0" xfId="3" applyFont="1" applyAlignment="1">
      <alignment horizontal="left"/>
    </xf>
    <xf numFmtId="166" fontId="10" fillId="0" borderId="0" xfId="3" applyNumberFormat="1" applyFont="1"/>
    <xf numFmtId="0" fontId="21" fillId="8" borderId="5" xfId="3" applyFont="1" applyFill="1" applyBorder="1" applyAlignment="1">
      <alignment horizontal="left"/>
    </xf>
    <xf numFmtId="0" fontId="10" fillId="8" borderId="5" xfId="3" applyFont="1" applyFill="1" applyBorder="1"/>
    <xf numFmtId="178" fontId="13" fillId="8" borderId="5" xfId="0" applyNumberFormat="1" applyFont="1" applyFill="1" applyBorder="1"/>
    <xf numFmtId="0" fontId="21" fillId="0" borderId="0" xfId="3" applyFont="1" applyAlignment="1">
      <alignment horizontal="left"/>
    </xf>
    <xf numFmtId="167" fontId="13" fillId="0" borderId="0" xfId="0" applyNumberFormat="1" applyFont="1"/>
    <xf numFmtId="181" fontId="4" fillId="0" borderId="0" xfId="0" applyNumberFormat="1" applyFont="1"/>
    <xf numFmtId="0" fontId="21" fillId="9" borderId="9" xfId="3" applyFont="1" applyFill="1" applyBorder="1"/>
    <xf numFmtId="0" fontId="21" fillId="9" borderId="7" xfId="3" applyFont="1" applyFill="1" applyBorder="1"/>
    <xf numFmtId="182" fontId="13" fillId="9" borderId="10" xfId="0" applyNumberFormat="1" applyFont="1" applyFill="1" applyBorder="1"/>
    <xf numFmtId="0" fontId="21" fillId="9" borderId="11" xfId="3" applyFont="1" applyFill="1" applyBorder="1"/>
    <xf numFmtId="0" fontId="21" fillId="9" borderId="5" xfId="3" applyFont="1" applyFill="1" applyBorder="1"/>
    <xf numFmtId="172" fontId="13" fillId="9" borderId="12" xfId="0" applyNumberFormat="1" applyFont="1" applyFill="1" applyBorder="1"/>
    <xf numFmtId="0" fontId="16" fillId="0" borderId="0" xfId="0" applyFont="1" applyAlignment="1">
      <alignment horizontal="left" indent="1"/>
    </xf>
    <xf numFmtId="9" fontId="4" fillId="0" borderId="0" xfId="1" applyFont="1" applyFill="1" applyBorder="1"/>
    <xf numFmtId="0" fontId="10" fillId="6" borderId="0" xfId="0" applyFont="1" applyFill="1" applyAlignment="1">
      <alignment horizontal="left" vertical="center" indent="1"/>
    </xf>
    <xf numFmtId="0" fontId="21" fillId="0" borderId="0" xfId="3" applyFont="1"/>
    <xf numFmtId="9" fontId="16" fillId="0" borderId="0" xfId="1" applyFont="1" applyFill="1" applyBorder="1"/>
    <xf numFmtId="0" fontId="26" fillId="0" borderId="0" xfId="0" applyFont="1"/>
    <xf numFmtId="42" fontId="2" fillId="0" borderId="0" xfId="0" applyNumberFormat="1" applyFont="1"/>
    <xf numFmtId="42" fontId="0" fillId="0" borderId="0" xfId="0" applyNumberFormat="1"/>
    <xf numFmtId="0" fontId="29" fillId="0" borderId="0" xfId="6" applyFont="1" applyAlignment="1">
      <alignment horizontal="center"/>
    </xf>
    <xf numFmtId="0" fontId="8" fillId="0" borderId="0" xfId="6" applyFont="1"/>
    <xf numFmtId="0" fontId="29" fillId="0" borderId="0" xfId="6" applyFont="1"/>
    <xf numFmtId="0" fontId="30" fillId="3" borderId="0" xfId="6" applyFont="1" applyFill="1" applyAlignment="1">
      <alignment horizontal="left"/>
    </xf>
    <xf numFmtId="0" fontId="31" fillId="3" borderId="0" xfId="6" applyFont="1" applyFill="1" applyAlignment="1">
      <alignment horizontal="left"/>
    </xf>
    <xf numFmtId="0" fontId="32" fillId="3" borderId="0" xfId="6" applyFont="1" applyFill="1" applyAlignment="1">
      <alignment horizontal="right"/>
    </xf>
    <xf numFmtId="0" fontId="4" fillId="0" borderId="0" xfId="6" applyFont="1"/>
    <xf numFmtId="0" fontId="32" fillId="0" borderId="0" xfId="6" applyFont="1" applyAlignment="1">
      <alignment horizontal="right"/>
    </xf>
    <xf numFmtId="0" fontId="33" fillId="3" borderId="0" xfId="3" applyFont="1" applyFill="1" applyAlignment="1">
      <alignment horizontal="right"/>
    </xf>
    <xf numFmtId="0" fontId="33" fillId="0" borderId="0" xfId="3" applyFont="1" applyAlignment="1">
      <alignment horizontal="right"/>
    </xf>
    <xf numFmtId="0" fontId="21" fillId="0" borderId="0" xfId="3" applyFont="1" applyAlignment="1">
      <alignment horizontal="center"/>
    </xf>
    <xf numFmtId="0" fontId="21" fillId="7" borderId="0" xfId="6" applyFont="1" applyFill="1" applyAlignment="1">
      <alignment horizontal="centerContinuous"/>
    </xf>
    <xf numFmtId="0" fontId="4" fillId="7" borderId="0" xfId="6" applyFont="1" applyFill="1" applyAlignment="1">
      <alignment horizontal="centerContinuous"/>
    </xf>
    <xf numFmtId="0" fontId="4" fillId="0" borderId="0" xfId="6" applyFont="1" applyAlignment="1">
      <alignment horizontal="centerContinuous"/>
    </xf>
    <xf numFmtId="0" fontId="21" fillId="0" borderId="0" xfId="6" applyFont="1" applyAlignment="1">
      <alignment horizontal="center"/>
    </xf>
    <xf numFmtId="14" fontId="10" fillId="7" borderId="0" xfId="0" applyNumberFormat="1" applyFont="1" applyFill="1" applyAlignment="1">
      <alignment horizontal="center"/>
    </xf>
    <xf numFmtId="14" fontId="10" fillId="0" borderId="0" xfId="0" applyNumberFormat="1" applyFont="1" applyAlignment="1">
      <alignment horizontal="center"/>
    </xf>
    <xf numFmtId="185" fontId="8" fillId="0" borderId="0" xfId="0" applyNumberFormat="1" applyFont="1" applyAlignment="1">
      <alignment horizontal="center" vertical="center"/>
    </xf>
    <xf numFmtId="185" fontId="8" fillId="0" borderId="0" xfId="0" applyNumberFormat="1" applyFont="1" applyAlignment="1">
      <alignment horizontal="center"/>
    </xf>
    <xf numFmtId="180" fontId="7" fillId="0" borderId="0" xfId="6" applyNumberFormat="1" applyFont="1"/>
    <xf numFmtId="41" fontId="7" fillId="0" borderId="0" xfId="6" applyNumberFormat="1" applyFont="1"/>
    <xf numFmtId="176" fontId="8" fillId="0" borderId="0" xfId="6" applyNumberFormat="1" applyFont="1"/>
    <xf numFmtId="0" fontId="8" fillId="0" borderId="0" xfId="6" applyFont="1" applyAlignment="1">
      <alignment horizontal="left"/>
    </xf>
    <xf numFmtId="0" fontId="29" fillId="0" borderId="0" xfId="6" applyFont="1" applyAlignment="1">
      <alignment horizontal="left" indent="1"/>
    </xf>
    <xf numFmtId="180" fontId="8" fillId="0" borderId="0" xfId="6" applyNumberFormat="1" applyFont="1"/>
    <xf numFmtId="9" fontId="29" fillId="0" borderId="0" xfId="1" applyFont="1" applyBorder="1"/>
    <xf numFmtId="41" fontId="29" fillId="0" borderId="0" xfId="1" applyNumberFormat="1" applyFont="1" applyBorder="1"/>
    <xf numFmtId="0" fontId="8" fillId="0" borderId="0" xfId="6" applyFont="1" applyAlignment="1">
      <alignment horizontal="left" indent="1"/>
    </xf>
    <xf numFmtId="0" fontId="29" fillId="0" borderId="0" xfId="6" applyFont="1" applyAlignment="1">
      <alignment horizontal="left"/>
    </xf>
    <xf numFmtId="166" fontId="29" fillId="0" borderId="0" xfId="6" applyNumberFormat="1" applyFont="1"/>
    <xf numFmtId="9" fontId="29" fillId="0" borderId="0" xfId="6" applyNumberFormat="1" applyFont="1"/>
    <xf numFmtId="186" fontId="8" fillId="0" borderId="0" xfId="6" applyNumberFormat="1" applyFont="1"/>
    <xf numFmtId="172" fontId="4" fillId="0" borderId="0" xfId="6" applyNumberFormat="1" applyFont="1"/>
    <xf numFmtId="6" fontId="29" fillId="0" borderId="0" xfId="6" applyNumberFormat="1" applyFont="1"/>
    <xf numFmtId="0" fontId="5" fillId="3" borderId="0" xfId="6" applyFont="1" applyFill="1" applyAlignment="1">
      <alignment horizontal="centerContinuous"/>
    </xf>
    <xf numFmtId="0" fontId="27" fillId="3" borderId="0" xfId="6" applyFont="1" applyFill="1" applyAlignment="1">
      <alignment horizontal="centerContinuous"/>
    </xf>
    <xf numFmtId="0" fontId="27" fillId="0" borderId="0" xfId="6" applyFont="1" applyAlignment="1">
      <alignment horizontal="centerContinuous"/>
    </xf>
    <xf numFmtId="0" fontId="34" fillId="0" borderId="0" xfId="6" applyFont="1" applyAlignment="1">
      <alignment horizontal="centerContinuous"/>
    </xf>
    <xf numFmtId="0" fontId="29" fillId="0" borderId="0" xfId="6" applyFont="1" applyAlignment="1">
      <alignment horizontal="centerContinuous"/>
    </xf>
    <xf numFmtId="176" fontId="7" fillId="0" borderId="0" xfId="6" applyNumberFormat="1" applyFont="1"/>
    <xf numFmtId="166" fontId="4" fillId="0" borderId="0" xfId="6" applyNumberFormat="1" applyFont="1"/>
    <xf numFmtId="0" fontId="18" fillId="3" borderId="0" xfId="6" applyFont="1" applyFill="1" applyAlignment="1">
      <alignment horizontal="centerContinuous"/>
    </xf>
    <xf numFmtId="0" fontId="29" fillId="3" borderId="0" xfId="6" applyFont="1" applyFill="1" applyAlignment="1">
      <alignment horizontal="centerContinuous"/>
    </xf>
    <xf numFmtId="0" fontId="29" fillId="11" borderId="0" xfId="6" applyFont="1" applyFill="1" applyAlignment="1">
      <alignment horizontal="centerContinuous"/>
    </xf>
    <xf numFmtId="42" fontId="8" fillId="0" borderId="0" xfId="6" applyNumberFormat="1" applyFont="1"/>
    <xf numFmtId="41" fontId="8" fillId="0" borderId="0" xfId="6" applyNumberFormat="1" applyFont="1"/>
    <xf numFmtId="0" fontId="4" fillId="0" borderId="0" xfId="6" applyFont="1" applyAlignment="1">
      <alignment horizontal="center"/>
    </xf>
    <xf numFmtId="9" fontId="4" fillId="0" borderId="0" xfId="1" applyFont="1" applyBorder="1"/>
    <xf numFmtId="0" fontId="18" fillId="0" borderId="0" xfId="6" applyFont="1" applyAlignment="1">
      <alignment horizontal="centerContinuous"/>
    </xf>
    <xf numFmtId="0" fontId="4" fillId="0" borderId="0" xfId="6" applyFont="1" applyAlignment="1">
      <alignment horizontal="left" indent="1"/>
    </xf>
    <xf numFmtId="0" fontId="13" fillId="0" borderId="0" xfId="6" applyFont="1" applyAlignment="1">
      <alignment horizontal="centerContinuous"/>
    </xf>
    <xf numFmtId="44" fontId="7" fillId="0" borderId="0" xfId="6" applyNumberFormat="1" applyFont="1"/>
    <xf numFmtId="3" fontId="7" fillId="0" borderId="0" xfId="6" applyNumberFormat="1" applyFont="1" applyAlignment="1">
      <alignment horizontal="right"/>
    </xf>
    <xf numFmtId="4" fontId="7" fillId="0" borderId="0" xfId="6" applyNumberFormat="1" applyFont="1" applyAlignment="1">
      <alignment horizontal="right"/>
    </xf>
    <xf numFmtId="0" fontId="13" fillId="7" borderId="0" xfId="6" applyFont="1" applyFill="1" applyAlignment="1">
      <alignment horizontal="center"/>
    </xf>
    <xf numFmtId="0" fontId="13" fillId="0" borderId="0" xfId="6" applyFont="1" applyAlignment="1">
      <alignment horizontal="center"/>
    </xf>
    <xf numFmtId="187" fontId="7" fillId="0" borderId="0" xfId="6" applyNumberFormat="1" applyFont="1"/>
    <xf numFmtId="44" fontId="7" fillId="0" borderId="0" xfId="6" applyNumberFormat="1" applyFont="1" applyAlignment="1">
      <alignment horizontal="right"/>
    </xf>
    <xf numFmtId="187" fontId="4" fillId="0" borderId="0" xfId="6" applyNumberFormat="1" applyFont="1"/>
    <xf numFmtId="4" fontId="4" fillId="0" borderId="0" xfId="6" applyNumberFormat="1" applyFont="1"/>
    <xf numFmtId="0" fontId="5" fillId="3" borderId="0" xfId="6" applyFont="1" applyFill="1" applyAlignment="1">
      <alignment horizontal="center"/>
    </xf>
    <xf numFmtId="0" fontId="5" fillId="0" borderId="0" xfId="6" applyFont="1" applyAlignment="1">
      <alignment horizontal="center"/>
    </xf>
    <xf numFmtId="174" fontId="7" fillId="0" borderId="0" xfId="6" applyNumberFormat="1" applyFont="1"/>
    <xf numFmtId="42" fontId="7" fillId="0" borderId="0" xfId="6" applyNumberFormat="1" applyFont="1"/>
    <xf numFmtId="44" fontId="4" fillId="0" borderId="0" xfId="6" applyNumberFormat="1" applyFont="1"/>
    <xf numFmtId="4" fontId="13" fillId="0" borderId="0" xfId="6" applyNumberFormat="1" applyFont="1"/>
    <xf numFmtId="44" fontId="4" fillId="0" borderId="0" xfId="6" applyNumberFormat="1" applyFont="1" applyAlignment="1">
      <alignment horizontal="centerContinuous"/>
    </xf>
    <xf numFmtId="42" fontId="4" fillId="0" borderId="0" xfId="6" applyNumberFormat="1" applyFont="1"/>
    <xf numFmtId="41" fontId="4" fillId="0" borderId="0" xfId="6" applyNumberFormat="1" applyFont="1"/>
    <xf numFmtId="4" fontId="7" fillId="0" borderId="0" xfId="6" applyNumberFormat="1" applyFont="1"/>
    <xf numFmtId="185" fontId="10" fillId="7" borderId="0" xfId="0" applyNumberFormat="1" applyFont="1" applyFill="1" applyAlignment="1">
      <alignment horizontal="center"/>
    </xf>
    <xf numFmtId="185" fontId="10" fillId="0" borderId="0" xfId="0" applyNumberFormat="1" applyFont="1" applyAlignment="1">
      <alignment horizontal="center"/>
    </xf>
    <xf numFmtId="188" fontId="10" fillId="0" borderId="0" xfId="6" applyNumberFormat="1" applyFont="1"/>
    <xf numFmtId="0" fontId="4" fillId="11" borderId="0" xfId="6" applyFont="1" applyFill="1"/>
    <xf numFmtId="176" fontId="10" fillId="0" borderId="0" xfId="6" applyNumberFormat="1" applyFont="1"/>
    <xf numFmtId="180" fontId="10" fillId="0" borderId="0" xfId="6" applyNumberFormat="1" applyFont="1"/>
    <xf numFmtId="41" fontId="10" fillId="0" borderId="0" xfId="6" applyNumberFormat="1" applyFont="1"/>
    <xf numFmtId="186" fontId="10" fillId="0" borderId="0" xfId="6" applyNumberFormat="1" applyFont="1"/>
    <xf numFmtId="0" fontId="35" fillId="0" borderId="0" xfId="0" applyFont="1"/>
    <xf numFmtId="0" fontId="28" fillId="0" borderId="0" xfId="5"/>
    <xf numFmtId="0" fontId="36" fillId="0" borderId="0" xfId="5" applyFont="1" applyAlignment="1">
      <alignment horizontal="right"/>
    </xf>
    <xf numFmtId="0" fontId="36" fillId="0" borderId="0" xfId="5" applyFont="1" applyFill="1" applyBorder="1" applyAlignment="1">
      <alignment horizontal="right"/>
    </xf>
    <xf numFmtId="176" fontId="29" fillId="0" borderId="0" xfId="6" applyNumberFormat="1" applyFont="1"/>
    <xf numFmtId="180" fontId="29" fillId="0" borderId="0" xfId="6" applyNumberFormat="1" applyFont="1"/>
    <xf numFmtId="0" fontId="37" fillId="0" borderId="0" xfId="0" applyFont="1"/>
    <xf numFmtId="0" fontId="21" fillId="0" borderId="0" xfId="4" applyFont="1"/>
    <xf numFmtId="0" fontId="10" fillId="0" borderId="0" xfId="4" applyFont="1"/>
    <xf numFmtId="0" fontId="38" fillId="0" borderId="0" xfId="4" applyFont="1"/>
    <xf numFmtId="0" fontId="8" fillId="0" borderId="0" xfId="4" applyFont="1"/>
    <xf numFmtId="44" fontId="10" fillId="0" borderId="0" xfId="4" applyNumberFormat="1" applyFont="1"/>
    <xf numFmtId="0" fontId="32" fillId="3" borderId="0" xfId="4" applyFont="1" applyFill="1"/>
    <xf numFmtId="0" fontId="32" fillId="3" borderId="0" xfId="4" applyFont="1" applyFill="1" applyAlignment="1">
      <alignment horizontal="center"/>
    </xf>
    <xf numFmtId="0" fontId="30" fillId="3" borderId="0" xfId="4" applyFont="1" applyFill="1" applyAlignment="1">
      <alignment horizontal="centerContinuous"/>
    </xf>
    <xf numFmtId="0" fontId="32" fillId="3" borderId="0" xfId="4" applyFont="1" applyFill="1" applyAlignment="1">
      <alignment horizontal="centerContinuous"/>
    </xf>
    <xf numFmtId="0" fontId="30" fillId="3" borderId="0" xfId="4" applyFont="1" applyFill="1"/>
    <xf numFmtId="0" fontId="39" fillId="3" borderId="0" xfId="4" applyFont="1" applyFill="1"/>
    <xf numFmtId="0" fontId="32" fillId="3" borderId="5" xfId="4" applyFont="1" applyFill="1" applyBorder="1" applyAlignment="1">
      <alignment horizontal="center"/>
    </xf>
    <xf numFmtId="0" fontId="10" fillId="0" borderId="0" xfId="4" applyFont="1" applyAlignment="1">
      <alignment horizontal="left"/>
    </xf>
    <xf numFmtId="0" fontId="10" fillId="0" borderId="0" xfId="4" applyFont="1" applyAlignment="1">
      <alignment horizontal="center"/>
    </xf>
    <xf numFmtId="14" fontId="8" fillId="0" borderId="0" xfId="7" applyNumberFormat="1" applyFont="1" applyAlignment="1">
      <alignment horizontal="left" vertical="top"/>
    </xf>
    <xf numFmtId="180" fontId="7" fillId="0" borderId="0" xfId="0" applyNumberFormat="1" applyFont="1" applyAlignment="1">
      <alignment vertical="top" wrapText="1"/>
    </xf>
    <xf numFmtId="176" fontId="7" fillId="0" borderId="0" xfId="0" applyNumberFormat="1" applyFont="1" applyAlignment="1">
      <alignment vertical="top" wrapText="1"/>
    </xf>
    <xf numFmtId="188" fontId="8" fillId="0" borderId="0" xfId="8" applyNumberFormat="1" applyFont="1" applyAlignment="1">
      <alignment vertical="top" wrapText="1"/>
    </xf>
    <xf numFmtId="44" fontId="7" fillId="0" borderId="0" xfId="8" applyNumberFormat="1" applyFont="1" applyAlignment="1">
      <alignment vertical="top" wrapText="1"/>
    </xf>
    <xf numFmtId="189" fontId="8" fillId="0" borderId="0" xfId="8" applyNumberFormat="1" applyFont="1" applyAlignment="1">
      <alignment vertical="top" wrapText="1"/>
    </xf>
    <xf numFmtId="0" fontId="8" fillId="0" borderId="0" xfId="7" applyFont="1" applyAlignment="1">
      <alignment horizontal="left" vertical="top"/>
    </xf>
    <xf numFmtId="0" fontId="8" fillId="0" borderId="0" xfId="7" applyFont="1" applyAlignment="1">
      <alignment horizontal="center" vertical="top"/>
    </xf>
    <xf numFmtId="178" fontId="7" fillId="0" borderId="0" xfId="0" applyNumberFormat="1" applyFont="1" applyAlignment="1">
      <alignment vertical="top" wrapText="1"/>
    </xf>
    <xf numFmtId="176" fontId="7" fillId="0" borderId="0" xfId="0" applyNumberFormat="1" applyFont="1" applyAlignment="1">
      <alignment horizontal="right" vertical="top" wrapText="1"/>
    </xf>
    <xf numFmtId="43" fontId="7" fillId="0" borderId="0" xfId="8" applyNumberFormat="1" applyFont="1" applyAlignment="1">
      <alignment vertical="top" wrapText="1"/>
    </xf>
    <xf numFmtId="0" fontId="41" fillId="0" borderId="0" xfId="4" applyFont="1"/>
    <xf numFmtId="190" fontId="41" fillId="0" borderId="0" xfId="4" applyNumberFormat="1" applyFont="1" applyAlignment="1">
      <alignment horizontal="right"/>
    </xf>
    <xf numFmtId="191" fontId="41" fillId="0" borderId="0" xfId="4" applyNumberFormat="1" applyFont="1"/>
    <xf numFmtId="188" fontId="41" fillId="0" borderId="0" xfId="4" applyNumberFormat="1" applyFont="1" applyAlignment="1">
      <alignment horizontal="right"/>
    </xf>
    <xf numFmtId="0" fontId="8" fillId="0" borderId="9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41" fillId="0" borderId="7" xfId="4" applyFont="1" applyBorder="1" applyAlignment="1">
      <alignment horizontal="right"/>
    </xf>
    <xf numFmtId="42" fontId="8" fillId="0" borderId="7" xfId="4" applyNumberFormat="1" applyFont="1" applyBorder="1"/>
    <xf numFmtId="188" fontId="8" fillId="0" borderId="7" xfId="4" applyNumberFormat="1" applyFont="1" applyBorder="1"/>
    <xf numFmtId="188" fontId="41" fillId="0" borderId="7" xfId="4" applyNumberFormat="1" applyFont="1" applyBorder="1"/>
    <xf numFmtId="189" fontId="8" fillId="0" borderId="7" xfId="4" applyNumberFormat="1" applyFont="1" applyBorder="1"/>
    <xf numFmtId="189" fontId="8" fillId="0" borderId="10" xfId="4" applyNumberFormat="1" applyFont="1" applyBorder="1"/>
    <xf numFmtId="0" fontId="8" fillId="0" borderId="13" xfId="4" applyFont="1" applyBorder="1" applyAlignment="1">
      <alignment horizontal="left"/>
    </xf>
    <xf numFmtId="0" fontId="8" fillId="0" borderId="0" xfId="4" applyFont="1" applyAlignment="1">
      <alignment horizontal="left"/>
    </xf>
    <xf numFmtId="0" fontId="41" fillId="0" borderId="0" xfId="4" applyFont="1" applyAlignment="1">
      <alignment horizontal="right"/>
    </xf>
    <xf numFmtId="180" fontId="8" fillId="0" borderId="0" xfId="4" applyNumberFormat="1" applyFont="1"/>
    <xf numFmtId="188" fontId="8" fillId="0" borderId="0" xfId="4" applyNumberFormat="1" applyFont="1"/>
    <xf numFmtId="188" fontId="41" fillId="0" borderId="0" xfId="4" applyNumberFormat="1" applyFont="1"/>
    <xf numFmtId="189" fontId="8" fillId="0" borderId="0" xfId="4" applyNumberFormat="1" applyFont="1"/>
    <xf numFmtId="189" fontId="8" fillId="0" borderId="14" xfId="4" applyNumberFormat="1" applyFont="1" applyBorder="1"/>
    <xf numFmtId="0" fontId="21" fillId="7" borderId="15" xfId="4" applyFont="1" applyFill="1" applyBorder="1" applyAlignment="1">
      <alignment horizontal="left"/>
    </xf>
    <xf numFmtId="0" fontId="21" fillId="7" borderId="16" xfId="4" applyFont="1" applyFill="1" applyBorder="1" applyAlignment="1">
      <alignment horizontal="left"/>
    </xf>
    <xf numFmtId="0" fontId="21" fillId="7" borderId="16" xfId="4" applyFont="1" applyFill="1" applyBorder="1" applyAlignment="1">
      <alignment horizontal="right"/>
    </xf>
    <xf numFmtId="180" fontId="21" fillId="7" borderId="16" xfId="4" applyNumberFormat="1" applyFont="1" applyFill="1" applyBorder="1"/>
    <xf numFmtId="188" fontId="21" fillId="7" borderId="16" xfId="4" applyNumberFormat="1" applyFont="1" applyFill="1" applyBorder="1"/>
    <xf numFmtId="189" fontId="21" fillId="7" borderId="16" xfId="4" applyNumberFormat="1" applyFont="1" applyFill="1" applyBorder="1"/>
    <xf numFmtId="189" fontId="21" fillId="7" borderId="17" xfId="4" applyNumberFormat="1" applyFont="1" applyFill="1" applyBorder="1"/>
    <xf numFmtId="0" fontId="8" fillId="0" borderId="11" xfId="4" applyFont="1" applyBorder="1" applyAlignment="1">
      <alignment horizontal="left"/>
    </xf>
    <xf numFmtId="0" fontId="8" fillId="0" borderId="5" xfId="4" applyFont="1" applyBorder="1" applyAlignment="1">
      <alignment horizontal="left"/>
    </xf>
    <xf numFmtId="0" fontId="41" fillId="0" borderId="5" xfId="4" applyFont="1" applyBorder="1" applyAlignment="1">
      <alignment horizontal="right"/>
    </xf>
    <xf numFmtId="180" fontId="8" fillId="0" borderId="5" xfId="4" applyNumberFormat="1" applyFont="1" applyBorder="1"/>
    <xf numFmtId="188" fontId="8" fillId="0" borderId="5" xfId="4" applyNumberFormat="1" applyFont="1" applyBorder="1"/>
    <xf numFmtId="188" fontId="41" fillId="0" borderId="5" xfId="4" applyNumberFormat="1" applyFont="1" applyBorder="1"/>
    <xf numFmtId="189" fontId="8" fillId="0" borderId="5" xfId="4" applyNumberFormat="1" applyFont="1" applyBorder="1"/>
    <xf numFmtId="189" fontId="8" fillId="0" borderId="12" xfId="4" applyNumberFormat="1" applyFont="1" applyBorder="1"/>
    <xf numFmtId="3" fontId="42" fillId="0" borderId="0" xfId="0" applyNumberFormat="1" applyFont="1"/>
    <xf numFmtId="10" fontId="14" fillId="0" borderId="0" xfId="0" applyNumberFormat="1" applyFont="1" applyAlignment="1">
      <alignment horizontal="center"/>
    </xf>
    <xf numFmtId="10" fontId="0" fillId="0" borderId="0" xfId="0" applyNumberFormat="1"/>
    <xf numFmtId="0" fontId="14" fillId="0" borderId="0" xfId="0" applyFont="1" applyAlignment="1">
      <alignment horizontal="left" indent="1"/>
    </xf>
    <xf numFmtId="0" fontId="26" fillId="0" borderId="0" xfId="0" applyFont="1" applyAlignment="1">
      <alignment horizontal="left" indent="1"/>
    </xf>
    <xf numFmtId="0" fontId="10" fillId="0" borderId="0" xfId="4" applyFont="1" applyAlignment="1">
      <alignment horizontal="left" indent="1"/>
    </xf>
    <xf numFmtId="0" fontId="18" fillId="3" borderId="0" xfId="0" applyFont="1" applyFill="1"/>
    <xf numFmtId="0" fontId="43" fillId="3" borderId="0" xfId="0" applyFont="1" applyFill="1"/>
    <xf numFmtId="192" fontId="5" fillId="3" borderId="0" xfId="0" applyNumberFormat="1" applyFont="1" applyFill="1" applyAlignment="1">
      <alignment horizontal="center"/>
    </xf>
    <xf numFmtId="0" fontId="18" fillId="0" borderId="0" xfId="0" applyFont="1"/>
    <xf numFmtId="0" fontId="43" fillId="0" borderId="0" xfId="0" applyFont="1"/>
    <xf numFmtId="192" fontId="5" fillId="0" borderId="0" xfId="0" applyNumberFormat="1" applyFont="1" applyAlignment="1">
      <alignment horizontal="center"/>
    </xf>
    <xf numFmtId="178" fontId="12" fillId="6" borderId="0" xfId="0" applyNumberFormat="1" applyFont="1" applyFill="1" applyAlignment="1">
      <alignment horizontal="left" vertical="center"/>
    </xf>
    <xf numFmtId="172" fontId="6" fillId="0" borderId="0" xfId="1" applyNumberFormat="1" applyFont="1"/>
    <xf numFmtId="41" fontId="0" fillId="0" borderId="0" xfId="0" applyNumberFormat="1"/>
    <xf numFmtId="178" fontId="44" fillId="0" borderId="0" xfId="0" applyNumberFormat="1" applyFont="1"/>
    <xf numFmtId="0" fontId="16" fillId="0" borderId="7" xfId="0" applyFont="1" applyBorder="1"/>
    <xf numFmtId="178" fontId="13" fillId="0" borderId="0" xfId="0" applyNumberFormat="1" applyFont="1"/>
    <xf numFmtId="9" fontId="14" fillId="0" borderId="0" xfId="1" applyFont="1"/>
    <xf numFmtId="41" fontId="0" fillId="4" borderId="0" xfId="0" applyNumberFormat="1" applyFill="1"/>
    <xf numFmtId="6" fontId="0" fillId="0" borderId="0" xfId="0" applyNumberFormat="1"/>
    <xf numFmtId="41" fontId="2" fillId="4" borderId="0" xfId="0" applyNumberFormat="1" applyFont="1" applyFill="1"/>
    <xf numFmtId="9" fontId="15" fillId="4" borderId="0" xfId="1" applyFont="1" applyFill="1"/>
    <xf numFmtId="9" fontId="14" fillId="4" borderId="0" xfId="1" applyFont="1" applyFill="1"/>
    <xf numFmtId="9" fontId="15" fillId="4" borderId="0" xfId="0" applyNumberFormat="1" applyFont="1" applyFill="1"/>
    <xf numFmtId="9" fontId="15" fillId="0" borderId="0" xfId="1" applyFont="1"/>
    <xf numFmtId="9" fontId="14" fillId="0" borderId="0" xfId="1" applyFont="1" applyFill="1"/>
    <xf numFmtId="9" fontId="14" fillId="0" borderId="0" xfId="0" applyNumberFormat="1" applyFont="1"/>
    <xf numFmtId="42" fontId="2" fillId="4" borderId="0" xfId="0" applyNumberFormat="1" applyFont="1" applyFill="1"/>
    <xf numFmtId="41" fontId="2" fillId="0" borderId="0" xfId="0" applyNumberFormat="1" applyFont="1"/>
    <xf numFmtId="0" fontId="13" fillId="0" borderId="0" xfId="3" applyFont="1"/>
    <xf numFmtId="0" fontId="45" fillId="0" borderId="0" xfId="0" applyFont="1"/>
    <xf numFmtId="1" fontId="8" fillId="0" borderId="0" xfId="4" applyNumberFormat="1" applyFont="1"/>
    <xf numFmtId="0" fontId="44" fillId="0" borderId="0" xfId="6" applyFont="1" applyAlignment="1">
      <alignment horizontal="left"/>
    </xf>
    <xf numFmtId="0" fontId="32" fillId="3" borderId="0" xfId="6" applyFont="1" applyFill="1" applyAlignment="1">
      <alignment horizontal="left"/>
    </xf>
    <xf numFmtId="0" fontId="32" fillId="3" borderId="0" xfId="3" applyFont="1" applyFill="1"/>
    <xf numFmtId="0" fontId="30" fillId="3" borderId="0" xfId="3" applyFont="1" applyFill="1" applyAlignment="1">
      <alignment horizontal="centerContinuous"/>
    </xf>
    <xf numFmtId="0" fontId="31" fillId="3" borderId="0" xfId="3" applyFont="1" applyFill="1" applyAlignment="1">
      <alignment horizontal="centerContinuous"/>
    </xf>
    <xf numFmtId="0" fontId="39" fillId="3" borderId="0" xfId="3" applyFont="1" applyFill="1"/>
    <xf numFmtId="0" fontId="32" fillId="3" borderId="0" xfId="3" applyFont="1" applyFill="1" applyAlignment="1">
      <alignment horizontal="center"/>
    </xf>
    <xf numFmtId="0" fontId="39" fillId="3" borderId="0" xfId="3" applyFont="1" applyFill="1" applyAlignment="1">
      <alignment horizontal="centerContinuous"/>
    </xf>
    <xf numFmtId="0" fontId="32" fillId="3" borderId="5" xfId="3" applyFont="1" applyFill="1" applyBorder="1"/>
    <xf numFmtId="0" fontId="32" fillId="3" borderId="5" xfId="3" applyFont="1" applyFill="1" applyBorder="1" applyAlignment="1">
      <alignment horizontal="center"/>
    </xf>
    <xf numFmtId="14" fontId="32" fillId="3" borderId="5" xfId="3" applyNumberFormat="1" applyFont="1" applyFill="1" applyBorder="1" applyAlignment="1">
      <alignment horizontal="center"/>
    </xf>
    <xf numFmtId="192" fontId="5" fillId="3" borderId="5" xfId="0" applyNumberFormat="1" applyFont="1" applyFill="1" applyBorder="1" applyAlignment="1">
      <alignment horizontal="center"/>
    </xf>
    <xf numFmtId="43" fontId="8" fillId="0" borderId="0" xfId="4" applyNumberFormat="1" applyFont="1"/>
    <xf numFmtId="9" fontId="8" fillId="0" borderId="0" xfId="1" applyFont="1"/>
    <xf numFmtId="0" fontId="10" fillId="0" borderId="9" xfId="3" applyFont="1" applyBorder="1"/>
    <xf numFmtId="0" fontId="10" fillId="0" borderId="7" xfId="3" applyFont="1" applyBorder="1"/>
    <xf numFmtId="44" fontId="10" fillId="0" borderId="7" xfId="3" applyNumberFormat="1" applyFont="1" applyBorder="1"/>
    <xf numFmtId="193" fontId="10" fillId="0" borderId="7" xfId="3" applyNumberFormat="1" applyFont="1" applyBorder="1"/>
    <xf numFmtId="194" fontId="10" fillId="0" borderId="7" xfId="3" applyNumberFormat="1" applyFont="1" applyBorder="1"/>
    <xf numFmtId="194" fontId="10" fillId="0" borderId="10" xfId="3" applyNumberFormat="1" applyFont="1" applyBorder="1"/>
    <xf numFmtId="0" fontId="10" fillId="0" borderId="13" xfId="3" applyFont="1" applyBorder="1"/>
    <xf numFmtId="43" fontId="10" fillId="0" borderId="0" xfId="3" applyNumberFormat="1" applyFont="1"/>
    <xf numFmtId="195" fontId="10" fillId="0" borderId="0" xfId="3" applyNumberFormat="1" applyFont="1"/>
    <xf numFmtId="194" fontId="10" fillId="0" borderId="0" xfId="3" applyNumberFormat="1" applyFont="1"/>
    <xf numFmtId="194" fontId="10" fillId="0" borderId="14" xfId="3" applyNumberFormat="1" applyFont="1" applyBorder="1"/>
    <xf numFmtId="0" fontId="21" fillId="10" borderId="15" xfId="3" applyFont="1" applyFill="1" applyBorder="1"/>
    <xf numFmtId="0" fontId="21" fillId="10" borderId="16" xfId="3" applyFont="1" applyFill="1" applyBorder="1"/>
    <xf numFmtId="44" fontId="21" fillId="10" borderId="16" xfId="3" applyNumberFormat="1" applyFont="1" applyFill="1" applyBorder="1"/>
    <xf numFmtId="166" fontId="21" fillId="10" borderId="16" xfId="3" applyNumberFormat="1" applyFont="1" applyFill="1" applyBorder="1"/>
    <xf numFmtId="193" fontId="21" fillId="10" borderId="16" xfId="3" applyNumberFormat="1" applyFont="1" applyFill="1" applyBorder="1"/>
    <xf numFmtId="194" fontId="21" fillId="10" borderId="16" xfId="3" applyNumberFormat="1" applyFont="1" applyFill="1" applyBorder="1"/>
    <xf numFmtId="194" fontId="21" fillId="10" borderId="17" xfId="3" applyNumberFormat="1" applyFont="1" applyFill="1" applyBorder="1"/>
    <xf numFmtId="0" fontId="10" fillId="0" borderId="11" xfId="3" applyFont="1" applyBorder="1"/>
    <xf numFmtId="0" fontId="21" fillId="0" borderId="5" xfId="3" applyFont="1" applyBorder="1"/>
    <xf numFmtId="43" fontId="10" fillId="0" borderId="5" xfId="3" applyNumberFormat="1" applyFont="1" applyBorder="1"/>
    <xf numFmtId="195" fontId="10" fillId="0" borderId="5" xfId="3" applyNumberFormat="1" applyFont="1" applyBorder="1"/>
    <xf numFmtId="194" fontId="10" fillId="0" borderId="5" xfId="3" applyNumberFormat="1" applyFont="1" applyBorder="1"/>
    <xf numFmtId="194" fontId="10" fillId="0" borderId="12" xfId="3" applyNumberFormat="1" applyFont="1" applyBorder="1"/>
    <xf numFmtId="0" fontId="46" fillId="0" borderId="0" xfId="0" applyFont="1"/>
    <xf numFmtId="42" fontId="5" fillId="7" borderId="15" xfId="4" applyNumberFormat="1" applyFont="1" applyFill="1" applyBorder="1"/>
    <xf numFmtId="0" fontId="5" fillId="7" borderId="16" xfId="3" applyFont="1" applyFill="1" applyBorder="1"/>
    <xf numFmtId="196" fontId="5" fillId="7" borderId="16" xfId="4" applyNumberFormat="1" applyFont="1" applyFill="1" applyBorder="1"/>
    <xf numFmtId="0" fontId="5" fillId="7" borderId="16" xfId="4" applyFont="1" applyFill="1" applyBorder="1"/>
    <xf numFmtId="42" fontId="5" fillId="7" borderId="16" xfId="4" applyNumberFormat="1" applyFont="1" applyFill="1" applyBorder="1"/>
    <xf numFmtId="197" fontId="5" fillId="7" borderId="16" xfId="4" applyNumberFormat="1" applyFont="1" applyFill="1" applyBorder="1"/>
    <xf numFmtId="9" fontId="5" fillId="7" borderId="16" xfId="1" applyFont="1" applyFill="1" applyBorder="1"/>
    <xf numFmtId="194" fontId="5" fillId="7" borderId="16" xfId="3" applyNumberFormat="1" applyFont="1" applyFill="1" applyBorder="1"/>
    <xf numFmtId="194" fontId="5" fillId="7" borderId="17" xfId="3" applyNumberFormat="1" applyFont="1" applyFill="1" applyBorder="1"/>
    <xf numFmtId="0" fontId="5" fillId="0" borderId="0" xfId="3" applyFont="1"/>
    <xf numFmtId="44" fontId="5" fillId="0" borderId="0" xfId="3" applyNumberFormat="1" applyFont="1"/>
    <xf numFmtId="195" fontId="5" fillId="0" borderId="0" xfId="3" applyNumberFormat="1" applyFont="1"/>
    <xf numFmtId="174" fontId="5" fillId="0" borderId="0" xfId="3" applyNumberFormat="1" applyFont="1"/>
    <xf numFmtId="43" fontId="5" fillId="0" borderId="0" xfId="3" applyNumberFormat="1" applyFont="1" applyAlignment="1">
      <alignment horizontal="center"/>
    </xf>
    <xf numFmtId="194" fontId="5" fillId="0" borderId="0" xfId="3" applyNumberFormat="1" applyFont="1" applyAlignment="1">
      <alignment horizontal="center"/>
    </xf>
    <xf numFmtId="172" fontId="5" fillId="0" borderId="0" xfId="3" applyNumberFormat="1" applyFont="1"/>
    <xf numFmtId="0" fontId="10" fillId="0" borderId="0" xfId="3" applyFont="1" applyAlignment="1">
      <alignment horizontal="center"/>
    </xf>
    <xf numFmtId="43" fontId="10" fillId="0" borderId="0" xfId="3" applyNumberFormat="1" applyFont="1" applyAlignment="1">
      <alignment horizontal="center"/>
    </xf>
    <xf numFmtId="14" fontId="32" fillId="3" borderId="0" xfId="3" applyNumberFormat="1" applyFont="1" applyFill="1" applyAlignment="1">
      <alignment horizontal="center"/>
    </xf>
    <xf numFmtId="42" fontId="8" fillId="0" borderId="0" xfId="4" applyNumberFormat="1" applyFont="1"/>
    <xf numFmtId="175" fontId="10" fillId="0" borderId="0" xfId="3" applyNumberFormat="1" applyFont="1" applyAlignment="1">
      <alignment horizontal="center"/>
    </xf>
    <xf numFmtId="3" fontId="47" fillId="0" borderId="0" xfId="0" applyNumberFormat="1" applyFont="1" applyAlignment="1">
      <alignment vertical="center"/>
    </xf>
    <xf numFmtId="175" fontId="10" fillId="0" borderId="7" xfId="3" applyNumberFormat="1" applyFont="1" applyBorder="1"/>
    <xf numFmtId="175" fontId="10" fillId="0" borderId="10" xfId="3" applyNumberFormat="1" applyFont="1" applyBorder="1"/>
    <xf numFmtId="175" fontId="10" fillId="0" borderId="14" xfId="3" applyNumberFormat="1" applyFont="1" applyBorder="1"/>
    <xf numFmtId="0" fontId="21" fillId="7" borderId="15" xfId="3" applyFont="1" applyFill="1" applyBorder="1"/>
    <xf numFmtId="0" fontId="21" fillId="7" borderId="16" xfId="3" applyFont="1" applyFill="1" applyBorder="1"/>
    <xf numFmtId="44" fontId="21" fillId="7" borderId="16" xfId="3" applyNumberFormat="1" applyFont="1" applyFill="1" applyBorder="1"/>
    <xf numFmtId="166" fontId="21" fillId="7" borderId="16" xfId="3" applyNumberFormat="1" applyFont="1" applyFill="1" applyBorder="1"/>
    <xf numFmtId="193" fontId="21" fillId="7" borderId="16" xfId="3" applyNumberFormat="1" applyFont="1" applyFill="1" applyBorder="1"/>
    <xf numFmtId="175" fontId="21" fillId="7" borderId="16" xfId="3" applyNumberFormat="1" applyFont="1" applyFill="1" applyBorder="1"/>
    <xf numFmtId="175" fontId="21" fillId="7" borderId="17" xfId="3" applyNumberFormat="1" applyFont="1" applyFill="1" applyBorder="1"/>
    <xf numFmtId="175" fontId="10" fillId="0" borderId="5" xfId="3" applyNumberFormat="1" applyFont="1" applyBorder="1"/>
    <xf numFmtId="175" fontId="10" fillId="0" borderId="12" xfId="3" applyNumberFormat="1" applyFont="1" applyBorder="1"/>
    <xf numFmtId="184" fontId="5" fillId="7" borderId="15" xfId="4" applyNumberFormat="1" applyFont="1" applyFill="1" applyBorder="1"/>
    <xf numFmtId="44" fontId="5" fillId="7" borderId="16" xfId="3" applyNumberFormat="1" applyFont="1" applyFill="1" applyBorder="1"/>
    <xf numFmtId="184" fontId="5" fillId="7" borderId="16" xfId="4" applyNumberFormat="1" applyFont="1" applyFill="1" applyBorder="1"/>
    <xf numFmtId="184" fontId="5" fillId="7" borderId="17" xfId="4" applyNumberFormat="1" applyFont="1" applyFill="1" applyBorder="1"/>
    <xf numFmtId="176" fontId="10" fillId="0" borderId="0" xfId="6" applyNumberFormat="1" applyFont="1" applyAlignment="1">
      <alignment horizontal="center"/>
    </xf>
    <xf numFmtId="180" fontId="10" fillId="0" borderId="0" xfId="6" applyNumberFormat="1" applyFont="1" applyAlignment="1">
      <alignment horizontal="center"/>
    </xf>
    <xf numFmtId="0" fontId="0" fillId="0" borderId="0" xfId="0" applyAlignment="1">
      <alignment wrapText="1"/>
    </xf>
    <xf numFmtId="0" fontId="48" fillId="0" borderId="0" xfId="0" applyFont="1"/>
    <xf numFmtId="0" fontId="49" fillId="0" borderId="0" xfId="0" applyFont="1"/>
    <xf numFmtId="0" fontId="50" fillId="12" borderId="0" xfId="0" applyFont="1" applyFill="1"/>
    <xf numFmtId="0" fontId="51" fillId="12" borderId="0" xfId="0" applyFont="1" applyFill="1"/>
    <xf numFmtId="0" fontId="51" fillId="0" borderId="0" xfId="0" applyFont="1"/>
    <xf numFmtId="198" fontId="7" fillId="13" borderId="0" xfId="0" applyNumberFormat="1" applyFont="1" applyFill="1" applyAlignment="1">
      <alignment horizontal="center"/>
    </xf>
    <xf numFmtId="198" fontId="52" fillId="0" borderId="0" xfId="0" applyNumberFormat="1" applyFont="1"/>
    <xf numFmtId="198" fontId="10" fillId="13" borderId="0" xfId="0" applyNumberFormat="1" applyFont="1" applyFill="1" applyAlignment="1">
      <alignment horizontal="center"/>
    </xf>
    <xf numFmtId="0" fontId="53" fillId="0" borderId="0" xfId="0" applyFont="1"/>
    <xf numFmtId="0" fontId="54" fillId="0" borderId="0" xfId="0" applyFont="1"/>
    <xf numFmtId="1" fontId="54" fillId="0" borderId="0" xfId="0" applyNumberFormat="1" applyFont="1"/>
    <xf numFmtId="0" fontId="32" fillId="12" borderId="0" xfId="3" applyFont="1" applyFill="1"/>
    <xf numFmtId="0" fontId="32" fillId="12" borderId="0" xfId="3" applyFont="1" applyFill="1" applyAlignment="1">
      <alignment horizontal="center"/>
    </xf>
    <xf numFmtId="172" fontId="10" fillId="0" borderId="0" xfId="1" applyNumberFormat="1" applyFont="1"/>
    <xf numFmtId="9" fontId="10" fillId="0" borderId="0" xfId="1" applyFont="1"/>
    <xf numFmtId="42" fontId="10" fillId="0" borderId="0" xfId="3" applyNumberFormat="1" applyFont="1"/>
    <xf numFmtId="199" fontId="45" fillId="0" borderId="0" xfId="0" applyNumberFormat="1" applyFont="1"/>
    <xf numFmtId="0" fontId="30" fillId="0" borderId="0" xfId="6" applyFont="1" applyAlignment="1">
      <alignment horizontal="left"/>
    </xf>
    <xf numFmtId="0" fontId="31" fillId="0" borderId="0" xfId="6" applyFont="1" applyAlignment="1">
      <alignment horizontal="left"/>
    </xf>
    <xf numFmtId="0" fontId="4" fillId="0" borderId="0" xfId="0" applyFont="1" applyAlignment="1">
      <alignment horizontal="center"/>
    </xf>
    <xf numFmtId="0" fontId="21" fillId="10" borderId="0" xfId="3" applyFont="1" applyFill="1" applyAlignment="1">
      <alignment horizontal="left"/>
    </xf>
    <xf numFmtId="0" fontId="21" fillId="10" borderId="0" xfId="3" applyFont="1" applyFill="1"/>
    <xf numFmtId="200" fontId="21" fillId="10" borderId="0" xfId="3" applyNumberFormat="1" applyFont="1" applyFill="1"/>
    <xf numFmtId="201" fontId="21" fillId="10" borderId="0" xfId="3" applyNumberFormat="1" applyFont="1" applyFill="1" applyAlignment="1">
      <alignment horizontal="right"/>
    </xf>
    <xf numFmtId="172" fontId="21" fillId="10" borderId="0" xfId="1" applyNumberFormat="1" applyFont="1" applyFill="1"/>
    <xf numFmtId="9" fontId="21" fillId="10" borderId="0" xfId="1" applyFont="1" applyFill="1"/>
    <xf numFmtId="201" fontId="21" fillId="10" borderId="0" xfId="3" applyNumberFormat="1" applyFont="1" applyFill="1"/>
    <xf numFmtId="200" fontId="21" fillId="10" borderId="0" xfId="3" applyNumberFormat="1" applyFont="1" applyFill="1" applyAlignment="1">
      <alignment horizontal="right"/>
    </xf>
    <xf numFmtId="0" fontId="5" fillId="7" borderId="0" xfId="3" applyFont="1" applyFill="1"/>
    <xf numFmtId="172" fontId="5" fillId="7" borderId="0" xfId="1" applyNumberFormat="1" applyFont="1" applyFill="1"/>
    <xf numFmtId="41" fontId="5" fillId="7" borderId="0" xfId="3" applyNumberFormat="1" applyFont="1" applyFill="1"/>
    <xf numFmtId="9" fontId="5" fillId="7" borderId="0" xfId="1" applyFont="1" applyFill="1"/>
    <xf numFmtId="172" fontId="5" fillId="7" borderId="0" xfId="3" applyNumberFormat="1" applyFont="1" applyFill="1"/>
    <xf numFmtId="43" fontId="5" fillId="7" borderId="0" xfId="3" applyNumberFormat="1" applyFont="1" applyFill="1"/>
    <xf numFmtId="200" fontId="10" fillId="0" borderId="0" xfId="3" applyNumberFormat="1" applyFont="1"/>
    <xf numFmtId="172" fontId="10" fillId="0" borderId="0" xfId="3" applyNumberFormat="1" applyFont="1"/>
    <xf numFmtId="186" fontId="10" fillId="0" borderId="0" xfId="3" applyNumberFormat="1" applyFont="1"/>
    <xf numFmtId="172" fontId="10" fillId="0" borderId="0" xfId="3" applyNumberFormat="1" applyFont="1" applyAlignment="1">
      <alignment horizontal="center"/>
    </xf>
    <xf numFmtId="186" fontId="10" fillId="0" borderId="0" xfId="3" applyNumberFormat="1" applyFont="1" applyAlignment="1">
      <alignment horizontal="center"/>
    </xf>
    <xf numFmtId="200" fontId="4" fillId="0" borderId="0" xfId="0" applyNumberFormat="1" applyFont="1"/>
    <xf numFmtId="0" fontId="5" fillId="10" borderId="0" xfId="3" applyFont="1" applyFill="1"/>
    <xf numFmtId="177" fontId="5" fillId="10" borderId="0" xfId="3" applyNumberFormat="1" applyFont="1" applyFill="1"/>
    <xf numFmtId="198" fontId="5" fillId="10" borderId="0" xfId="3" applyNumberFormat="1" applyFont="1" applyFill="1"/>
    <xf numFmtId="0" fontId="4" fillId="0" borderId="0" xfId="9" applyFont="1"/>
    <xf numFmtId="4" fontId="4" fillId="0" borderId="0" xfId="9" applyNumberFormat="1" applyFont="1"/>
    <xf numFmtId="185" fontId="10" fillId="0" borderId="0" xfId="0" applyNumberFormat="1" applyFont="1" applyAlignment="1">
      <alignment horizontal="left"/>
    </xf>
    <xf numFmtId="0" fontId="4" fillId="14" borderId="0" xfId="9" applyFont="1" applyFill="1"/>
    <xf numFmtId="0" fontId="4" fillId="13" borderId="0" xfId="9" applyFont="1" applyFill="1"/>
    <xf numFmtId="0" fontId="4" fillId="15" borderId="0" xfId="9" applyFont="1" applyFill="1"/>
    <xf numFmtId="0" fontId="13" fillId="16" borderId="5" xfId="9" applyFont="1" applyFill="1" applyBorder="1" applyAlignment="1">
      <alignment horizontal="center"/>
    </xf>
    <xf numFmtId="0" fontId="13" fillId="16" borderId="5" xfId="9" applyFont="1" applyFill="1" applyBorder="1"/>
    <xf numFmtId="0" fontId="4" fillId="0" borderId="0" xfId="9" applyFont="1" applyAlignment="1">
      <alignment horizontal="center"/>
    </xf>
    <xf numFmtId="0" fontId="36" fillId="0" borderId="0" xfId="5" applyFont="1"/>
    <xf numFmtId="0" fontId="0" fillId="0" borderId="0" xfId="0" applyAlignment="1">
      <alignment horizontal="center"/>
    </xf>
    <xf numFmtId="44" fontId="10" fillId="0" borderId="0" xfId="3" applyNumberFormat="1" applyFont="1"/>
    <xf numFmtId="182" fontId="13" fillId="0" borderId="0" xfId="0" applyNumberFormat="1" applyFont="1"/>
    <xf numFmtId="172" fontId="13" fillId="0" borderId="0" xfId="0" applyNumberFormat="1" applyFont="1"/>
    <xf numFmtId="0" fontId="14" fillId="7" borderId="0" xfId="0" applyFont="1" applyFill="1" applyAlignment="1">
      <alignment horizontal="center"/>
    </xf>
    <xf numFmtId="0" fontId="17" fillId="3" borderId="0" xfId="0" applyFont="1" applyFill="1"/>
    <xf numFmtId="172" fontId="3" fillId="8" borderId="0" xfId="0" applyNumberFormat="1" applyFont="1" applyFill="1"/>
    <xf numFmtId="9" fontId="3" fillId="0" borderId="0" xfId="1" applyFont="1"/>
    <xf numFmtId="9" fontId="3" fillId="4" borderId="0" xfId="0" applyNumberFormat="1" applyFont="1" applyFill="1"/>
    <xf numFmtId="0" fontId="2" fillId="0" borderId="0" xfId="0" applyFont="1" applyAlignment="1">
      <alignment horizontal="center"/>
    </xf>
    <xf numFmtId="182" fontId="2" fillId="0" borderId="0" xfId="0" applyNumberFormat="1" applyFont="1"/>
    <xf numFmtId="9" fontId="3" fillId="4" borderId="0" xfId="0" applyNumberFormat="1" applyFont="1" applyFill="1" applyAlignment="1">
      <alignment horizontal="center"/>
    </xf>
    <xf numFmtId="0" fontId="4" fillId="10" borderId="0" xfId="0" applyFont="1" applyFill="1"/>
    <xf numFmtId="0" fontId="23" fillId="10" borderId="0" xfId="3" applyFont="1" applyFill="1" applyAlignment="1">
      <alignment horizontal="center"/>
    </xf>
    <xf numFmtId="0" fontId="5" fillId="10" borderId="0" xfId="0" applyFont="1" applyFill="1"/>
    <xf numFmtId="182" fontId="5" fillId="10" borderId="0" xfId="0" applyNumberFormat="1" applyFont="1" applyFill="1" applyAlignment="1">
      <alignment horizontal="center"/>
    </xf>
    <xf numFmtId="183" fontId="24" fillId="10" borderId="0" xfId="0" applyNumberFormat="1" applyFont="1" applyFill="1"/>
    <xf numFmtId="183" fontId="25" fillId="10" borderId="0" xfId="0" applyNumberFormat="1" applyFont="1" applyFill="1"/>
    <xf numFmtId="172" fontId="24" fillId="10" borderId="0" xfId="0" applyNumberFormat="1" applyFont="1" applyFill="1" applyAlignment="1">
      <alignment horizontal="center"/>
    </xf>
    <xf numFmtId="43" fontId="13" fillId="8" borderId="0" xfId="0" applyNumberFormat="1" applyFont="1" applyFill="1"/>
    <xf numFmtId="172" fontId="25" fillId="10" borderId="0" xfId="0" applyNumberFormat="1" applyFont="1" applyFill="1" applyAlignment="1">
      <alignment horizontal="center"/>
    </xf>
    <xf numFmtId="0" fontId="38" fillId="0" borderId="0" xfId="0" applyFont="1"/>
    <xf numFmtId="0" fontId="5" fillId="3" borderId="2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10" fillId="0" borderId="0" xfId="9" applyFont="1"/>
    <xf numFmtId="0" fontId="5" fillId="3" borderId="0" xfId="0" applyFont="1" applyFill="1" applyAlignment="1">
      <alignment horizontal="centerContinuous"/>
    </xf>
    <xf numFmtId="0" fontId="25" fillId="3" borderId="0" xfId="0" applyFont="1" applyFill="1" applyAlignment="1">
      <alignment horizontal="center"/>
    </xf>
    <xf numFmtId="0" fontId="21" fillId="16" borderId="0" xfId="0" applyFont="1" applyFill="1"/>
    <xf numFmtId="0" fontId="6" fillId="16" borderId="0" xfId="0" applyFont="1" applyFill="1"/>
    <xf numFmtId="192" fontId="21" fillId="16" borderId="0" xfId="0" applyNumberFormat="1" applyFont="1" applyFill="1" applyAlignment="1">
      <alignment horizontal="center"/>
    </xf>
    <xf numFmtId="42" fontId="8" fillId="0" borderId="0" xfId="0" applyNumberFormat="1" applyFont="1"/>
    <xf numFmtId="0" fontId="13" fillId="0" borderId="0" xfId="0" applyFont="1" applyAlignment="1">
      <alignment vertical="center"/>
    </xf>
    <xf numFmtId="0" fontId="55" fillId="0" borderId="0" xfId="0" applyFont="1" applyAlignment="1">
      <alignment horizontal="center"/>
    </xf>
    <xf numFmtId="202" fontId="11" fillId="0" borderId="0" xfId="0" applyNumberFormat="1" applyFont="1" applyAlignment="1">
      <alignment horizontal="right"/>
    </xf>
    <xf numFmtId="186" fontId="16" fillId="0" borderId="0" xfId="0" applyNumberFormat="1" applyFont="1" applyAlignment="1">
      <alignment horizontal="center"/>
    </xf>
    <xf numFmtId="9" fontId="56" fillId="0" borderId="0" xfId="1" applyFont="1"/>
    <xf numFmtId="9" fontId="11" fillId="0" borderId="0" xfId="1" applyFont="1" applyAlignment="1">
      <alignment horizontal="right"/>
    </xf>
    <xf numFmtId="0" fontId="21" fillId="6" borderId="0" xfId="0" applyFont="1" applyFill="1" applyAlignment="1">
      <alignment vertical="center"/>
    </xf>
    <xf numFmtId="0" fontId="44" fillId="0" borderId="0" xfId="9" applyFont="1"/>
    <xf numFmtId="42" fontId="57" fillId="0" borderId="0" xfId="0" applyNumberFormat="1" applyFont="1"/>
    <xf numFmtId="0" fontId="6" fillId="6" borderId="0" xfId="0" applyFont="1" applyFill="1" applyAlignment="1">
      <alignment horizontal="left" vertical="center" indent="1"/>
    </xf>
    <xf numFmtId="0" fontId="55" fillId="0" borderId="0" xfId="9" applyFont="1" applyAlignment="1">
      <alignment horizontal="left" indent="1"/>
    </xf>
    <xf numFmtId="9" fontId="57" fillId="0" borderId="0" xfId="1" applyFont="1"/>
    <xf numFmtId="0" fontId="58" fillId="0" borderId="0" xfId="9" applyFont="1"/>
    <xf numFmtId="0" fontId="59" fillId="0" borderId="0" xfId="9" applyFont="1"/>
    <xf numFmtId="0" fontId="8" fillId="0" borderId="0" xfId="0" applyFont="1" applyAlignment="1">
      <alignment horizontal="left" indent="1"/>
    </xf>
    <xf numFmtId="0" fontId="8" fillId="0" borderId="0" xfId="9" applyFont="1"/>
    <xf numFmtId="43" fontId="11" fillId="0" borderId="0" xfId="0" applyNumberFormat="1" applyFont="1"/>
    <xf numFmtId="41" fontId="11" fillId="0" borderId="0" xfId="0" applyNumberFormat="1" applyFont="1"/>
    <xf numFmtId="42" fontId="11" fillId="0" borderId="0" xfId="0" applyNumberFormat="1" applyFont="1"/>
    <xf numFmtId="41" fontId="8" fillId="0" borderId="0" xfId="0" applyNumberFormat="1" applyFont="1"/>
    <xf numFmtId="0" fontId="5" fillId="0" borderId="0" xfId="0" applyFont="1" applyAlignment="1">
      <alignment horizontal="centerContinuous"/>
    </xf>
    <xf numFmtId="175" fontId="11" fillId="0" borderId="0" xfId="4" applyNumberFormat="1" applyFont="1"/>
    <xf numFmtId="202" fontId="57" fillId="0" borderId="0" xfId="0" applyNumberFormat="1" applyFont="1" applyAlignment="1">
      <alignment horizontal="right"/>
    </xf>
    <xf numFmtId="41" fontId="11" fillId="0" borderId="0" xfId="0" applyNumberFormat="1" applyFont="1" applyAlignment="1">
      <alignment horizontal="right"/>
    </xf>
    <xf numFmtId="178" fontId="4" fillId="0" borderId="0" xfId="0" applyNumberFormat="1" applyFont="1"/>
    <xf numFmtId="178" fontId="0" fillId="0" borderId="0" xfId="0" applyNumberFormat="1"/>
    <xf numFmtId="0" fontId="25" fillId="0" borderId="0" xfId="0" applyFont="1" applyAlignment="1">
      <alignment horizontal="center"/>
    </xf>
    <xf numFmtId="185" fontId="5" fillId="0" borderId="0" xfId="0" applyNumberFormat="1" applyFont="1" applyAlignment="1">
      <alignment horizontal="center"/>
    </xf>
    <xf numFmtId="0" fontId="55" fillId="0" borderId="0" xfId="9" applyFont="1" applyAlignment="1">
      <alignment horizontal="center"/>
    </xf>
    <xf numFmtId="175" fontId="11" fillId="0" borderId="0" xfId="4" applyNumberFormat="1" applyFont="1" applyAlignment="1">
      <alignment horizontal="center"/>
    </xf>
    <xf numFmtId="186" fontId="56" fillId="0" borderId="0" xfId="0" applyNumberFormat="1" applyFont="1" applyAlignment="1">
      <alignment horizontal="center"/>
    </xf>
    <xf numFmtId="0" fontId="60" fillId="0" borderId="0" xfId="0" applyFont="1" applyAlignment="1">
      <alignment horizontal="center"/>
    </xf>
    <xf numFmtId="202" fontId="10" fillId="6" borderId="0" xfId="0" applyNumberFormat="1" applyFont="1" applyFill="1" applyAlignment="1">
      <alignment horizontal="left" vertical="center"/>
    </xf>
    <xf numFmtId="0" fontId="15" fillId="7" borderId="0" xfId="0" applyFont="1" applyFill="1" applyAlignment="1">
      <alignment horizontal="center"/>
    </xf>
    <xf numFmtId="14" fontId="0" fillId="0" borderId="0" xfId="0" applyNumberFormat="1"/>
    <xf numFmtId="0" fontId="21" fillId="17" borderId="0" xfId="3" applyFont="1" applyFill="1"/>
    <xf numFmtId="0" fontId="10" fillId="17" borderId="0" xfId="3" applyFont="1" applyFill="1"/>
    <xf numFmtId="8" fontId="10" fillId="17" borderId="0" xfId="3" applyNumberFormat="1" applyFont="1" applyFill="1" applyAlignment="1">
      <alignment horizontal="right"/>
    </xf>
    <xf numFmtId="8" fontId="10" fillId="0" borderId="0" xfId="3" applyNumberFormat="1" applyFont="1" applyAlignment="1">
      <alignment horizontal="right"/>
    </xf>
    <xf numFmtId="44" fontId="10" fillId="0" borderId="0" xfId="3" applyNumberFormat="1" applyFont="1" applyAlignment="1">
      <alignment horizontal="right"/>
    </xf>
    <xf numFmtId="0" fontId="10" fillId="17" borderId="0" xfId="3" applyFont="1" applyFill="1" applyAlignment="1">
      <alignment horizontal="right"/>
    </xf>
    <xf numFmtId="42" fontId="10" fillId="0" borderId="0" xfId="3" applyNumberFormat="1" applyFont="1" applyAlignment="1">
      <alignment horizontal="right"/>
    </xf>
    <xf numFmtId="44" fontId="4" fillId="0" borderId="0" xfId="0" applyNumberFormat="1" applyFont="1"/>
    <xf numFmtId="3" fontId="2" fillId="0" borderId="0" xfId="0" applyNumberFormat="1" applyFont="1"/>
    <xf numFmtId="0" fontId="0" fillId="4" borderId="0" xfId="0" applyFill="1"/>
    <xf numFmtId="9" fontId="14" fillId="4" borderId="0" xfId="0" applyNumberFormat="1" applyFont="1" applyFill="1"/>
    <xf numFmtId="0" fontId="13" fillId="0" borderId="0" xfId="0" applyFont="1" applyAlignment="1">
      <alignment horizontal="left"/>
    </xf>
    <xf numFmtId="0" fontId="5" fillId="18" borderId="0" xfId="3" applyFont="1" applyFill="1" applyAlignment="1">
      <alignment horizontal="left"/>
    </xf>
    <xf numFmtId="0" fontId="5" fillId="18" borderId="0" xfId="3" applyFont="1" applyFill="1"/>
    <xf numFmtId="0" fontId="21" fillId="7" borderId="0" xfId="6" applyFont="1" applyFill="1" applyAlignment="1">
      <alignment horizontal="center"/>
    </xf>
    <xf numFmtId="0" fontId="0" fillId="0" borderId="0" xfId="0" applyAlignment="1">
      <alignment horizontal="center"/>
    </xf>
  </cellXfs>
  <cellStyles count="10">
    <cellStyle name="Hyperlink" xfId="5" builtinId="8"/>
    <cellStyle name="Normal" xfId="0" builtinId="0"/>
    <cellStyle name="Normal 2" xfId="3" xr:uid="{50F7157D-C026-4C73-84D3-E0AE9227CDA8}"/>
    <cellStyle name="Normal 2 2" xfId="4" xr:uid="{DBE1947C-FDDE-4F40-B39F-C4FC29759AD7}"/>
    <cellStyle name="Normal 3 2" xfId="6" xr:uid="{6EEA7D36-FF27-4C02-BF82-89072D4405E7}"/>
    <cellStyle name="Normal 3 2 2" xfId="9" xr:uid="{992D9496-EB37-4548-8127-D86F0ECBAEED}"/>
    <cellStyle name="Normal 3 3" xfId="8" xr:uid="{087E1070-B81B-4FAE-963C-470A08622BAF}"/>
    <cellStyle name="Note" xfId="2" builtinId="10"/>
    <cellStyle name="Percent" xfId="1" builtinId="5"/>
    <cellStyle name="TextNormal" xfId="7" xr:uid="{ADB276E0-B4DD-4B22-A2A7-CE711618E6DB}"/>
  </cellStyles>
  <dxfs count="0"/>
  <tableStyles count="0" defaultTableStyle="TableStyleMedium2" defaultPivotStyle="PivotStyleLight16"/>
  <colors>
    <mruColors>
      <color rgb="FFFFFFCC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Graphs!$J$2</c:f>
          <c:strCache>
            <c:ptCount val="1"/>
            <c:pt idx="0">
              <c:v>Revenue and Gross Profit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Summary!$G$10:$P$10</c:f>
              <c:numCache>
                <c:formatCode>_("$"* #,##0_);_("$"* \(#,##0\);_("$"* "-"??_);_(@_)</c:formatCode>
                <c:ptCount val="10"/>
                <c:pt idx="0">
                  <c:v>33578</c:v>
                </c:pt>
                <c:pt idx="1">
                  <c:v>41029</c:v>
                </c:pt>
                <c:pt idx="2">
                  <c:v>83279</c:v>
                </c:pt>
                <c:pt idx="3">
                  <c:v>111101</c:v>
                </c:pt>
                <c:pt idx="4">
                  <c:v>169000</c:v>
                </c:pt>
                <c:pt idx="5">
                  <c:v>254788</c:v>
                </c:pt>
                <c:pt idx="6">
                  <c:v>365254.16399999999</c:v>
                </c:pt>
                <c:pt idx="7">
                  <c:v>535307.84317800007</c:v>
                </c:pt>
                <c:pt idx="8">
                  <c:v>712266.90027449396</c:v>
                </c:pt>
                <c:pt idx="9">
                  <c:v>912910.72114970523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4-4761-9ED9-45645E9756B6}"/>
            </c:ext>
          </c:extLst>
        </c:ser>
        <c:ser>
          <c:idx val="1"/>
          <c:order val="1"/>
          <c:tx>
            <c:strRef>
              <c:f>Summary!$C$15</c:f>
              <c:strCache>
                <c:ptCount val="1"/>
                <c:pt idx="0">
                  <c:v>Gross Profit: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Summary!$G$15:$P$15</c:f>
              <c:numCache>
                <c:formatCode>_("$"* #,##0_);_("$"* \(#,##0\);_("$"* "-"_);_(@_)</c:formatCode>
                <c:ptCount val="10"/>
                <c:pt idx="0">
                  <c:v>9086</c:v>
                </c:pt>
                <c:pt idx="1">
                  <c:v>10930</c:v>
                </c:pt>
                <c:pt idx="2">
                  <c:v>8314</c:v>
                </c:pt>
                <c:pt idx="3">
                  <c:v>40460</c:v>
                </c:pt>
                <c:pt idx="4">
                  <c:v>82810</c:v>
                </c:pt>
                <c:pt idx="5">
                  <c:v>101915.20000000001</c:v>
                </c:pt>
                <c:pt idx="6">
                  <c:v>146101.66560000001</c:v>
                </c:pt>
                <c:pt idx="7">
                  <c:v>214123.13727120002</c:v>
                </c:pt>
                <c:pt idx="8">
                  <c:v>284906.76010979759</c:v>
                </c:pt>
                <c:pt idx="9">
                  <c:v>365164.28845988214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4-4761-9ED9-45645E97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957231"/>
        <c:axId val="1509954351"/>
      </c:barChart>
      <c:dateAx>
        <c:axId val="1509957231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54351"/>
        <c:crosses val="autoZero"/>
        <c:auto val="1"/>
        <c:lblOffset val="100"/>
        <c:baseTimeUnit val="years"/>
      </c:dateAx>
      <c:valAx>
        <c:axId val="15099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Graphs!$J$18</c:f>
          <c:strCache>
            <c:ptCount val="1"/>
            <c:pt idx="0">
              <c:v>Revenue and OpEx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Summary!$G$10:$P$10</c:f>
              <c:numCache>
                <c:formatCode>_("$"* #,##0_);_("$"* \(#,##0\);_("$"* "-"??_);_(@_)</c:formatCode>
                <c:ptCount val="10"/>
                <c:pt idx="0">
                  <c:v>33578</c:v>
                </c:pt>
                <c:pt idx="1">
                  <c:v>41029</c:v>
                </c:pt>
                <c:pt idx="2">
                  <c:v>83279</c:v>
                </c:pt>
                <c:pt idx="3">
                  <c:v>111101</c:v>
                </c:pt>
                <c:pt idx="4">
                  <c:v>169000</c:v>
                </c:pt>
                <c:pt idx="5">
                  <c:v>254788</c:v>
                </c:pt>
                <c:pt idx="6">
                  <c:v>365254.16399999999</c:v>
                </c:pt>
                <c:pt idx="7">
                  <c:v>535307.84317800007</c:v>
                </c:pt>
                <c:pt idx="8">
                  <c:v>712266.90027449396</c:v>
                </c:pt>
                <c:pt idx="9">
                  <c:v>912910.72114970523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B-42B6-9D50-306735F61D26}"/>
            </c:ext>
          </c:extLst>
        </c:ser>
        <c:ser>
          <c:idx val="1"/>
          <c:order val="1"/>
          <c:tx>
            <c:strRef>
              <c:f>Summary!$C$18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Summary!$G$18:$P$18</c:f>
              <c:numCache>
                <c:formatCode>_("$"* #,##0_);_("$"* \(#,##0\);_("$"* "-"_);_(@_)</c:formatCode>
                <c:ptCount val="10"/>
                <c:pt idx="0">
                  <c:v>108796</c:v>
                </c:pt>
                <c:pt idx="1">
                  <c:v>156353</c:v>
                </c:pt>
                <c:pt idx="2">
                  <c:v>381506</c:v>
                </c:pt>
                <c:pt idx="3">
                  <c:v>144637</c:v>
                </c:pt>
                <c:pt idx="4">
                  <c:v>160207.64199999999</c:v>
                </c:pt>
                <c:pt idx="5">
                  <c:v>155000</c:v>
                </c:pt>
                <c:pt idx="6">
                  <c:v>155000</c:v>
                </c:pt>
                <c:pt idx="7">
                  <c:v>155000</c:v>
                </c:pt>
                <c:pt idx="8">
                  <c:v>155000</c:v>
                </c:pt>
                <c:pt idx="9">
                  <c:v>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7B-42B6-9D50-306735F6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940431"/>
        <c:axId val="1509949071"/>
      </c:barChart>
      <c:dateAx>
        <c:axId val="1509940431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49071"/>
        <c:crosses val="autoZero"/>
        <c:auto val="1"/>
        <c:lblOffset val="100"/>
        <c:baseTimeUnit val="years"/>
      </c:dateAx>
      <c:valAx>
        <c:axId val="15099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4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Graphs!$V$18</c:f>
          <c:strCache>
            <c:ptCount val="1"/>
            <c:pt idx="0">
              <c:v>Revenue and EBIT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Summary!$G$10:$P$10</c:f>
              <c:numCache>
                <c:formatCode>_("$"* #,##0_);_("$"* \(#,##0\);_("$"* "-"??_);_(@_)</c:formatCode>
                <c:ptCount val="10"/>
                <c:pt idx="0">
                  <c:v>33578</c:v>
                </c:pt>
                <c:pt idx="1">
                  <c:v>41029</c:v>
                </c:pt>
                <c:pt idx="2">
                  <c:v>83279</c:v>
                </c:pt>
                <c:pt idx="3">
                  <c:v>111101</c:v>
                </c:pt>
                <c:pt idx="4">
                  <c:v>169000</c:v>
                </c:pt>
                <c:pt idx="5">
                  <c:v>254788</c:v>
                </c:pt>
                <c:pt idx="6">
                  <c:v>365254.16399999999</c:v>
                </c:pt>
                <c:pt idx="7">
                  <c:v>535307.84317800007</c:v>
                </c:pt>
                <c:pt idx="8">
                  <c:v>712266.90027449396</c:v>
                </c:pt>
                <c:pt idx="9">
                  <c:v>912910.72114970523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8-4536-B8F9-BE886352D914}"/>
            </c:ext>
          </c:extLst>
        </c:ser>
        <c:ser>
          <c:idx val="1"/>
          <c:order val="1"/>
          <c:tx>
            <c:strRef>
              <c:f>Summary!$C$20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Summary!$G$20:$P$20</c:f>
              <c:numCache>
                <c:formatCode>_("$"* #,##0_);_("$"* \(#,##0\);_("$"* "-"_);_(@_)</c:formatCode>
                <c:ptCount val="10"/>
                <c:pt idx="0">
                  <c:v>-99710</c:v>
                </c:pt>
                <c:pt idx="1">
                  <c:v>-145423</c:v>
                </c:pt>
                <c:pt idx="2">
                  <c:v>-373192</c:v>
                </c:pt>
                <c:pt idx="3">
                  <c:v>-104177</c:v>
                </c:pt>
                <c:pt idx="4">
                  <c:v>-77397.641999999993</c:v>
                </c:pt>
                <c:pt idx="5">
                  <c:v>-53084.799999999988</c:v>
                </c:pt>
                <c:pt idx="6">
                  <c:v>-8898.3343999999925</c:v>
                </c:pt>
                <c:pt idx="7">
                  <c:v>59123.137271200016</c:v>
                </c:pt>
                <c:pt idx="8">
                  <c:v>129906.76010979759</c:v>
                </c:pt>
                <c:pt idx="9">
                  <c:v>210164.28845988214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8-4536-B8F9-BE886352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992511"/>
        <c:axId val="1558992991"/>
      </c:barChart>
      <c:dateAx>
        <c:axId val="1558992511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92991"/>
        <c:crosses val="autoZero"/>
        <c:auto val="1"/>
        <c:lblOffset val="100"/>
        <c:baseTimeUnit val="years"/>
      </c:dateAx>
      <c:valAx>
        <c:axId val="155899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9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Graphs!$V$33</c:f>
          <c:strCache>
            <c:ptCount val="1"/>
            <c:pt idx="0">
              <c:v>Sensors Shipped and ASP - Quarterly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Q!$C$39</c:f>
              <c:strCache>
                <c:ptCount val="1"/>
                <c:pt idx="0">
                  <c:v>Sensors Shipped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Q!$H$6:$K$6</c:f>
              <c:strCache>
                <c:ptCount val="4"/>
                <c:pt idx="0">
                  <c:v>FY25- Q1</c:v>
                </c:pt>
                <c:pt idx="1">
                  <c:v>FY25- Q2</c:v>
                </c:pt>
                <c:pt idx="2">
                  <c:v>FY25- Q3</c:v>
                </c:pt>
                <c:pt idx="3">
                  <c:v>FY25- Q4</c:v>
                </c:pt>
              </c:strCache>
            </c:strRef>
          </c:cat>
          <c:val>
            <c:numRef>
              <c:f>Q!$H$39:$K$39</c:f>
              <c:numCache>
                <c:formatCode>_(* #,##0_);_(* \(#,##0\);_(* "-"_);_(@_)</c:formatCode>
                <c:ptCount val="4"/>
                <c:pt idx="0">
                  <c:v>4700</c:v>
                </c:pt>
                <c:pt idx="1">
                  <c:v>5500</c:v>
                </c:pt>
                <c:pt idx="2">
                  <c:v>7200</c:v>
                </c:pt>
                <c:pt idx="3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6-4BFF-952A-D7FA1CA07284}"/>
            </c:ext>
          </c:extLst>
        </c:ser>
        <c:ser>
          <c:idx val="1"/>
          <c:order val="1"/>
          <c:tx>
            <c:strRef>
              <c:f>Q!$C$42</c:f>
              <c:strCache>
                <c:ptCount val="1"/>
                <c:pt idx="0">
                  <c:v>ASP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Q!$H$6:$K$6</c:f>
              <c:strCache>
                <c:ptCount val="4"/>
                <c:pt idx="0">
                  <c:v>FY25- Q1</c:v>
                </c:pt>
                <c:pt idx="1">
                  <c:v>FY25- Q2</c:v>
                </c:pt>
                <c:pt idx="2">
                  <c:v>FY25- Q3</c:v>
                </c:pt>
                <c:pt idx="3">
                  <c:v>FY25- Q4</c:v>
                </c:pt>
              </c:strCache>
            </c:strRef>
          </c:cat>
          <c:val>
            <c:numRef>
              <c:f>Q!$H$42:$K$42</c:f>
              <c:numCache>
                <c:formatCode>_([$$-409]* #,##0_);_([$$-409]* \(#,##0\);_([$$-409]* "-"??_);_(@_)</c:formatCode>
                <c:ptCount val="4"/>
                <c:pt idx="0">
                  <c:v>6942.978723404256</c:v>
                </c:pt>
                <c:pt idx="1">
                  <c:v>6372.545454545454</c:v>
                </c:pt>
                <c:pt idx="2">
                  <c:v>5489.583333333333</c:v>
                </c:pt>
                <c:pt idx="3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6-4BFF-952A-D7FA1CA0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996111"/>
        <c:axId val="1671309663"/>
      </c:barChart>
      <c:catAx>
        <c:axId val="150999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9663"/>
        <c:crosses val="autoZero"/>
        <c:auto val="1"/>
        <c:lblAlgn val="ctr"/>
        <c:lblOffset val="100"/>
        <c:noMultiLvlLbl val="0"/>
      </c:catAx>
      <c:valAx>
        <c:axId val="16713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9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Graphs!$J$33</c:f>
          <c:strCache>
            <c:ptCount val="1"/>
            <c:pt idx="0">
              <c:v>Sensors Shipped and ASP - Annual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Drivers!$C$8</c:f>
              <c:strCache>
                <c:ptCount val="1"/>
                <c:pt idx="0">
                  <c:v>Sensors shipped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Drivers!$F$3:$O$3</c:f>
              <c:numCache>
                <c:formatCode>"FY"\ 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Drivers!$F$8:$O$8</c:f>
              <c:numCache>
                <c:formatCode>_(* #,##0_);_(* \(#,##0\);_(* "-"_);_(@_)</c:formatCode>
                <c:ptCount val="10"/>
                <c:pt idx="0">
                  <c:v>6475</c:v>
                </c:pt>
                <c:pt idx="1">
                  <c:v>8650</c:v>
                </c:pt>
                <c:pt idx="2">
                  <c:v>13400</c:v>
                </c:pt>
                <c:pt idx="3">
                  <c:v>17300</c:v>
                </c:pt>
                <c:pt idx="4">
                  <c:v>25000</c:v>
                </c:pt>
                <c:pt idx="5">
                  <c:v>33750</c:v>
                </c:pt>
                <c:pt idx="6">
                  <c:v>47250</c:v>
                </c:pt>
                <c:pt idx="7">
                  <c:v>68512.5</c:v>
                </c:pt>
                <c:pt idx="8">
                  <c:v>92491.875</c:v>
                </c:pt>
                <c:pt idx="9">
                  <c:v>120239.4375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A-45EC-842E-2A397A91A946}"/>
            </c:ext>
          </c:extLst>
        </c:ser>
        <c:ser>
          <c:idx val="1"/>
          <c:order val="1"/>
          <c:tx>
            <c:strRef>
              <c:f>Drivers!$C$14</c:f>
              <c:strCache>
                <c:ptCount val="1"/>
                <c:pt idx="0">
                  <c:v>ASP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Drivers!$F$14:$O$14</c:f>
              <c:numCache>
                <c:formatCode>_("$"* #,##0_);_("$"* \(#,##0\);_("$"* "-"_);_(@_)</c:formatCode>
                <c:ptCount val="10"/>
                <c:pt idx="0">
                  <c:v>5185.7915057915061</c:v>
                </c:pt>
                <c:pt idx="1">
                  <c:v>4743.2369942196528</c:v>
                </c:pt>
                <c:pt idx="2">
                  <c:v>6214.8507462686566</c:v>
                </c:pt>
                <c:pt idx="3">
                  <c:v>6422.023121387283</c:v>
                </c:pt>
                <c:pt idx="4">
                  <c:v>6760</c:v>
                </c:pt>
                <c:pt idx="5">
                  <c:v>6895.2</c:v>
                </c:pt>
                <c:pt idx="6">
                  <c:v>7033.1040000000003</c:v>
                </c:pt>
                <c:pt idx="7">
                  <c:v>7103.4350400000003</c:v>
                </c:pt>
                <c:pt idx="8">
                  <c:v>6961.3663391999999</c:v>
                </c:pt>
                <c:pt idx="9">
                  <c:v>6822.1390124159998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A-45EC-842E-2A397A91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759567"/>
        <c:axId val="432760527"/>
      </c:barChart>
      <c:dateAx>
        <c:axId val="432759567"/>
        <c:scaling>
          <c:orientation val="minMax"/>
        </c:scaling>
        <c:delete val="0"/>
        <c:axPos val="b"/>
        <c:numFmt formatCode="&quot;FY&quot;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60527"/>
        <c:crosses val="autoZero"/>
        <c:auto val="1"/>
        <c:lblOffset val="100"/>
        <c:baseTimeUnit val="years"/>
      </c:dateAx>
      <c:valAx>
        <c:axId val="4327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Graphs!$V$2</c:f>
          <c:strCache>
            <c:ptCount val="1"/>
            <c:pt idx="0">
              <c:v>Revenue and EBITDA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Model!$C$69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Model!$G$67:$P$67</c:f>
              <c:numCache>
                <c:formatCode>"FY"\ 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Model!$G$69:$P$69</c:f>
              <c:numCache>
                <c:formatCode>_("$"* #,##0_);_("$"* \(#,##0\);_("$"* "-"_);_(@_)</c:formatCode>
                <c:ptCount val="10"/>
                <c:pt idx="0">
                  <c:v>33578</c:v>
                </c:pt>
                <c:pt idx="1">
                  <c:v>41029</c:v>
                </c:pt>
                <c:pt idx="2">
                  <c:v>83279</c:v>
                </c:pt>
                <c:pt idx="3">
                  <c:v>111101</c:v>
                </c:pt>
                <c:pt idx="4">
                  <c:v>169000</c:v>
                </c:pt>
                <c:pt idx="5">
                  <c:v>254788</c:v>
                </c:pt>
                <c:pt idx="6">
                  <c:v>365254.16399999999</c:v>
                </c:pt>
                <c:pt idx="7">
                  <c:v>535307.84317800007</c:v>
                </c:pt>
                <c:pt idx="8">
                  <c:v>712266.90027449396</c:v>
                </c:pt>
                <c:pt idx="9">
                  <c:v>912910.72114970523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49C5-9871-0048F4DD5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788384"/>
        <c:axId val="2114786944"/>
      </c:barChart>
      <c:scatterChart>
        <c:scatterStyle val="smoothMarker"/>
        <c:varyColors val="0"/>
        <c:ser>
          <c:idx val="1"/>
          <c:order val="1"/>
          <c:tx>
            <c:strRef>
              <c:f>Summary!$C$36</c:f>
              <c:strCache>
                <c:ptCount val="1"/>
                <c:pt idx="0">
                  <c:v>EBITDA: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xVal>
          <c:yVal>
            <c:numRef>
              <c:f>Summary!$G$36:$P$36</c:f>
              <c:numCache>
                <c:formatCode>_("$"* #,##0_);_("$"* \(#,##0\);_("$"* "-"_);_(@_)</c:formatCode>
                <c:ptCount val="10"/>
                <c:pt idx="0">
                  <c:v>-94233</c:v>
                </c:pt>
                <c:pt idx="1">
                  <c:v>-135967</c:v>
                </c:pt>
                <c:pt idx="2">
                  <c:v>-356044</c:v>
                </c:pt>
                <c:pt idx="3">
                  <c:v>-94341</c:v>
                </c:pt>
                <c:pt idx="4">
                  <c:v>-75152.107610999999</c:v>
                </c:pt>
                <c:pt idx="5">
                  <c:v>-49884.908329059988</c:v>
                </c:pt>
                <c:pt idx="6">
                  <c:v>-4939.6755949921935</c:v>
                </c:pt>
                <c:pt idx="7">
                  <c:v>63720.508987606278</c:v>
                </c:pt>
                <c:pt idx="8">
                  <c:v>135058.75949344863</c:v>
                </c:pt>
                <c:pt idx="9">
                  <c:v>215814.40017838162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CF-49C5-9871-0048F4DD5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981184"/>
        <c:axId val="2121425264"/>
      </c:scatterChart>
      <c:dateAx>
        <c:axId val="2114788384"/>
        <c:scaling>
          <c:orientation val="minMax"/>
        </c:scaling>
        <c:delete val="0"/>
        <c:axPos val="b"/>
        <c:numFmt formatCode="&quot;FY&quot;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86944"/>
        <c:crosses val="autoZero"/>
        <c:auto val="1"/>
        <c:lblOffset val="100"/>
        <c:baseTimeUnit val="years"/>
      </c:dateAx>
      <c:valAx>
        <c:axId val="211478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M" sourceLinked="0"/>
        <c:majorTickMark val="none"/>
        <c:minorTickMark val="none"/>
        <c:tickLblPos val="nextTo"/>
        <c:spPr>
          <a:noFill/>
          <a:ln>
            <a:solidFill>
              <a:schemeClr val="bg1">
                <a:alpha val="93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88384"/>
        <c:crosses val="autoZero"/>
        <c:crossBetween val="between"/>
      </c:valAx>
      <c:valAx>
        <c:axId val="2121425264"/>
        <c:scaling>
          <c:orientation val="minMax"/>
        </c:scaling>
        <c:delete val="0"/>
        <c:axPos val="r"/>
        <c:numFmt formatCode="0,\ \M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81184"/>
        <c:crosses val="max"/>
        <c:crossBetween val="midCat"/>
      </c:valAx>
      <c:valAx>
        <c:axId val="2013981184"/>
        <c:scaling>
          <c:orientation val="minMax"/>
        </c:scaling>
        <c:delete val="1"/>
        <c:axPos val="b"/>
        <c:numFmt formatCode="&quot;FY&quot;yy" sourceLinked="1"/>
        <c:majorTickMark val="out"/>
        <c:minorTickMark val="none"/>
        <c:tickLblPos val="nextTo"/>
        <c:crossAx val="2121425264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Graphs!$J$52</c:f>
          <c:strCache>
            <c:ptCount val="1"/>
            <c:pt idx="0">
              <c:v>Revenue By Segment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Q!$C$10</c:f>
              <c:strCache>
                <c:ptCount val="1"/>
                <c:pt idx="0">
                  <c:v>Product Revenue: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Q!$H$6:$K$6</c:f>
              <c:strCache>
                <c:ptCount val="4"/>
                <c:pt idx="0">
                  <c:v>FY25- Q1</c:v>
                </c:pt>
                <c:pt idx="1">
                  <c:v>FY25- Q2</c:v>
                </c:pt>
                <c:pt idx="2">
                  <c:v>FY25- Q3</c:v>
                </c:pt>
                <c:pt idx="3">
                  <c:v>FY25- Q4</c:v>
                </c:pt>
              </c:strCache>
            </c:strRef>
          </c:cat>
          <c:val>
            <c:numRef>
              <c:f>Q!$H$10:$K$10</c:f>
              <c:numCache>
                <c:formatCode>_([$$-409]* #,##0_);_([$$-409]* \(#,##0\);_([$$-409]* "-"??_);_(@_)</c:formatCode>
                <c:ptCount val="4"/>
                <c:pt idx="0">
                  <c:v>32632</c:v>
                </c:pt>
                <c:pt idx="1">
                  <c:v>35049</c:v>
                </c:pt>
                <c:pt idx="2">
                  <c:v>39525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B-4001-A314-E30FBB8063CC}"/>
            </c:ext>
          </c:extLst>
        </c:ser>
        <c:ser>
          <c:idx val="1"/>
          <c:order val="1"/>
          <c:tx>
            <c:strRef>
              <c:f>Q!$C$8</c:f>
              <c:strCache>
                <c:ptCount val="1"/>
                <c:pt idx="0">
                  <c:v>Royalty Revenue: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Q!$H$8:$K$8</c:f>
              <c:numCache>
                <c:formatCode>_([$$-409]* #,##0_);_([$$-409]* \(#,##0\);_([$$-409]*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B-4001-A314-E30FBB80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3546832"/>
        <c:axId val="1053547792"/>
      </c:barChart>
      <c:catAx>
        <c:axId val="10535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47792"/>
        <c:crosses val="autoZero"/>
        <c:auto val="1"/>
        <c:lblAlgn val="ctr"/>
        <c:lblOffset val="100"/>
        <c:noMultiLvlLbl val="0"/>
      </c:catAx>
      <c:valAx>
        <c:axId val="10535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4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919374</xdr:colOff>
      <xdr:row>2</xdr:row>
      <xdr:rowOff>133351</xdr:rowOff>
    </xdr:from>
    <xdr:to>
      <xdr:col>2</xdr:col>
      <xdr:colOff>1641733</xdr:colOff>
      <xdr:row>10</xdr:row>
      <xdr:rowOff>95251</xdr:rowOff>
    </xdr:to>
    <xdr:pic>
      <xdr:nvPicPr>
        <xdr:cNvPr id="3" name="Picture 2" descr="Ouster (company) - Wikipedia">
          <a:extLst>
            <a:ext uri="{FF2B5EF4-FFF2-40B4-BE49-F238E27FC236}">
              <a16:creationId xmlns:a16="http://schemas.microsoft.com/office/drawing/2014/main" id="{94580691-A5B4-092C-C5A7-167470337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974" y="552451"/>
          <a:ext cx="2411459" cy="15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0</xdr:row>
      <xdr:rowOff>158750</xdr:rowOff>
    </xdr:from>
    <xdr:to>
      <xdr:col>7</xdr:col>
      <xdr:colOff>441325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EA708-F3D1-5318-40D0-C938A88D0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130175</xdr:colOff>
      <xdr:row>16</xdr:row>
      <xdr:rowOff>38100</xdr:rowOff>
    </xdr:from>
    <xdr:to>
      <xdr:col>7</xdr:col>
      <xdr:colOff>434975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B546E-6E50-1345-E715-F30BEE645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305252</xdr:colOff>
      <xdr:row>16</xdr:row>
      <xdr:rowOff>8266</xdr:rowOff>
    </xdr:from>
    <xdr:to>
      <xdr:col>20</xdr:col>
      <xdr:colOff>5290</xdr:colOff>
      <xdr:row>30</xdr:row>
      <xdr:rowOff>170644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3289BA-F2D2-754E-83D6-E754DD814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299987</xdr:colOff>
      <xdr:row>31</xdr:row>
      <xdr:rowOff>62189</xdr:rowOff>
    </xdr:from>
    <xdr:to>
      <xdr:col>20</xdr:col>
      <xdr:colOff>3654</xdr:colOff>
      <xdr:row>46</xdr:row>
      <xdr:rowOff>27265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415B8A-63CF-A2FD-7C36-AF47D9C8A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110873</xdr:colOff>
      <xdr:row>31</xdr:row>
      <xdr:rowOff>110065</xdr:rowOff>
    </xdr:from>
    <xdr:to>
      <xdr:col>7</xdr:col>
      <xdr:colOff>446518</xdr:colOff>
      <xdr:row>46</xdr:row>
      <xdr:rowOff>131837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0CF4D2-12D9-ECC0-FCD6-48A697DFF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299356</xdr:colOff>
      <xdr:row>0</xdr:row>
      <xdr:rowOff>110067</xdr:rowOff>
    </xdr:from>
    <xdr:to>
      <xdr:col>20</xdr:col>
      <xdr:colOff>10078</xdr:colOff>
      <xdr:row>15</xdr:row>
      <xdr:rowOff>131838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F9AD08-FF68-6956-39D2-6CBA2A44F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117929</xdr:colOff>
      <xdr:row>47</xdr:row>
      <xdr:rowOff>39512</xdr:rowOff>
    </xdr:from>
    <xdr:to>
      <xdr:col>7</xdr:col>
      <xdr:colOff>456596</xdr:colOff>
      <xdr:row>62</xdr:row>
      <xdr:rowOff>61284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B4AB23-203C-0F40-F99B-32BDA2E02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063f627c2eb15/Documents/AWR/public/models/ACMRMODEL.xlsx" TargetMode="External"/><Relationship Id="rId1" Type="http://schemas.openxmlformats.org/officeDocument/2006/relationships/externalLinkPath" Target="AWR/public/models/ACMR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063f627c2eb15/Documents/BFLYMODEL.xlsx" TargetMode="External"/><Relationship Id="rId1" Type="http://schemas.openxmlformats.org/officeDocument/2006/relationships/externalLinkPath" Target="BFLY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ummary"/>
      <sheetName val="Model"/>
      <sheetName val="Drivers"/>
      <sheetName val="DCF"/>
      <sheetName val="WACC"/>
      <sheetName val="PubComps"/>
      <sheetName val="Valsum"/>
      <sheetName val="Valgraph"/>
      <sheetName val="PubComps_data"/>
      <sheetName val="MAComps"/>
      <sheetName val="PPT"/>
    </sheetNames>
    <sheetDataSet>
      <sheetData sheetId="0"/>
      <sheetData sheetId="1"/>
      <sheetData sheetId="2">
        <row r="17">
          <cell r="H17">
            <v>44561</v>
          </cell>
          <cell r="I17">
            <v>44926</v>
          </cell>
          <cell r="J17">
            <v>45291</v>
          </cell>
          <cell r="K17">
            <v>45657</v>
          </cell>
          <cell r="L17">
            <v>46022</v>
          </cell>
          <cell r="M17">
            <v>46387</v>
          </cell>
          <cell r="N17">
            <v>46752</v>
          </cell>
          <cell r="O17">
            <v>47118</v>
          </cell>
          <cell r="P17">
            <v>47483</v>
          </cell>
        </row>
      </sheetData>
      <sheetData sheetId="3">
        <row r="76">
          <cell r="K76">
            <v>3.9336650082918742E-2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ummary"/>
      <sheetName val="Graphs"/>
      <sheetName val="Q3"/>
      <sheetName val="Model"/>
      <sheetName val="Drivers"/>
      <sheetName val="DCF"/>
      <sheetName val="WACC"/>
      <sheetName val="Valsum"/>
      <sheetName val="ValGraph"/>
      <sheetName val="PubComps"/>
      <sheetName val="PubComps_Data"/>
      <sheetName val="MAComps"/>
      <sheetName val="Sample"/>
      <sheetName val="PPT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773.03309999999999</v>
          </cell>
        </row>
      </sheetData>
      <sheetData sheetId="7"/>
      <sheetData sheetId="8"/>
      <sheetData sheetId="9"/>
      <sheetData sheetId="10">
        <row r="40">
          <cell r="S40" t="str">
            <v>NM</v>
          </cell>
        </row>
      </sheetData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5450-D1C3-43E7-A578-ED1230BEE9C1}">
  <dimension ref="B2:F33"/>
  <sheetViews>
    <sheetView showGridLines="0" topLeftCell="A3" workbookViewId="0">
      <selection activeCell="D14" sqref="D14"/>
    </sheetView>
  </sheetViews>
  <sheetFormatPr defaultRowHeight="14.5"/>
  <cols>
    <col min="2" max="2" width="24.1796875" customWidth="1"/>
    <col min="3" max="3" width="53" bestFit="1" customWidth="1"/>
    <col min="4" max="4" width="12.54296875" bestFit="1" customWidth="1"/>
  </cols>
  <sheetData>
    <row r="2" spans="2:6" ht="18.5">
      <c r="B2" s="147" t="str">
        <f>Company_Name&amp;" - Operating Model and Valuation - Cover Page and Navigation"</f>
        <v>Ouster, Inc. - Operating Model and Valuation - Cover Page and Navigation</v>
      </c>
      <c r="C2" s="451"/>
      <c r="D2" s="451"/>
      <c r="E2" s="451"/>
      <c r="F2" s="451"/>
    </row>
    <row r="3" spans="2:6" ht="16">
      <c r="B3" s="451"/>
      <c r="C3" s="451"/>
      <c r="D3" s="451"/>
      <c r="E3" s="451"/>
      <c r="F3" s="451"/>
    </row>
    <row r="4" spans="2:6" ht="16">
      <c r="C4" s="451"/>
      <c r="D4" s="451"/>
      <c r="E4" s="451"/>
      <c r="F4" s="451"/>
    </row>
    <row r="5" spans="2:6" ht="16">
      <c r="B5" s="451"/>
      <c r="D5" s="451"/>
      <c r="E5" s="451"/>
      <c r="F5" s="451"/>
    </row>
    <row r="6" spans="2:6" ht="16">
      <c r="B6" s="451"/>
      <c r="C6" s="451"/>
      <c r="D6" s="451"/>
      <c r="E6" s="451"/>
      <c r="F6" s="451"/>
    </row>
    <row r="7" spans="2:6" ht="16">
      <c r="B7" s="451"/>
      <c r="C7" s="451"/>
      <c r="D7" s="451"/>
      <c r="E7" s="451"/>
      <c r="F7" s="451"/>
    </row>
    <row r="8" spans="2:6" ht="16">
      <c r="B8" s="451"/>
      <c r="D8" s="451"/>
      <c r="E8" s="451"/>
      <c r="F8" s="451"/>
    </row>
    <row r="9" spans="2:6" ht="16">
      <c r="B9" s="451"/>
      <c r="C9" s="228"/>
      <c r="D9" s="451"/>
      <c r="E9" s="451"/>
      <c r="F9" s="451"/>
    </row>
    <row r="10" spans="2:6" ht="16">
      <c r="B10" s="451"/>
      <c r="C10" s="451"/>
      <c r="D10" s="451"/>
      <c r="E10" s="451"/>
      <c r="F10" s="451"/>
    </row>
    <row r="11" spans="2:6" ht="16">
      <c r="B11" s="451"/>
      <c r="C11" s="451"/>
      <c r="D11" s="451"/>
      <c r="E11" s="451"/>
      <c r="F11" s="451"/>
    </row>
    <row r="12" spans="2:6" ht="16">
      <c r="B12" s="451"/>
      <c r="C12" s="451" t="s">
        <v>113</v>
      </c>
      <c r="D12" s="452" t="str">
        <f>Company_Name</f>
        <v>Ouster, Inc.</v>
      </c>
      <c r="E12" s="451"/>
      <c r="F12" s="451"/>
    </row>
    <row r="13" spans="2:6" ht="16">
      <c r="B13" s="451"/>
      <c r="C13" s="451" t="s">
        <v>432</v>
      </c>
      <c r="D13" s="451" t="s">
        <v>433</v>
      </c>
      <c r="E13" s="451"/>
      <c r="F13" s="451"/>
    </row>
    <row r="14" spans="2:6" ht="16">
      <c r="B14" s="451"/>
      <c r="C14" s="451" t="s">
        <v>434</v>
      </c>
      <c r="D14" s="451" t="s">
        <v>466</v>
      </c>
      <c r="E14" s="451"/>
      <c r="F14" s="451"/>
    </row>
    <row r="15" spans="2:6" ht="16">
      <c r="B15" s="451"/>
      <c r="C15" s="451"/>
      <c r="D15" s="451"/>
      <c r="E15" s="451"/>
      <c r="F15" s="451"/>
    </row>
    <row r="16" spans="2:6" ht="16">
      <c r="B16" s="451"/>
      <c r="C16" s="451" t="s">
        <v>435</v>
      </c>
      <c r="D16" s="451" t="str">
        <f ca="1">MID(CELL("filename"),SEARCH("[",CELL("filename"))+1, SEARCH("]",CELL("filename"))-SEARCH("[",CELL("filename"))-1)</f>
        <v>OUSTMODEL.xlsx</v>
      </c>
      <c r="E16" s="451"/>
      <c r="F16" s="451"/>
    </row>
    <row r="17" spans="2:6" ht="16">
      <c r="B17" s="451"/>
      <c r="C17" s="451" t="s">
        <v>436</v>
      </c>
      <c r="D17" s="453">
        <f>Valuation_Date</f>
        <v>46062</v>
      </c>
      <c r="E17" s="451"/>
      <c r="F17" s="451"/>
    </row>
    <row r="18" spans="2:6" ht="16">
      <c r="B18" s="451"/>
      <c r="C18" s="451"/>
      <c r="D18" s="451"/>
      <c r="E18" s="451"/>
      <c r="F18" s="451"/>
    </row>
    <row r="19" spans="2:6" ht="16">
      <c r="B19" s="451"/>
      <c r="C19" s="451" t="s">
        <v>437</v>
      </c>
      <c r="D19" s="454"/>
      <c r="E19" s="451"/>
      <c r="F19" s="451"/>
    </row>
    <row r="20" spans="2:6" ht="16">
      <c r="B20" s="451"/>
      <c r="C20" s="451" t="s">
        <v>438</v>
      </c>
      <c r="D20" s="455"/>
      <c r="E20" s="451"/>
      <c r="F20" s="451"/>
    </row>
    <row r="21" spans="2:6" ht="16">
      <c r="B21" s="451"/>
      <c r="C21" s="451" t="s">
        <v>439</v>
      </c>
      <c r="D21" s="456"/>
      <c r="E21" s="451"/>
      <c r="F21" s="451"/>
    </row>
    <row r="22" spans="2:6" ht="16">
      <c r="B22" s="451"/>
      <c r="C22" s="451"/>
      <c r="D22" s="451"/>
      <c r="E22" s="451"/>
      <c r="F22" s="451"/>
    </row>
    <row r="23" spans="2:6" ht="16">
      <c r="B23" s="457" t="s">
        <v>130</v>
      </c>
      <c r="C23" s="458" t="s">
        <v>440</v>
      </c>
      <c r="D23" s="458" t="s">
        <v>441</v>
      </c>
      <c r="E23" s="458"/>
      <c r="F23" s="458"/>
    </row>
    <row r="24" spans="2:6" ht="16">
      <c r="B24" s="459">
        <f ca="1">_xlfn.SHEET(INDIRECT(D24&amp;"!A1"))</f>
        <v>2</v>
      </c>
      <c r="C24" s="451" t="s">
        <v>442</v>
      </c>
      <c r="D24" s="460" t="s">
        <v>443</v>
      </c>
      <c r="E24" s="451"/>
      <c r="F24" s="451"/>
    </row>
    <row r="25" spans="2:6" ht="16">
      <c r="B25" s="459">
        <f t="shared" ref="B25:B26" ca="1" si="0">_xlfn.SHEET(INDIRECT(D25&amp;"!A1"))</f>
        <v>3</v>
      </c>
      <c r="C25" s="451" t="s">
        <v>458</v>
      </c>
      <c r="D25" s="460" t="s">
        <v>458</v>
      </c>
      <c r="E25" s="451"/>
      <c r="F25" s="451"/>
    </row>
    <row r="26" spans="2:6" ht="16">
      <c r="B26" s="459">
        <f t="shared" ca="1" si="0"/>
        <v>4</v>
      </c>
      <c r="C26" s="451" t="s">
        <v>460</v>
      </c>
      <c r="D26" s="460" t="s">
        <v>459</v>
      </c>
      <c r="E26" s="451"/>
      <c r="F26" s="451"/>
    </row>
    <row r="27" spans="2:6" ht="16">
      <c r="B27" s="459">
        <f ca="1">_xlfn.SHEET(INDIRECT(D27&amp;"!A1"))</f>
        <v>5</v>
      </c>
      <c r="C27" s="451" t="s">
        <v>444</v>
      </c>
      <c r="D27" s="460" t="s">
        <v>445</v>
      </c>
      <c r="E27" s="451"/>
      <c r="F27" s="451"/>
    </row>
    <row r="28" spans="2:6" ht="16">
      <c r="B28" s="459">
        <f ca="1">_xlfn.SHEET(INDIRECT(D28&amp;"!A1"))</f>
        <v>6</v>
      </c>
      <c r="C28" s="451" t="s">
        <v>446</v>
      </c>
      <c r="D28" s="460" t="s">
        <v>447</v>
      </c>
      <c r="E28" s="451"/>
      <c r="F28" s="451"/>
    </row>
    <row r="29" spans="2:6" ht="16">
      <c r="B29" s="459">
        <f t="shared" ref="B29:B33" ca="1" si="1">_xlfn.SHEET(INDIRECT(D29&amp;"!A1"))</f>
        <v>7</v>
      </c>
      <c r="C29" s="451" t="s">
        <v>448</v>
      </c>
      <c r="D29" s="460" t="s">
        <v>449</v>
      </c>
      <c r="E29" s="451"/>
      <c r="F29" s="451"/>
    </row>
    <row r="30" spans="2:6" ht="16">
      <c r="B30" s="459">
        <f t="shared" ca="1" si="1"/>
        <v>8</v>
      </c>
      <c r="C30" s="451" t="s">
        <v>450</v>
      </c>
      <c r="D30" s="460" t="s">
        <v>451</v>
      </c>
      <c r="E30" s="451"/>
      <c r="F30" s="451"/>
    </row>
    <row r="31" spans="2:6" ht="16">
      <c r="B31" s="459">
        <f t="shared" ca="1" si="1"/>
        <v>9</v>
      </c>
      <c r="C31" s="451" t="s">
        <v>452</v>
      </c>
      <c r="D31" s="460" t="s">
        <v>453</v>
      </c>
      <c r="E31" s="451"/>
      <c r="F31" s="451"/>
    </row>
    <row r="32" spans="2:6" ht="16">
      <c r="B32" s="459">
        <f t="shared" ca="1" si="1"/>
        <v>10</v>
      </c>
      <c r="C32" s="451" t="s">
        <v>454</v>
      </c>
      <c r="D32" s="460" t="s">
        <v>455</v>
      </c>
      <c r="E32" s="451"/>
      <c r="F32" s="451"/>
    </row>
    <row r="33" spans="2:6" ht="16">
      <c r="B33" s="459">
        <f t="shared" ca="1" si="1"/>
        <v>11</v>
      </c>
      <c r="C33" s="451" t="s">
        <v>456</v>
      </c>
      <c r="D33" s="460" t="s">
        <v>457</v>
      </c>
      <c r="E33" s="451"/>
      <c r="F33" s="451"/>
    </row>
  </sheetData>
  <hyperlinks>
    <hyperlink ref="D24" location="Summary!A1" display="Summary" xr:uid="{F47A8CC8-724B-4401-AA9D-55FD4A2947A1}"/>
    <hyperlink ref="D27" location="WMT_Model!A1" display="WMT_Model" xr:uid="{B001D44E-3ED7-4C74-BFB6-9A71228599D6}"/>
    <hyperlink ref="D29" location="DCF!A1" display="DCF" xr:uid="{43D4DACC-2C89-4744-AF9C-BAF246754A66}"/>
    <hyperlink ref="D30" location="WACC!A1" display="WACC" xr:uid="{EBAACD89-16AA-44BD-BA6D-53F52CBFDAD8}"/>
    <hyperlink ref="D31" location="Public_Comps!A1" display="Public_Comps" xr:uid="{895800C0-B043-4F29-805A-9CE5F283FAA4}"/>
    <hyperlink ref="D32" location="Public_Comps_Data!A1" display="Public_Comps_Data" xr:uid="{86CE583C-5B20-4BBC-AAEB-2C8B53D4A47B}"/>
    <hyperlink ref="D33" location="MA_Comps!A1" display="MA_Comps" xr:uid="{13F9C5CC-87CC-4CED-B1D1-79A5ED79C33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0BBE-F2B6-4EE0-99F0-40F2BFF294A2}">
  <dimension ref="C3:R52"/>
  <sheetViews>
    <sheetView showGridLines="0" topLeftCell="C15" zoomScale="88" workbookViewId="0">
      <selection activeCell="G37" sqref="G37"/>
    </sheetView>
  </sheetViews>
  <sheetFormatPr defaultRowHeight="14.5"/>
  <cols>
    <col min="7" max="7" width="10.6328125" bestFit="1" customWidth="1"/>
    <col min="8" max="10" width="11.36328125" bestFit="1" customWidth="1"/>
    <col min="11" max="16" width="10.6328125" bestFit="1" customWidth="1"/>
    <col min="18" max="18" width="9.453125" bestFit="1" customWidth="1"/>
  </cols>
  <sheetData>
    <row r="3" spans="3:18" ht="18.5">
      <c r="C3" s="482" t="str">
        <f>Company_Name&amp;" - Summary of Operating Model and Valuation - "&amp;Scenario&amp;" Case"</f>
        <v>Ouster, Inc. - Summary of Operating Model and Valuation - Base Case</v>
      </c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</row>
    <row r="4" spans="3:18" ht="16">
      <c r="C4" s="238" t="s">
        <v>324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</row>
    <row r="5" spans="3:18" ht="16">
      <c r="C5" s="451"/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</row>
    <row r="6" spans="3:18" ht="16">
      <c r="C6" s="301"/>
      <c r="D6" s="301"/>
      <c r="E6" s="302"/>
      <c r="F6" s="302"/>
      <c r="G6" s="483" t="s">
        <v>475</v>
      </c>
      <c r="H6" s="483"/>
      <c r="I6" s="483"/>
      <c r="J6" s="483"/>
      <c r="K6" s="483" t="s">
        <v>111</v>
      </c>
      <c r="L6" s="484"/>
      <c r="M6" s="483"/>
      <c r="N6" s="483"/>
      <c r="O6" s="483"/>
      <c r="P6" s="483"/>
      <c r="Q6" s="485"/>
      <c r="R6" s="486" t="s">
        <v>369</v>
      </c>
    </row>
    <row r="7" spans="3:18" ht="16">
      <c r="C7" s="8" t="s">
        <v>476</v>
      </c>
      <c r="D7" s="8"/>
      <c r="E7" s="487" t="s">
        <v>112</v>
      </c>
      <c r="F7" s="487"/>
      <c r="G7" s="303">
        <f>[1]Model!H17</f>
        <v>44561</v>
      </c>
      <c r="H7" s="303">
        <f>[1]Model!I17</f>
        <v>44926</v>
      </c>
      <c r="I7" s="303">
        <f>[1]Model!J17</f>
        <v>45291</v>
      </c>
      <c r="J7" s="303">
        <f>[1]Model!K17</f>
        <v>45657</v>
      </c>
      <c r="K7" s="303">
        <f>[1]Model!L17</f>
        <v>46022</v>
      </c>
      <c r="L7" s="303">
        <f>[1]Model!M17</f>
        <v>46387</v>
      </c>
      <c r="M7" s="303">
        <f>[1]Model!N17</f>
        <v>46752</v>
      </c>
      <c r="N7" s="303">
        <f>[1]Model!O17</f>
        <v>47118</v>
      </c>
      <c r="O7" s="303">
        <f>[1]Model!P17</f>
        <v>47483</v>
      </c>
      <c r="P7" s="303">
        <f>EOMONTH(O7,12)</f>
        <v>47848</v>
      </c>
      <c r="Q7" s="485"/>
      <c r="R7" s="303" t="s">
        <v>477</v>
      </c>
    </row>
    <row r="8" spans="3:18" ht="16">
      <c r="C8" s="488" t="s">
        <v>478</v>
      </c>
      <c r="D8" s="488"/>
      <c r="E8" s="489"/>
      <c r="F8" s="489"/>
      <c r="G8" s="489"/>
      <c r="H8" s="490"/>
      <c r="I8" s="490"/>
      <c r="J8" s="490"/>
      <c r="K8" s="490"/>
      <c r="L8" s="490"/>
      <c r="M8" s="490"/>
      <c r="N8" s="490"/>
      <c r="O8" s="490"/>
      <c r="P8" s="490"/>
      <c r="Q8" s="485"/>
      <c r="R8" s="490"/>
    </row>
    <row r="9" spans="3:18" ht="16">
      <c r="G9" s="491"/>
      <c r="H9" s="491"/>
      <c r="I9" s="491"/>
      <c r="J9" s="491"/>
      <c r="K9" s="491"/>
      <c r="L9" s="491"/>
      <c r="M9" s="491"/>
      <c r="N9" s="491"/>
      <c r="O9" s="491"/>
      <c r="P9" s="491"/>
      <c r="Q9" s="451"/>
    </row>
    <row r="10" spans="3:18" ht="16">
      <c r="C10" s="492" t="s">
        <v>0</v>
      </c>
      <c r="E10" s="523" t="s">
        <v>155</v>
      </c>
      <c r="F10" s="493"/>
      <c r="G10" s="514">
        <f>Drivers!F6</f>
        <v>33578</v>
      </c>
      <c r="H10" s="514">
        <f>Drivers!G6</f>
        <v>41029</v>
      </c>
      <c r="I10" s="514">
        <f>Drivers!H6</f>
        <v>83279</v>
      </c>
      <c r="J10" s="514">
        <f>Drivers!I6</f>
        <v>111101</v>
      </c>
      <c r="K10" s="514">
        <f>Drivers!J6</f>
        <v>169000</v>
      </c>
      <c r="L10" s="514">
        <f>Drivers!K6</f>
        <v>254788</v>
      </c>
      <c r="M10" s="514">
        <f>Drivers!L6</f>
        <v>365254.16399999999</v>
      </c>
      <c r="N10" s="514">
        <f>Drivers!M6</f>
        <v>535307.84317800007</v>
      </c>
      <c r="O10" s="514">
        <f>Drivers!N6</f>
        <v>712266.90027449396</v>
      </c>
      <c r="P10" s="514">
        <f>Drivers!O6</f>
        <v>912910.72114970523</v>
      </c>
      <c r="Q10" s="451"/>
      <c r="R10" s="495">
        <f>(O10/J10)^(1/YEARFRAC(J$7,O$7,))-1</f>
        <v>0.45005661532227936</v>
      </c>
    </row>
    <row r="11" spans="3:18" ht="16">
      <c r="C11" s="492"/>
      <c r="E11" s="493"/>
      <c r="F11" s="493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51"/>
      <c r="R11" s="495"/>
    </row>
    <row r="12" spans="3:18" ht="16">
      <c r="C12" s="492" t="s">
        <v>346</v>
      </c>
      <c r="E12" s="523" t="s">
        <v>130</v>
      </c>
      <c r="F12" s="493"/>
      <c r="G12" s="515">
        <f>Drivers!F8</f>
        <v>6475</v>
      </c>
      <c r="H12" s="515">
        <f>Drivers!G8</f>
        <v>8650</v>
      </c>
      <c r="I12" s="515">
        <f>Drivers!H8</f>
        <v>13400</v>
      </c>
      <c r="J12" s="515">
        <f>Drivers!I8</f>
        <v>17300</v>
      </c>
      <c r="K12" s="515">
        <f>Drivers!J8</f>
        <v>25000</v>
      </c>
      <c r="L12" s="515">
        <f>Drivers!K8</f>
        <v>33750</v>
      </c>
      <c r="M12" s="515">
        <f>Drivers!L8</f>
        <v>47250</v>
      </c>
      <c r="N12" s="515">
        <f>Drivers!M8</f>
        <v>68512.5</v>
      </c>
      <c r="O12" s="515">
        <f>Drivers!N8</f>
        <v>92491.875</v>
      </c>
      <c r="P12" s="515">
        <f>Drivers!O8</f>
        <v>120239.4375</v>
      </c>
      <c r="Q12" s="451"/>
      <c r="R12" s="495"/>
    </row>
    <row r="13" spans="3:18" ht="16">
      <c r="C13" s="492"/>
      <c r="E13" s="523"/>
      <c r="F13" s="493"/>
      <c r="G13" s="496"/>
      <c r="H13" s="496"/>
      <c r="I13" s="496"/>
      <c r="J13" s="496"/>
      <c r="K13" s="496"/>
      <c r="L13" s="496"/>
      <c r="M13" s="496"/>
      <c r="N13" s="496"/>
      <c r="O13" s="497"/>
      <c r="P13" s="497"/>
      <c r="Q13" s="451"/>
      <c r="R13" s="495"/>
    </row>
    <row r="14" spans="3:18" ht="16">
      <c r="C14" s="504"/>
      <c r="D14" s="505"/>
      <c r="E14" s="505"/>
      <c r="F14" s="505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451"/>
      <c r="R14" s="451"/>
    </row>
    <row r="15" spans="3:18" ht="16">
      <c r="C15" s="498" t="s">
        <v>291</v>
      </c>
      <c r="D15" s="499"/>
      <c r="E15" s="523" t="s">
        <v>155</v>
      </c>
      <c r="F15" s="493"/>
      <c r="G15" s="500">
        <f>Model!G72</f>
        <v>9086</v>
      </c>
      <c r="H15" s="500">
        <f>Model!H72</f>
        <v>10930</v>
      </c>
      <c r="I15" s="500">
        <f>Model!I72</f>
        <v>8314</v>
      </c>
      <c r="J15" s="500">
        <f>Model!J72</f>
        <v>40460</v>
      </c>
      <c r="K15" s="500">
        <f>Model!K72</f>
        <v>82810</v>
      </c>
      <c r="L15" s="500">
        <f>Model!L72</f>
        <v>101915.20000000001</v>
      </c>
      <c r="M15" s="500">
        <f>Model!M72</f>
        <v>146101.66560000001</v>
      </c>
      <c r="N15" s="500">
        <f>Model!N72</f>
        <v>214123.13727120002</v>
      </c>
      <c r="O15" s="500">
        <f>Model!O72</f>
        <v>284906.76010979759</v>
      </c>
      <c r="P15" s="500">
        <f>Model!P72</f>
        <v>365164.28845988214</v>
      </c>
      <c r="Q15" s="451"/>
      <c r="R15" s="495">
        <f>(O15/J15)^(1/YEARFRAC(J$7,O$7,))-1</f>
        <v>0.4775268275069382</v>
      </c>
    </row>
    <row r="16" spans="3:18" ht="16">
      <c r="C16" s="501" t="s">
        <v>479</v>
      </c>
      <c r="D16" s="502"/>
      <c r="E16" s="493" t="s">
        <v>125</v>
      </c>
      <c r="F16" s="493"/>
      <c r="G16" s="503">
        <f>G15/G10</f>
        <v>0.27059384120555124</v>
      </c>
      <c r="H16" s="503">
        <f t="shared" ref="H16:P16" si="0">H15/H10</f>
        <v>0.2663969387506398</v>
      </c>
      <c r="I16" s="503">
        <f t="shared" si="0"/>
        <v>9.9833091175446392E-2</v>
      </c>
      <c r="J16" s="503">
        <f t="shared" si="0"/>
        <v>0.36417313975571775</v>
      </c>
      <c r="K16" s="503">
        <f t="shared" si="0"/>
        <v>0.49</v>
      </c>
      <c r="L16" s="503">
        <f t="shared" si="0"/>
        <v>0.4</v>
      </c>
      <c r="M16" s="503">
        <f t="shared" si="0"/>
        <v>0.4</v>
      </c>
      <c r="N16" s="503">
        <f t="shared" si="0"/>
        <v>0.39999999999999997</v>
      </c>
      <c r="O16" s="503">
        <f t="shared" si="0"/>
        <v>0.4</v>
      </c>
      <c r="P16" s="503">
        <f t="shared" si="0"/>
        <v>0.40000000000000008</v>
      </c>
      <c r="Q16" s="451"/>
      <c r="R16" s="451"/>
    </row>
    <row r="17" spans="3:18" ht="16">
      <c r="C17" s="504"/>
      <c r="D17" s="505"/>
      <c r="E17" s="505"/>
      <c r="F17" s="505"/>
      <c r="G17" s="500"/>
      <c r="H17" s="500"/>
      <c r="I17" s="500"/>
      <c r="J17" s="500"/>
      <c r="K17" s="500"/>
      <c r="L17" s="500"/>
      <c r="M17" s="500"/>
      <c r="N17" s="500"/>
      <c r="O17" s="500"/>
      <c r="P17" s="500"/>
      <c r="Q17" s="451"/>
      <c r="R17" s="451"/>
    </row>
    <row r="18" spans="3:18" ht="16">
      <c r="C18" s="498" t="s">
        <v>493</v>
      </c>
      <c r="D18" s="505"/>
      <c r="E18" s="523" t="s">
        <v>155</v>
      </c>
      <c r="F18" s="505"/>
      <c r="G18" s="500">
        <f>-Model!G79</f>
        <v>108796</v>
      </c>
      <c r="H18" s="500">
        <f>-Model!H79</f>
        <v>156353</v>
      </c>
      <c r="I18" s="500">
        <f>-Model!I79</f>
        <v>381506</v>
      </c>
      <c r="J18" s="500">
        <f>-Model!J79</f>
        <v>144637</v>
      </c>
      <c r="K18" s="500">
        <f>-Model!K79</f>
        <v>160207.64199999999</v>
      </c>
      <c r="L18" s="500">
        <f>-Model!L79</f>
        <v>155000</v>
      </c>
      <c r="M18" s="500">
        <f>-Model!M79</f>
        <v>155000</v>
      </c>
      <c r="N18" s="500">
        <f>-Model!N79</f>
        <v>155000</v>
      </c>
      <c r="O18" s="500">
        <f>-Model!O79</f>
        <v>155000</v>
      </c>
      <c r="P18" s="500">
        <f>-Model!P79</f>
        <v>155000</v>
      </c>
      <c r="Q18" s="451"/>
      <c r="R18" s="451"/>
    </row>
    <row r="19" spans="3:18" ht="16">
      <c r="C19" s="504"/>
      <c r="D19" s="505"/>
      <c r="E19" s="505"/>
      <c r="F19" s="505"/>
      <c r="G19" s="500"/>
      <c r="H19" s="500"/>
      <c r="I19" s="500"/>
      <c r="J19" s="500"/>
      <c r="K19" s="500"/>
      <c r="L19" s="500"/>
      <c r="M19" s="500"/>
      <c r="N19" s="500"/>
      <c r="O19" s="500"/>
      <c r="P19" s="500"/>
      <c r="Q19" s="451"/>
      <c r="R19" s="451"/>
    </row>
    <row r="20" spans="3:18" ht="16">
      <c r="C20" s="498" t="s">
        <v>494</v>
      </c>
      <c r="D20" s="505"/>
      <c r="E20" s="523" t="s">
        <v>155</v>
      </c>
      <c r="F20" s="505"/>
      <c r="G20" s="500">
        <f>Model!G81</f>
        <v>-99710</v>
      </c>
      <c r="H20" s="500">
        <f>Model!H81</f>
        <v>-145423</v>
      </c>
      <c r="I20" s="500">
        <f>Model!I81</f>
        <v>-373192</v>
      </c>
      <c r="J20" s="500">
        <f>Model!J81</f>
        <v>-104177</v>
      </c>
      <c r="K20" s="500">
        <f>Model!K81</f>
        <v>-77397.641999999993</v>
      </c>
      <c r="L20" s="500">
        <f>Model!L81</f>
        <v>-53084.799999999988</v>
      </c>
      <c r="M20" s="500">
        <f>Model!M81</f>
        <v>-8898.3343999999925</v>
      </c>
      <c r="N20" s="500">
        <f>Model!N81</f>
        <v>59123.137271200016</v>
      </c>
      <c r="O20" s="500">
        <f>Model!O81</f>
        <v>129906.76010979759</v>
      </c>
      <c r="P20" s="500">
        <f>Model!P81</f>
        <v>210164.28845988214</v>
      </c>
      <c r="Q20" s="451"/>
      <c r="R20" s="451"/>
    </row>
    <row r="21" spans="3:18" ht="16">
      <c r="C21" s="504"/>
      <c r="D21" s="505"/>
      <c r="E21" s="505"/>
      <c r="F21" s="505"/>
      <c r="G21" s="500"/>
      <c r="H21" s="500"/>
      <c r="I21" s="500"/>
      <c r="J21" s="500"/>
      <c r="K21" s="500"/>
      <c r="L21" s="500"/>
      <c r="M21" s="500"/>
      <c r="N21" s="500"/>
      <c r="O21" s="500"/>
      <c r="P21" s="500"/>
      <c r="Q21" s="451"/>
      <c r="R21" s="451"/>
    </row>
    <row r="22" spans="3:18" ht="16">
      <c r="C22" s="498" t="s">
        <v>480</v>
      </c>
      <c r="D22" s="499"/>
      <c r="E22" s="523" t="s">
        <v>155</v>
      </c>
      <c r="F22" s="493"/>
      <c r="G22" s="500">
        <f>Model!G95</f>
        <v>-93987</v>
      </c>
      <c r="H22" s="500">
        <f>Model!H95</f>
        <v>-138703</v>
      </c>
      <c r="I22" s="500">
        <f>Model!I95</f>
        <v>-373769</v>
      </c>
      <c r="J22" s="500">
        <f>Model!J95</f>
        <v>-98240</v>
      </c>
      <c r="K22" s="500">
        <f>Model!K95</f>
        <v>-67208.941999999995</v>
      </c>
      <c r="L22" s="500">
        <f>Model!L95</f>
        <v>-41538.640520569345</v>
      </c>
      <c r="M22" s="500">
        <f>Model!M95</f>
        <v>-4046.9855661351812</v>
      </c>
      <c r="N22" s="500">
        <f>Model!N95</f>
        <v>53089.667118570229</v>
      </c>
      <c r="O22" s="500">
        <f>Model!O95</f>
        <v>112950.97874113104</v>
      </c>
      <c r="P22" s="500">
        <f>Model!P95</f>
        <v>182422.33082526372</v>
      </c>
      <c r="Q22" s="451"/>
      <c r="R22" s="495">
        <f>(O22/J22)^(1/YEARFRAC(J$7,O$7,))-1</f>
        <v>-2.0283011676297029</v>
      </c>
    </row>
    <row r="23" spans="3:18" ht="16">
      <c r="C23" s="506" t="s">
        <v>481</v>
      </c>
      <c r="D23" s="507"/>
      <c r="E23" s="493" t="s">
        <v>482</v>
      </c>
      <c r="F23" s="493"/>
      <c r="G23" s="508">
        <f>Model!G100</f>
        <v>-0.7</v>
      </c>
      <c r="H23" s="508">
        <f>Model!H100</f>
        <v>-0.78</v>
      </c>
      <c r="I23" s="508">
        <f>Model!I100</f>
        <v>-10.1</v>
      </c>
      <c r="J23" s="508">
        <f>Model!J100</f>
        <v>-2.08</v>
      </c>
      <c r="K23" s="508">
        <f>Model!K100</f>
        <v>-1.2737859969558598</v>
      </c>
      <c r="L23" s="508">
        <f>Model!L100</f>
        <v>-0.75907700740971784</v>
      </c>
      <c r="M23" s="508">
        <f>Model!M100</f>
        <v>-6.4737467443037822E-2</v>
      </c>
      <c r="N23" s="508">
        <f>Model!N100</f>
        <v>0.94055830638486204</v>
      </c>
      <c r="O23" s="508">
        <f>Model!O100</f>
        <v>1.9366487968889778</v>
      </c>
      <c r="P23" s="508">
        <f>Model!P100</f>
        <v>3.0455256090763085</v>
      </c>
      <c r="Q23" s="451"/>
      <c r="R23" s="495"/>
    </row>
    <row r="24" spans="3:18" ht="16">
      <c r="C24" s="504"/>
      <c r="D24" s="505"/>
      <c r="E24" s="505"/>
      <c r="F24" s="505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451"/>
      <c r="R24" s="451"/>
    </row>
    <row r="25" spans="3:18" ht="16">
      <c r="C25" s="68" t="s">
        <v>483</v>
      </c>
      <c r="D25" s="507"/>
      <c r="E25" s="493" t="s">
        <v>155</v>
      </c>
      <c r="F25" s="493"/>
      <c r="G25" s="500">
        <f>Model!G183</f>
        <v>-4283</v>
      </c>
      <c r="H25" s="500">
        <f>Model!H183</f>
        <v>-5422</v>
      </c>
      <c r="I25" s="500">
        <f>Model!I183</f>
        <v>-3006</v>
      </c>
      <c r="J25" s="500">
        <f>Model!J183</f>
        <v>-3756</v>
      </c>
      <c r="K25" s="500">
        <f>Model!K183</f>
        <v>-4806.2292599999992</v>
      </c>
      <c r="L25" s="500">
        <f>Model!L183</f>
        <v>-4650</v>
      </c>
      <c r="M25" s="500">
        <f>Model!M183</f>
        <v>-4650</v>
      </c>
      <c r="N25" s="500">
        <f>Model!N183</f>
        <v>-4650</v>
      </c>
      <c r="O25" s="500">
        <f>Model!O183</f>
        <v>-4650</v>
      </c>
      <c r="P25" s="500">
        <f>Model!P183</f>
        <v>-4650</v>
      </c>
      <c r="Q25" s="451"/>
      <c r="R25" s="495">
        <f>(O25/J25)^(1/YEARFRAC(J$7,O$7,))-1</f>
        <v>4.3627402551312588E-2</v>
      </c>
    </row>
    <row r="26" spans="3:18" ht="16">
      <c r="C26" s="502" t="s">
        <v>484</v>
      </c>
      <c r="D26" s="507"/>
      <c r="E26" s="493" t="s">
        <v>125</v>
      </c>
      <c r="F26" s="493"/>
      <c r="G26" s="509"/>
      <c r="H26" s="509"/>
      <c r="I26" s="509"/>
      <c r="J26" s="509"/>
      <c r="K26" s="509"/>
      <c r="L26" s="509"/>
      <c r="M26" s="509"/>
      <c r="N26" s="509"/>
      <c r="O26" s="509"/>
      <c r="P26" s="509"/>
      <c r="Q26" s="451"/>
      <c r="R26" s="495"/>
    </row>
    <row r="27" spans="3:18" ht="16">
      <c r="C27" s="502"/>
      <c r="D27" s="507"/>
      <c r="E27" s="493"/>
      <c r="F27" s="493"/>
      <c r="G27" s="509"/>
      <c r="H27" s="509"/>
      <c r="I27" s="509"/>
      <c r="J27" s="509"/>
      <c r="K27" s="509"/>
      <c r="L27" s="509"/>
      <c r="M27" s="509"/>
      <c r="N27" s="509"/>
      <c r="O27" s="509"/>
      <c r="P27" s="509"/>
      <c r="Q27" s="451"/>
      <c r="R27" s="495"/>
    </row>
    <row r="28" spans="3:18" ht="16">
      <c r="C28" s="524" t="s">
        <v>485</v>
      </c>
      <c r="D28" s="507"/>
      <c r="E28" s="493" t="s">
        <v>155</v>
      </c>
      <c r="F28" s="493"/>
      <c r="G28" s="509">
        <f>Model!G180</f>
        <v>-71061</v>
      </c>
      <c r="H28" s="509">
        <f>Model!H180</f>
        <v>-110690</v>
      </c>
      <c r="I28" s="509">
        <f>Model!I180</f>
        <v>-137890</v>
      </c>
      <c r="J28" s="509">
        <f>Model!J180</f>
        <v>-33694</v>
      </c>
      <c r="K28" s="509">
        <f>Model!K180</f>
        <v>-51116.58115138705</v>
      </c>
      <c r="L28" s="509">
        <f>Model!L180</f>
        <v>-37652.437491992685</v>
      </c>
      <c r="M28" s="509">
        <f>Model!M180</f>
        <v>-2912.2801673287927</v>
      </c>
      <c r="N28" s="509">
        <f>Model!N180</f>
        <v>54390.923137743339</v>
      </c>
      <c r="O28" s="509">
        <f>Model!O180</f>
        <v>122346.62097899799</v>
      </c>
      <c r="P28" s="509">
        <f>Model!P180</f>
        <v>196538.15120231142</v>
      </c>
      <c r="Q28" s="451"/>
      <c r="R28" s="495">
        <f>(O28/J28)^(1/YEARFRAC(J$7,O$7,))-1</f>
        <v>-2.2942193286785497</v>
      </c>
    </row>
    <row r="29" spans="3:18" ht="16">
      <c r="C29" s="524" t="s">
        <v>486</v>
      </c>
      <c r="D29" s="507"/>
      <c r="E29" s="493" t="s">
        <v>155</v>
      </c>
      <c r="F29" s="493"/>
      <c r="G29" s="509">
        <f>Model!G187</f>
        <v>-15229</v>
      </c>
      <c r="H29" s="509">
        <f>Model!H187</f>
        <v>-5147</v>
      </c>
      <c r="I29" s="509">
        <f>Model!I187</f>
        <v>50601</v>
      </c>
      <c r="J29" s="509">
        <f>Model!J187</f>
        <v>14652</v>
      </c>
      <c r="K29" s="509">
        <f>Model!K187</f>
        <v>7818.7707400000008</v>
      </c>
      <c r="L29" s="509">
        <f>Model!L187</f>
        <v>-2661.9516708903684</v>
      </c>
      <c r="M29" s="509">
        <f>Model!M187</f>
        <v>27862.01133030645</v>
      </c>
      <c r="N29" s="509">
        <f>Model!N187</f>
        <v>-24312.759930382126</v>
      </c>
      <c r="O29" s="509">
        <f>Model!O187</f>
        <v>-28343.649315888979</v>
      </c>
      <c r="P29" s="509">
        <f>Model!P187</f>
        <v>-79568.675767987224</v>
      </c>
      <c r="Q29" s="451"/>
      <c r="R29" s="495">
        <f>(O29/J29)^(1/YEARFRAC(J$7,O$7,))-1</f>
        <v>-2.1410686436530653</v>
      </c>
    </row>
    <row r="30" spans="3:18" ht="16">
      <c r="C30" s="524" t="s">
        <v>487</v>
      </c>
      <c r="D30" s="507"/>
      <c r="E30" s="493" t="s">
        <v>155</v>
      </c>
      <c r="F30" s="493"/>
      <c r="G30" s="509">
        <f>Model!G204</f>
        <v>258304</v>
      </c>
      <c r="H30" s="509">
        <f>Model!H204</f>
        <v>55602</v>
      </c>
      <c r="I30" s="509">
        <f>Model!I204</f>
        <v>15657</v>
      </c>
      <c r="J30" s="509">
        <f>Model!J204</f>
        <v>15393</v>
      </c>
      <c r="K30" s="509">
        <f>Model!K204</f>
        <v>94100</v>
      </c>
      <c r="L30" s="509">
        <f>Model!L204</f>
        <v>0</v>
      </c>
      <c r="M30" s="509">
        <f>Model!M204</f>
        <v>0</v>
      </c>
      <c r="N30" s="509">
        <f>Model!N204</f>
        <v>0</v>
      </c>
      <c r="O30" s="509">
        <f>Model!O204</f>
        <v>0</v>
      </c>
      <c r="P30" s="509">
        <f>Model!P204</f>
        <v>0</v>
      </c>
      <c r="Q30" s="451"/>
      <c r="R30" s="495">
        <f>(O30/J30)^(1/YEARFRAC(J$7,O$7,))-1</f>
        <v>-1</v>
      </c>
    </row>
    <row r="31" spans="3:18" ht="16">
      <c r="C31" s="502"/>
      <c r="D31" s="507"/>
      <c r="E31" s="493"/>
      <c r="F31" s="493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451"/>
      <c r="R31" s="495"/>
    </row>
    <row r="32" spans="3:18" ht="16">
      <c r="C32" s="59" t="s">
        <v>488</v>
      </c>
      <c r="D32" s="507"/>
      <c r="E32" s="493" t="s">
        <v>155</v>
      </c>
      <c r="F32" s="493"/>
      <c r="G32" s="510">
        <f>Model!G121</f>
        <v>307702</v>
      </c>
      <c r="H32" s="510">
        <f>Model!H121</f>
        <v>256137</v>
      </c>
      <c r="I32" s="510">
        <f>Model!I121</f>
        <v>330743</v>
      </c>
      <c r="J32" s="510">
        <f>Model!J121</f>
        <v>276148</v>
      </c>
      <c r="K32" s="510">
        <f>Model!K121</f>
        <v>332134.85946631007</v>
      </c>
      <c r="L32" s="510">
        <f>Model!L121</f>
        <v>316873.52972795093</v>
      </c>
      <c r="M32" s="510">
        <f>Model!M121</f>
        <v>341705.36630618561</v>
      </c>
      <c r="N32" s="510">
        <f>Model!N121</f>
        <v>435035.49364344124</v>
      </c>
      <c r="O32" s="510">
        <f>Model!O121</f>
        <v>587450.02882069675</v>
      </c>
      <c r="P32" s="510">
        <f>Model!P121</f>
        <v>807978.68092379626</v>
      </c>
      <c r="Q32" s="451"/>
      <c r="R32" s="495">
        <f>(O32/J32)^(1/YEARFRAC(J$7,O$7,))-1</f>
        <v>0.16296275284920747</v>
      </c>
    </row>
    <row r="33" spans="3:18" ht="16">
      <c r="C33" s="59" t="s">
        <v>489</v>
      </c>
      <c r="D33" s="505"/>
      <c r="E33" s="493" t="s">
        <v>155</v>
      </c>
      <c r="F33" s="493"/>
      <c r="G33" s="510">
        <f>Model!G131</f>
        <v>0</v>
      </c>
      <c r="H33" s="510">
        <f>Model!H131</f>
        <v>39574</v>
      </c>
      <c r="I33" s="510">
        <f>Model!I131</f>
        <v>43975</v>
      </c>
      <c r="J33" s="510">
        <f>Model!J131</f>
        <v>0</v>
      </c>
      <c r="K33" s="510">
        <f>Model!K131</f>
        <v>0</v>
      </c>
      <c r="L33" s="510">
        <f>Model!L131</f>
        <v>0</v>
      </c>
      <c r="M33" s="510">
        <f>Model!M131</f>
        <v>0</v>
      </c>
      <c r="N33" s="510">
        <f>Model!N131</f>
        <v>0</v>
      </c>
      <c r="O33" s="510">
        <f>Model!O131</f>
        <v>0</v>
      </c>
      <c r="P33" s="510">
        <f>Model!P131</f>
        <v>0</v>
      </c>
      <c r="Q33" s="451"/>
      <c r="R33" s="495" t="e">
        <f>(O33/J33)^(1/YEARFRAC(J$7,O$7,))-1</f>
        <v>#DIV/0!</v>
      </c>
    </row>
    <row r="34" spans="3:18" ht="16">
      <c r="C34" s="59" t="s">
        <v>490</v>
      </c>
      <c r="D34" s="507"/>
      <c r="E34" s="493" t="s">
        <v>155</v>
      </c>
      <c r="F34" s="493"/>
      <c r="G34" s="510">
        <f>SUM(Model!G106:G108)</f>
        <v>183621</v>
      </c>
      <c r="H34" s="510">
        <f>SUM(Model!H106:H108)</f>
        <v>123189</v>
      </c>
      <c r="I34" s="510">
        <f>SUM(Model!I106:I108)</f>
        <v>190701</v>
      </c>
      <c r="J34" s="510">
        <f>SUM(Model!J106:J108)</f>
        <v>172744</v>
      </c>
      <c r="K34" s="510">
        <f>SUM(Model!K106:K108)</f>
        <v>210565.68958861294</v>
      </c>
      <c r="L34" s="510">
        <f>SUM(Model!L106:L108)</f>
        <v>132850.12709662027</v>
      </c>
      <c r="M34" s="510">
        <f>SUM(Model!M106:M108)</f>
        <v>124987.19067929147</v>
      </c>
      <c r="N34" s="510">
        <f>SUM(Model!N106:N108)</f>
        <v>174281.54350453481</v>
      </c>
      <c r="O34" s="510">
        <f>SUM(Model!O106:O108)</f>
        <v>291599.20159290783</v>
      </c>
      <c r="P34" s="510">
        <f>SUM(Model!P106:P108)</f>
        <v>483102.52418193797</v>
      </c>
      <c r="Q34" s="451"/>
      <c r="R34" s="495">
        <f>(O34/J34)^(1/YEARFRAC(J$7,O$7,))-1</f>
        <v>0.11039288868463837</v>
      </c>
    </row>
    <row r="35" spans="3:18" ht="16">
      <c r="C35" s="504"/>
      <c r="D35" s="502"/>
      <c r="E35" s="493"/>
      <c r="F35" s="493"/>
      <c r="G35" s="509"/>
      <c r="H35" s="509"/>
      <c r="I35" s="509"/>
      <c r="J35" s="509"/>
      <c r="K35" s="509"/>
      <c r="L35" s="509"/>
      <c r="M35" s="509"/>
      <c r="N35" s="509"/>
      <c r="O35" s="509"/>
      <c r="P35" s="509"/>
      <c r="Q35" s="451"/>
      <c r="R35" s="451"/>
    </row>
    <row r="36" spans="3:18" ht="16">
      <c r="C36" s="31" t="s">
        <v>491</v>
      </c>
      <c r="D36" s="505"/>
      <c r="E36" s="523" t="s">
        <v>155</v>
      </c>
      <c r="F36" s="493"/>
      <c r="G36" s="500">
        <f>Model!G97</f>
        <v>-94233</v>
      </c>
      <c r="H36" s="500">
        <f>Model!H97</f>
        <v>-135967</v>
      </c>
      <c r="I36" s="500">
        <f>Model!I97</f>
        <v>-356044</v>
      </c>
      <c r="J36" s="500">
        <f>Model!J97</f>
        <v>-94341</v>
      </c>
      <c r="K36" s="500">
        <f>Model!K97</f>
        <v>-75152.107610999999</v>
      </c>
      <c r="L36" s="500">
        <f>Model!L97</f>
        <v>-49884.908329059988</v>
      </c>
      <c r="M36" s="500">
        <f>Model!M97</f>
        <v>-4939.6755949921935</v>
      </c>
      <c r="N36" s="500">
        <f>Model!N97</f>
        <v>63720.508987606278</v>
      </c>
      <c r="O36" s="500">
        <f>Model!O97</f>
        <v>135058.75949344863</v>
      </c>
      <c r="P36" s="500">
        <f>Model!P97</f>
        <v>215814.40017838162</v>
      </c>
      <c r="Q36" s="451"/>
      <c r="R36" s="495">
        <f>(O36/J36)^(1/YEARFRAC(J$7,O$7,))-1</f>
        <v>-2.0743961816659544</v>
      </c>
    </row>
    <row r="37" spans="3:18" ht="16">
      <c r="C37" s="142" t="s">
        <v>492</v>
      </c>
      <c r="D37" s="507"/>
      <c r="E37" s="493" t="s">
        <v>125</v>
      </c>
      <c r="F37" s="493"/>
      <c r="G37" s="496">
        <f>DCF!G64</f>
        <v>-2.8063910894037765</v>
      </c>
      <c r="H37" s="496">
        <f>DCF!H64</f>
        <v>-3.3139242974481466</v>
      </c>
      <c r="I37" s="496">
        <f>DCF!I64</f>
        <v>-4.275315505709723</v>
      </c>
      <c r="J37" s="496">
        <f>DCF!J64</f>
        <v>-0.84914627231078033</v>
      </c>
      <c r="K37" s="496">
        <f>DCF!K64</f>
        <v>-0.44468702728402365</v>
      </c>
      <c r="L37" s="496">
        <f>DCF!L64</f>
        <v>-0.19578986580631735</v>
      </c>
      <c r="M37" s="496">
        <f>DCF!M64</f>
        <v>-1.3523940537450502E-2</v>
      </c>
      <c r="N37" s="496">
        <f>DCF!N64</f>
        <v>0.11903526129808263</v>
      </c>
      <c r="O37" s="496">
        <f>DCF!O64</f>
        <v>0.18961818868937974</v>
      </c>
      <c r="P37" s="496">
        <f>DCF!P64</f>
        <v>0.23640252565616537</v>
      </c>
      <c r="Q37" s="451"/>
      <c r="R37" s="495"/>
    </row>
    <row r="38" spans="3:18" ht="16">
      <c r="C38" s="504"/>
      <c r="D38" s="507"/>
      <c r="E38" s="493"/>
      <c r="F38" s="493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451"/>
      <c r="R38" s="495"/>
    </row>
    <row r="39" spans="3:18" ht="16">
      <c r="C39" s="304"/>
      <c r="D39" s="304"/>
      <c r="E39" s="305"/>
      <c r="F39" s="305"/>
      <c r="G39" s="512"/>
      <c r="H39" s="512"/>
      <c r="I39" s="512"/>
      <c r="J39" s="512"/>
      <c r="K39" s="512"/>
      <c r="L39" s="512"/>
      <c r="M39" s="512"/>
      <c r="N39" s="512"/>
      <c r="O39" s="512"/>
      <c r="P39" s="512"/>
      <c r="Q39" s="451"/>
      <c r="R39" s="451"/>
    </row>
    <row r="40" spans="3:18" ht="16">
      <c r="C40" s="87"/>
      <c r="D40" s="87"/>
      <c r="E40" s="518"/>
      <c r="F40" s="518"/>
      <c r="G40" s="306"/>
      <c r="H40" s="306"/>
      <c r="I40" s="306"/>
      <c r="J40" s="519"/>
      <c r="K40" s="306"/>
      <c r="L40" s="306"/>
      <c r="M40" s="306"/>
      <c r="N40" s="306"/>
      <c r="O40" s="306"/>
      <c r="P40" s="306"/>
      <c r="Q40" s="451"/>
      <c r="R40" s="451"/>
    </row>
    <row r="41" spans="3:18" ht="16">
      <c r="C41" s="507"/>
      <c r="E41" s="520"/>
      <c r="F41" s="520"/>
      <c r="G41" s="513"/>
      <c r="H41" s="513"/>
      <c r="I41" s="513"/>
      <c r="J41" s="521"/>
      <c r="K41" s="521"/>
      <c r="L41" s="521"/>
      <c r="M41" s="513"/>
      <c r="N41" s="513"/>
      <c r="O41" s="513"/>
      <c r="P41" s="513"/>
      <c r="Q41" s="451"/>
      <c r="R41" s="451"/>
    </row>
    <row r="42" spans="3:18" ht="16">
      <c r="C42" s="507"/>
      <c r="E42" s="520"/>
      <c r="F42" s="520"/>
      <c r="G42" s="513"/>
      <c r="H42" s="513"/>
      <c r="I42" s="513"/>
      <c r="J42" s="521"/>
      <c r="K42" s="521"/>
      <c r="L42" s="521"/>
      <c r="M42" s="513"/>
      <c r="N42" s="513"/>
      <c r="O42" s="513"/>
      <c r="P42" s="513"/>
      <c r="Q42" s="451"/>
      <c r="R42" s="451"/>
    </row>
    <row r="43" spans="3:18" ht="16">
      <c r="C43" s="507"/>
      <c r="E43" s="493"/>
      <c r="F43" s="493"/>
      <c r="G43" s="451"/>
      <c r="H43" s="451"/>
      <c r="I43" s="451"/>
      <c r="J43" s="459"/>
      <c r="K43" s="459"/>
      <c r="L43" s="522"/>
      <c r="M43" s="451"/>
      <c r="N43" s="451"/>
      <c r="O43" s="451"/>
      <c r="P43" s="451"/>
      <c r="Q43" s="451"/>
      <c r="R43" s="451"/>
    </row>
    <row r="44" spans="3:18" ht="16">
      <c r="C44" s="507"/>
      <c r="E44" s="493"/>
      <c r="F44" s="493"/>
      <c r="G44" s="451"/>
      <c r="H44" s="451"/>
      <c r="I44" s="451"/>
      <c r="J44" s="459"/>
      <c r="K44" s="459"/>
      <c r="L44" s="522"/>
      <c r="M44" s="451"/>
      <c r="N44" s="451"/>
      <c r="O44" s="451"/>
      <c r="P44" s="451"/>
      <c r="Q44" s="451"/>
      <c r="R44" s="451"/>
    </row>
    <row r="45" spans="3:18" ht="16">
      <c r="C45" s="451"/>
      <c r="E45" s="451"/>
      <c r="F45" s="451"/>
      <c r="G45" s="451"/>
      <c r="H45" s="451"/>
      <c r="I45" s="451"/>
      <c r="J45" s="459"/>
      <c r="K45" s="459"/>
      <c r="L45" s="459"/>
      <c r="M45" s="451"/>
      <c r="N45" s="451"/>
      <c r="O45" s="451"/>
      <c r="P45" s="451"/>
      <c r="Q45" s="451"/>
      <c r="R45" s="451"/>
    </row>
    <row r="46" spans="3:18" ht="16">
      <c r="C46" s="507"/>
      <c r="E46" s="520"/>
      <c r="F46" s="520"/>
      <c r="G46" s="513"/>
      <c r="H46" s="513"/>
      <c r="I46" s="513"/>
      <c r="J46" s="521"/>
      <c r="K46" s="521"/>
      <c r="L46" s="521"/>
      <c r="M46" s="513"/>
      <c r="N46" s="513"/>
      <c r="O46" s="513"/>
      <c r="P46" s="513"/>
      <c r="Q46" s="451"/>
      <c r="R46" s="451"/>
    </row>
    <row r="47" spans="3:18" ht="16">
      <c r="C47" s="507"/>
      <c r="E47" s="520"/>
      <c r="F47" s="520"/>
      <c r="G47" s="513"/>
      <c r="H47" s="513"/>
      <c r="I47" s="513"/>
      <c r="J47" s="521"/>
      <c r="K47" s="521"/>
      <c r="L47" s="521"/>
      <c r="M47" s="513"/>
      <c r="N47" s="513"/>
      <c r="O47" s="513"/>
      <c r="P47" s="513"/>
      <c r="Q47" s="451"/>
      <c r="R47" s="451"/>
    </row>
    <row r="48" spans="3:18" ht="16">
      <c r="C48" s="507"/>
      <c r="E48" s="493"/>
      <c r="F48" s="493"/>
      <c r="G48" s="451"/>
      <c r="H48" s="451"/>
      <c r="I48" s="451"/>
      <c r="J48" s="459"/>
      <c r="K48" s="459"/>
      <c r="L48" s="522"/>
      <c r="M48" s="451"/>
      <c r="N48" s="451"/>
      <c r="O48" s="451"/>
      <c r="P48" s="451"/>
      <c r="Q48" s="451"/>
      <c r="R48" s="451"/>
    </row>
    <row r="49" spans="3:18" ht="16">
      <c r="C49" s="507"/>
      <c r="E49" s="493"/>
      <c r="F49" s="493"/>
      <c r="G49" s="451"/>
      <c r="H49" s="451"/>
      <c r="I49" s="451"/>
      <c r="J49" s="459"/>
      <c r="K49" s="459"/>
      <c r="L49" s="522"/>
      <c r="M49" s="451"/>
      <c r="N49" s="451"/>
      <c r="O49" s="451"/>
      <c r="P49" s="451"/>
      <c r="Q49" s="451"/>
      <c r="R49" s="451"/>
    </row>
    <row r="50" spans="3:18" ht="16">
      <c r="C50" s="451"/>
      <c r="E50" s="451"/>
      <c r="F50" s="451"/>
      <c r="G50" s="451"/>
      <c r="H50" s="451"/>
      <c r="I50" s="451"/>
      <c r="J50" s="459"/>
      <c r="K50" s="459"/>
      <c r="L50" s="459"/>
      <c r="M50" s="451"/>
      <c r="N50" s="451"/>
      <c r="O50" s="451"/>
      <c r="P50" s="451"/>
      <c r="Q50" s="451"/>
      <c r="R50" s="451"/>
    </row>
    <row r="51" spans="3:18" ht="16">
      <c r="C51" s="507"/>
      <c r="E51" s="520"/>
      <c r="F51" s="520"/>
      <c r="G51" s="513"/>
      <c r="H51" s="513"/>
      <c r="I51" s="513"/>
      <c r="J51" s="521"/>
      <c r="K51" s="521"/>
      <c r="L51" s="521"/>
      <c r="M51" s="513"/>
      <c r="N51" s="513"/>
      <c r="O51" s="513"/>
      <c r="P51" s="513"/>
      <c r="Q51" s="451"/>
      <c r="R51" s="451"/>
    </row>
    <row r="52" spans="3:18" ht="16">
      <c r="C52" s="507"/>
      <c r="E52" s="520"/>
      <c r="F52" s="520"/>
      <c r="G52" s="513"/>
      <c r="H52" s="513"/>
      <c r="I52" s="513"/>
      <c r="J52" s="521"/>
      <c r="K52" s="521"/>
      <c r="L52" s="521"/>
      <c r="M52" s="513"/>
      <c r="N52" s="513"/>
      <c r="O52" s="513"/>
      <c r="P52" s="513"/>
      <c r="Q52" s="451"/>
      <c r="R52" s="4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F14E-35CA-4106-9A3E-630268B37AAB}">
  <dimension ref="J2:V52"/>
  <sheetViews>
    <sheetView showGridLines="0" topLeftCell="A21" zoomScale="63" workbookViewId="0">
      <selection activeCell="J52" sqref="J52"/>
    </sheetView>
  </sheetViews>
  <sheetFormatPr defaultRowHeight="14.5"/>
  <sheetData>
    <row r="2" spans="10:22">
      <c r="J2" t="str">
        <f>"Revenue and Gross Profit"</f>
        <v>Revenue and Gross Profit</v>
      </c>
      <c r="V2" t="s">
        <v>507</v>
      </c>
    </row>
    <row r="18" spans="10:22">
      <c r="J18" t="str">
        <f>"Revenue and OpEx"</f>
        <v>Revenue and OpEx</v>
      </c>
      <c r="V18" t="str">
        <f>"Revenue and EBIT"</f>
        <v>Revenue and EBIT</v>
      </c>
    </row>
    <row r="33" spans="10:22">
      <c r="J33" t="str">
        <f>"Sensors Shipped and ASP - Annual"</f>
        <v>Sensors Shipped and ASP - Annual</v>
      </c>
      <c r="V33" t="s">
        <v>508</v>
      </c>
    </row>
    <row r="52" spans="10:10">
      <c r="J52" t="s">
        <v>518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6495-7F87-4001-ADB3-51EEE644A441}">
  <dimension ref="B2:O43"/>
  <sheetViews>
    <sheetView showGridLines="0" topLeftCell="A33" workbookViewId="0">
      <selection activeCell="K42" sqref="K42"/>
    </sheetView>
  </sheetViews>
  <sheetFormatPr defaultRowHeight="14.5"/>
  <cols>
    <col min="8" max="10" width="10.90625" bestFit="1" customWidth="1"/>
    <col min="11" max="11" width="10.81640625" bestFit="1" customWidth="1"/>
    <col min="12" max="12" width="32" bestFit="1" customWidth="1"/>
  </cols>
  <sheetData>
    <row r="2" spans="2:15" ht="18.5">
      <c r="B2" s="299" t="str">
        <f>Company_Name&amp;" - Q3 Financial Results"</f>
        <v>Ouster, Inc. - Q3 Financial Results</v>
      </c>
      <c r="C2" s="28"/>
      <c r="D2" s="142"/>
      <c r="E2" s="142"/>
      <c r="F2" s="142"/>
      <c r="G2" s="28"/>
      <c r="H2" s="28"/>
      <c r="I2" s="28"/>
      <c r="J2" s="45"/>
    </row>
    <row r="3" spans="2:15" ht="16">
      <c r="B3" s="300" t="s">
        <v>324</v>
      </c>
      <c r="C3" s="28"/>
      <c r="D3" s="142"/>
      <c r="E3" s="142"/>
      <c r="F3" s="142"/>
      <c r="G3" s="28"/>
      <c r="H3" s="28"/>
      <c r="I3" s="28"/>
      <c r="J3" s="45"/>
    </row>
    <row r="4" spans="2:15" ht="16">
      <c r="B4" s="3"/>
      <c r="C4" s="3"/>
      <c r="D4" s="85"/>
      <c r="E4" s="85"/>
      <c r="F4" s="85"/>
      <c r="G4" s="3"/>
      <c r="H4" s="3"/>
      <c r="I4" s="3"/>
    </row>
    <row r="5" spans="2:15" ht="16">
      <c r="B5" s="301"/>
      <c r="C5" s="301"/>
      <c r="D5" s="302"/>
      <c r="E5" s="302"/>
      <c r="F5" s="302"/>
      <c r="G5" s="301"/>
      <c r="H5" s="301"/>
      <c r="I5" s="301"/>
      <c r="J5" s="301"/>
      <c r="K5" s="301"/>
    </row>
    <row r="6" spans="2:15" ht="16">
      <c r="B6" s="8" t="s">
        <v>325</v>
      </c>
      <c r="C6" s="301"/>
      <c r="D6" s="302"/>
      <c r="E6" s="302"/>
      <c r="F6" s="302"/>
      <c r="G6" s="301"/>
      <c r="H6" s="303" t="s">
        <v>326</v>
      </c>
      <c r="I6" s="303" t="s">
        <v>327</v>
      </c>
      <c r="J6" s="303" t="s">
        <v>328</v>
      </c>
      <c r="K6" s="303" t="s">
        <v>513</v>
      </c>
    </row>
    <row r="7" spans="2:15" ht="16">
      <c r="B7" s="87"/>
      <c r="C7" s="304"/>
      <c r="D7" s="305"/>
      <c r="E7" s="305"/>
      <c r="F7" s="305"/>
      <c r="G7" s="304"/>
      <c r="H7" s="306"/>
      <c r="I7" s="306"/>
    </row>
    <row r="8" spans="2:15" ht="16">
      <c r="B8" s="87"/>
      <c r="C8" s="31" t="s">
        <v>516</v>
      </c>
      <c r="D8" s="305"/>
      <c r="E8" s="305"/>
      <c r="F8" s="305"/>
      <c r="G8" s="304"/>
      <c r="H8" s="307">
        <v>0</v>
      </c>
      <c r="I8" s="307">
        <v>0</v>
      </c>
      <c r="J8" s="307">
        <v>0</v>
      </c>
      <c r="K8" s="307">
        <v>21000</v>
      </c>
    </row>
    <row r="9" spans="2:15" ht="16">
      <c r="B9" s="87"/>
      <c r="C9" s="304"/>
      <c r="D9" s="305"/>
      <c r="E9" s="305"/>
      <c r="F9" s="305"/>
      <c r="G9" s="304"/>
      <c r="H9" s="306"/>
      <c r="I9" s="306"/>
    </row>
    <row r="10" spans="2:15" ht="16">
      <c r="B10" s="3"/>
      <c r="C10" s="31" t="s">
        <v>514</v>
      </c>
      <c r="D10" s="85"/>
      <c r="E10" s="85"/>
      <c r="F10" s="85"/>
      <c r="G10" s="3"/>
      <c r="H10" s="307">
        <v>32632</v>
      </c>
      <c r="I10" s="307">
        <v>35049</v>
      </c>
      <c r="J10" s="307">
        <v>39525</v>
      </c>
      <c r="K10" s="307">
        <v>41000</v>
      </c>
      <c r="L10" s="517"/>
    </row>
    <row r="11" spans="2:15" ht="16">
      <c r="B11" s="3"/>
      <c r="C11" s="142" t="s">
        <v>517</v>
      </c>
      <c r="D11" s="85"/>
      <c r="E11" s="85"/>
      <c r="F11" s="85"/>
      <c r="G11" s="3"/>
      <c r="H11" s="27"/>
      <c r="I11" s="308">
        <f>I10/H10-1</f>
        <v>7.4068399117430683E-2</v>
      </c>
      <c r="J11" s="308">
        <f>J10/I10-1</f>
        <v>0.12770692459128652</v>
      </c>
      <c r="K11" s="308">
        <f>K10/J10-1</f>
        <v>3.7318153067678717E-2</v>
      </c>
    </row>
    <row r="12" spans="2:15" ht="16">
      <c r="B12" s="3"/>
      <c r="C12" s="142"/>
      <c r="D12" s="85"/>
      <c r="E12" s="85"/>
      <c r="F12" s="85"/>
      <c r="G12" s="3"/>
      <c r="H12" s="27"/>
      <c r="I12" s="308"/>
      <c r="J12" s="308"/>
    </row>
    <row r="13" spans="2:15" ht="16">
      <c r="B13" s="3"/>
      <c r="C13" s="538" t="s">
        <v>515</v>
      </c>
      <c r="D13" s="85"/>
      <c r="E13" s="85"/>
      <c r="F13" s="85"/>
      <c r="G13" s="3"/>
      <c r="H13" s="310">
        <f>SUM(H8,H10)</f>
        <v>32632</v>
      </c>
      <c r="I13" s="310">
        <f t="shared" ref="I13:K13" si="0">SUM(I8,I10)</f>
        <v>35049</v>
      </c>
      <c r="J13" s="310">
        <f t="shared" si="0"/>
        <v>39525</v>
      </c>
      <c r="K13" s="310">
        <f t="shared" si="0"/>
        <v>62000</v>
      </c>
    </row>
    <row r="14" spans="2:15" ht="16">
      <c r="B14" s="3"/>
      <c r="C14" s="142"/>
      <c r="D14" s="85"/>
      <c r="E14" s="85"/>
      <c r="F14" s="85"/>
      <c r="G14" s="3"/>
      <c r="H14" s="27"/>
      <c r="I14" s="308"/>
      <c r="J14" s="308"/>
    </row>
    <row r="15" spans="2:15" ht="16">
      <c r="B15" s="3"/>
      <c r="C15" s="31" t="s">
        <v>329</v>
      </c>
      <c r="D15" s="85"/>
      <c r="E15" s="85"/>
      <c r="F15" s="85"/>
      <c r="G15" s="3"/>
      <c r="H15" s="307">
        <v>-23830</v>
      </c>
      <c r="I15" s="307">
        <v>-26822</v>
      </c>
      <c r="J15" s="307">
        <v>-24251</v>
      </c>
      <c r="N15" s="297"/>
      <c r="O15" s="297"/>
    </row>
    <row r="16" spans="2:15" ht="16">
      <c r="B16" s="3"/>
      <c r="C16" s="142" t="s">
        <v>330</v>
      </c>
      <c r="D16" s="85"/>
      <c r="E16" s="85"/>
      <c r="F16" s="85"/>
      <c r="G16" s="3"/>
      <c r="H16" s="308">
        <f>+H15/H10</f>
        <v>-0.73026477077715124</v>
      </c>
      <c r="I16" s="308">
        <f>+I15/I10</f>
        <v>-0.76527147707495224</v>
      </c>
      <c r="J16" s="308">
        <f>+J15/J10</f>
        <v>-0.61356103731815304</v>
      </c>
    </row>
    <row r="17" spans="2:15" ht="16">
      <c r="B17" s="3"/>
      <c r="C17" s="3"/>
      <c r="D17" s="85"/>
      <c r="E17" s="85"/>
      <c r="F17" s="85"/>
      <c r="G17" s="3"/>
      <c r="H17" s="309"/>
      <c r="I17" s="27"/>
      <c r="M17" s="297"/>
      <c r="N17" s="297"/>
      <c r="O17" s="297"/>
    </row>
    <row r="18" spans="2:15" ht="16">
      <c r="B18" s="3"/>
      <c r="C18" s="28" t="s">
        <v>331</v>
      </c>
      <c r="D18" s="85"/>
      <c r="E18" s="85"/>
      <c r="F18" s="85"/>
      <c r="G18" s="3"/>
      <c r="H18" s="34">
        <v>195</v>
      </c>
      <c r="I18" s="34">
        <v>-3616</v>
      </c>
      <c r="J18" s="34">
        <v>72</v>
      </c>
    </row>
    <row r="19" spans="2:15" ht="16">
      <c r="B19" s="3"/>
      <c r="C19" s="3"/>
      <c r="D19" s="85"/>
      <c r="E19" s="85"/>
      <c r="F19" s="85"/>
      <c r="G19" s="3"/>
      <c r="H19" s="27"/>
      <c r="I19" s="27"/>
    </row>
    <row r="20" spans="2:15" ht="16">
      <c r="B20" s="3"/>
      <c r="C20" s="31" t="s">
        <v>332</v>
      </c>
      <c r="D20" s="85"/>
      <c r="E20" s="85"/>
      <c r="F20" s="85"/>
      <c r="G20" s="3"/>
      <c r="H20" s="310">
        <f>SUM(H15,H18)</f>
        <v>-23635</v>
      </c>
      <c r="I20" s="310">
        <f t="shared" ref="I20:J20" si="1">SUM(I15,I18)</f>
        <v>-30438</v>
      </c>
      <c r="J20" s="310">
        <f t="shared" si="1"/>
        <v>-24179</v>
      </c>
    </row>
    <row r="21" spans="2:15" ht="16">
      <c r="B21" s="3"/>
      <c r="C21" s="3"/>
      <c r="D21" s="85"/>
      <c r="E21" s="85"/>
      <c r="F21" s="85"/>
      <c r="G21" s="3"/>
      <c r="H21" s="27"/>
      <c r="I21" s="27"/>
    </row>
    <row r="22" spans="2:15" ht="16">
      <c r="B22" s="3"/>
      <c r="C22" s="31" t="s">
        <v>333</v>
      </c>
      <c r="D22" s="85"/>
      <c r="E22" s="85"/>
      <c r="F22" s="85"/>
      <c r="G22" s="3"/>
      <c r="H22" s="27"/>
      <c r="I22" s="27"/>
    </row>
    <row r="23" spans="2:15" ht="16">
      <c r="B23" s="3"/>
      <c r="C23" s="28" t="s">
        <v>334</v>
      </c>
      <c r="D23" s="85"/>
      <c r="E23" s="85"/>
      <c r="F23" s="85"/>
      <c r="G23" s="3"/>
      <c r="H23" s="34">
        <v>1795</v>
      </c>
      <c r="I23" s="34">
        <v>1859</v>
      </c>
      <c r="J23" s="34">
        <v>2053</v>
      </c>
    </row>
    <row r="24" spans="2:15" ht="16">
      <c r="B24" s="3"/>
      <c r="C24" s="28" t="s">
        <v>335</v>
      </c>
      <c r="D24" s="85"/>
      <c r="E24" s="85"/>
      <c r="F24" s="85"/>
      <c r="G24" s="3"/>
      <c r="H24" s="34">
        <v>0</v>
      </c>
      <c r="I24" s="34">
        <v>0</v>
      </c>
      <c r="J24" s="34">
        <v>0</v>
      </c>
    </row>
    <row r="25" spans="2:15" ht="16">
      <c r="B25" s="3"/>
      <c r="C25" s="28" t="s">
        <v>336</v>
      </c>
      <c r="D25" s="85"/>
      <c r="E25" s="85"/>
      <c r="F25" s="85"/>
      <c r="G25" s="3"/>
      <c r="H25" s="33">
        <v>9402</v>
      </c>
      <c r="I25" s="33">
        <v>15211</v>
      </c>
      <c r="J25" s="33">
        <v>12060</v>
      </c>
    </row>
    <row r="26" spans="2:15" ht="16">
      <c r="B26" s="3"/>
      <c r="C26" s="75" t="s">
        <v>337</v>
      </c>
      <c r="D26" s="311"/>
      <c r="E26" s="85"/>
      <c r="F26" s="85"/>
      <c r="G26" s="3"/>
      <c r="H26" s="310">
        <f>SUM(H23:H25)</f>
        <v>11197</v>
      </c>
      <c r="I26" s="310">
        <f t="shared" ref="I26:J26" si="2">SUM(I23:I25)</f>
        <v>17070</v>
      </c>
      <c r="J26" s="310">
        <f t="shared" si="2"/>
        <v>14113</v>
      </c>
    </row>
    <row r="27" spans="2:15" ht="16">
      <c r="B27" s="3"/>
      <c r="C27" s="3"/>
      <c r="D27" s="85"/>
      <c r="E27" s="85"/>
      <c r="F27" s="85"/>
      <c r="G27" s="3"/>
      <c r="H27" s="27"/>
      <c r="I27" s="308"/>
    </row>
    <row r="28" spans="2:15" ht="16">
      <c r="B28" s="3"/>
      <c r="C28" s="31" t="s">
        <v>338</v>
      </c>
      <c r="D28" s="85"/>
      <c r="E28" s="85"/>
      <c r="F28" s="85"/>
      <c r="G28" s="3"/>
      <c r="H28" s="27"/>
      <c r="I28" s="27"/>
    </row>
    <row r="29" spans="2:15" ht="16">
      <c r="B29" s="3"/>
      <c r="C29" s="28" t="s">
        <v>339</v>
      </c>
      <c r="D29" s="85"/>
      <c r="E29" s="85"/>
      <c r="F29" s="85"/>
      <c r="G29" s="3"/>
      <c r="H29" s="34">
        <v>4137</v>
      </c>
      <c r="I29" s="34">
        <v>2334</v>
      </c>
      <c r="J29" s="34">
        <v>-9401</v>
      </c>
    </row>
    <row r="30" spans="2:15" ht="16">
      <c r="B30" s="3"/>
      <c r="C30" s="28" t="s">
        <v>340</v>
      </c>
      <c r="D30" s="85"/>
      <c r="E30" s="85"/>
      <c r="F30" s="85"/>
      <c r="G30" s="3"/>
      <c r="H30" s="34">
        <v>1051</v>
      </c>
      <c r="I30" s="34">
        <v>998</v>
      </c>
      <c r="J30" s="34">
        <v>-1594</v>
      </c>
    </row>
    <row r="31" spans="2:15" ht="16">
      <c r="B31" s="3"/>
      <c r="C31" s="28" t="s">
        <v>341</v>
      </c>
      <c r="D31" s="85"/>
      <c r="E31" s="85"/>
      <c r="F31" s="85"/>
      <c r="G31" s="3"/>
      <c r="H31" s="34">
        <v>4120</v>
      </c>
      <c r="I31" s="34">
        <v>2305</v>
      </c>
      <c r="J31" s="34">
        <v>2791</v>
      </c>
    </row>
    <row r="32" spans="2:15" ht="16">
      <c r="B32" s="3"/>
      <c r="C32" s="28" t="s">
        <v>342</v>
      </c>
      <c r="D32" s="85"/>
      <c r="E32" s="85"/>
      <c r="F32" s="85"/>
      <c r="G32" s="3"/>
      <c r="H32" s="33">
        <v>-3367</v>
      </c>
      <c r="I32" s="33">
        <v>-3404</v>
      </c>
      <c r="J32" s="33">
        <v>-2518</v>
      </c>
      <c r="N32" s="78"/>
      <c r="O32" s="78"/>
    </row>
    <row r="33" spans="2:11" ht="16">
      <c r="B33" s="3"/>
      <c r="C33" s="75" t="s">
        <v>343</v>
      </c>
      <c r="D33" s="311"/>
      <c r="E33" s="85"/>
      <c r="F33" s="85"/>
      <c r="G33" s="3"/>
      <c r="H33" s="312">
        <f>SUM(H29:H32)</f>
        <v>5941</v>
      </c>
      <c r="I33" s="312">
        <f t="shared" ref="I33:J33" si="3">SUM(I29:I32)</f>
        <v>2233</v>
      </c>
      <c r="J33" s="312">
        <f t="shared" si="3"/>
        <v>-10722</v>
      </c>
    </row>
    <row r="34" spans="2:11" ht="16">
      <c r="B34" s="3"/>
      <c r="C34" s="3"/>
      <c r="D34" s="85"/>
      <c r="E34" s="85"/>
      <c r="F34" s="85"/>
      <c r="G34" s="3"/>
      <c r="H34" s="27"/>
      <c r="I34" s="27"/>
    </row>
    <row r="35" spans="2:11" ht="16">
      <c r="B35" s="3"/>
      <c r="C35" s="31" t="s">
        <v>344</v>
      </c>
      <c r="D35" s="85"/>
      <c r="E35" s="85"/>
      <c r="F35" s="85"/>
      <c r="G35" s="3"/>
      <c r="H35" s="34">
        <v>-552</v>
      </c>
      <c r="I35" s="34">
        <v>-889</v>
      </c>
      <c r="J35" s="34">
        <v>-1702</v>
      </c>
    </row>
    <row r="36" spans="2:11" ht="16">
      <c r="B36" s="3"/>
      <c r="C36" s="3"/>
      <c r="D36" s="85"/>
      <c r="E36" s="85"/>
      <c r="F36" s="85"/>
      <c r="G36" s="3"/>
      <c r="H36" s="27"/>
      <c r="I36" s="27"/>
    </row>
    <row r="37" spans="2:11" ht="16">
      <c r="B37" s="3"/>
      <c r="C37" s="31" t="s">
        <v>345</v>
      </c>
      <c r="D37" s="85"/>
      <c r="E37" s="85"/>
      <c r="F37" s="85"/>
      <c r="G37" s="3"/>
      <c r="H37" s="312">
        <f>SUM(H20,H26,H33,H35)</f>
        <v>-7049</v>
      </c>
      <c r="I37" s="312">
        <f t="shared" ref="I37:J37" si="4">SUM(I20,I26,I33,I35)</f>
        <v>-12024</v>
      </c>
      <c r="J37" s="312">
        <f t="shared" si="4"/>
        <v>-22490</v>
      </c>
    </row>
    <row r="39" spans="2:11" ht="16">
      <c r="C39" s="44" t="s">
        <v>346</v>
      </c>
      <c r="H39" s="34">
        <v>4700</v>
      </c>
      <c r="I39" s="34">
        <v>5500</v>
      </c>
      <c r="J39" s="34">
        <v>7200</v>
      </c>
      <c r="K39" s="34">
        <v>8100</v>
      </c>
    </row>
    <row r="40" spans="2:11">
      <c r="C40" s="298" t="s">
        <v>349</v>
      </c>
      <c r="I40" s="313">
        <f>I39/H39-1</f>
        <v>0.17021276595744683</v>
      </c>
      <c r="J40" s="313">
        <f>J39/I39-1</f>
        <v>0.30909090909090908</v>
      </c>
      <c r="K40" s="78">
        <f>K39/J39-1</f>
        <v>0.125</v>
      </c>
    </row>
    <row r="42" spans="2:11" ht="16">
      <c r="C42" s="45" t="s">
        <v>347</v>
      </c>
      <c r="H42" s="516">
        <f>H10/H39*Units</f>
        <v>6942.978723404256</v>
      </c>
      <c r="I42" s="516">
        <f>I10/I39*Units</f>
        <v>6372.545454545454</v>
      </c>
      <c r="J42" s="516">
        <f>J10/J39*Units</f>
        <v>5489.583333333333</v>
      </c>
      <c r="K42" s="517">
        <v>6760</v>
      </c>
    </row>
    <row r="43" spans="2:11">
      <c r="C43" s="298" t="s">
        <v>349</v>
      </c>
      <c r="I43" s="46">
        <f>I42/H42-1</f>
        <v>-8.2159731663286606E-2</v>
      </c>
      <c r="J43" s="46">
        <f>J42/I42-1</f>
        <v>-0.13855721038165614</v>
      </c>
      <c r="K43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EDB8-8184-4CCE-B2F5-C9CEB3D4D7DD}">
  <dimension ref="B4:T225"/>
  <sheetViews>
    <sheetView showGridLines="0" zoomScale="75" workbookViewId="0">
      <selection activeCell="M23" sqref="M23"/>
    </sheetView>
  </sheetViews>
  <sheetFormatPr defaultRowHeight="16"/>
  <cols>
    <col min="1" max="1" width="8.7265625" style="3"/>
    <col min="2" max="2" width="3.26953125" style="3" customWidth="1"/>
    <col min="3" max="3" width="28.1796875" style="3" bestFit="1" customWidth="1"/>
    <col min="4" max="4" width="13.08984375" style="3" bestFit="1" customWidth="1"/>
    <col min="5" max="5" width="12" style="3" bestFit="1" customWidth="1"/>
    <col min="6" max="6" width="12" style="3" customWidth="1"/>
    <col min="7" max="8" width="14.36328125" style="3" bestFit="1" customWidth="1"/>
    <col min="9" max="10" width="13.08984375" style="3" bestFit="1" customWidth="1"/>
    <col min="11" max="11" width="16.6328125" style="3" bestFit="1" customWidth="1"/>
    <col min="12" max="12" width="13.26953125" style="3" bestFit="1" customWidth="1"/>
    <col min="13" max="13" width="15" style="3" bestFit="1" customWidth="1"/>
    <col min="14" max="16" width="13.26953125" style="3" bestFit="1" customWidth="1"/>
    <col min="17" max="19" width="9.6328125" style="3" bestFit="1" customWidth="1"/>
    <col min="20" max="16384" width="8.7265625" style="3"/>
  </cols>
  <sheetData>
    <row r="4" spans="2:15">
      <c r="B4" s="4"/>
      <c r="C4" s="4"/>
      <c r="D4" s="4"/>
      <c r="E4" s="4"/>
      <c r="F4" s="4"/>
      <c r="G4" s="5"/>
      <c r="H4" s="5"/>
      <c r="I4" s="6" t="s">
        <v>110</v>
      </c>
      <c r="J4" s="5"/>
      <c r="K4" s="7"/>
      <c r="L4" s="5"/>
      <c r="M4" s="5"/>
      <c r="N4" s="5"/>
      <c r="O4" s="6" t="s">
        <v>111</v>
      </c>
    </row>
    <row r="5" spans="2:15">
      <c r="B5" s="8" t="str">
        <f>Company_Name</f>
        <v>Ouster, Inc.</v>
      </c>
      <c r="C5" s="4"/>
      <c r="D5" s="4"/>
      <c r="E5" s="9" t="s">
        <v>112</v>
      </c>
      <c r="F5" s="9"/>
      <c r="G5" s="11">
        <f>EOMONTH(H5,-12)</f>
        <v>44561</v>
      </c>
      <c r="H5" s="11">
        <v>44926</v>
      </c>
      <c r="I5" s="11">
        <f t="shared" ref="I5:O5" si="0">EOMONTH(H5,12)</f>
        <v>45291</v>
      </c>
      <c r="J5" s="11">
        <f t="shared" si="0"/>
        <v>45657</v>
      </c>
      <c r="K5" s="12">
        <f t="shared" si="0"/>
        <v>46022</v>
      </c>
      <c r="L5" s="11">
        <f t="shared" si="0"/>
        <v>46387</v>
      </c>
      <c r="M5" s="11">
        <f t="shared" si="0"/>
        <v>46752</v>
      </c>
      <c r="N5" s="11">
        <f t="shared" si="0"/>
        <v>47118</v>
      </c>
      <c r="O5" s="11">
        <f t="shared" si="0"/>
        <v>47483</v>
      </c>
    </row>
    <row r="7" spans="2:15">
      <c r="C7" s="3" t="s">
        <v>113</v>
      </c>
      <c r="E7" s="13" t="s">
        <v>114</v>
      </c>
      <c r="F7" s="13"/>
      <c r="H7" s="14" t="s">
        <v>133</v>
      </c>
      <c r="L7" s="15" t="s">
        <v>115</v>
      </c>
      <c r="M7" s="16"/>
      <c r="N7" s="17"/>
      <c r="O7" s="18">
        <v>45657</v>
      </c>
    </row>
    <row r="8" spans="2:15">
      <c r="C8" s="3" t="s">
        <v>116</v>
      </c>
      <c r="E8" s="13" t="s">
        <v>114</v>
      </c>
      <c r="F8" s="13"/>
      <c r="H8" s="19" t="s">
        <v>134</v>
      </c>
      <c r="L8" s="15" t="s">
        <v>117</v>
      </c>
      <c r="M8" s="16"/>
      <c r="N8" s="17"/>
      <c r="O8" s="18">
        <f>EOMONTH(O7,12)</f>
        <v>46022</v>
      </c>
    </row>
    <row r="9" spans="2:15">
      <c r="C9" s="3" t="s">
        <v>118</v>
      </c>
      <c r="E9" s="13" t="s">
        <v>119</v>
      </c>
      <c r="F9" s="13"/>
      <c r="H9" s="20">
        <v>21.06</v>
      </c>
      <c r="L9" s="15" t="s">
        <v>120</v>
      </c>
      <c r="M9" s="16"/>
      <c r="N9" s="17"/>
      <c r="O9" s="18">
        <v>45608</v>
      </c>
    </row>
    <row r="10" spans="2:15">
      <c r="C10" s="21" t="s">
        <v>121</v>
      </c>
      <c r="E10" s="13" t="s">
        <v>122</v>
      </c>
      <c r="F10" s="13"/>
      <c r="H10" s="22">
        <v>52.56</v>
      </c>
      <c r="L10" s="15" t="s">
        <v>123</v>
      </c>
      <c r="M10" s="16"/>
      <c r="N10" s="17"/>
      <c r="O10" s="18">
        <v>46062</v>
      </c>
    </row>
    <row r="11" spans="2:15">
      <c r="C11" s="21"/>
      <c r="E11" s="21"/>
      <c r="F11" s="21"/>
      <c r="H11" s="21"/>
    </row>
    <row r="12" spans="2:15">
      <c r="C12" s="21" t="s">
        <v>124</v>
      </c>
      <c r="E12" s="13" t="s">
        <v>125</v>
      </c>
      <c r="F12" s="13"/>
      <c r="H12" s="23">
        <v>0.21</v>
      </c>
    </row>
    <row r="13" spans="2:15">
      <c r="C13" s="21" t="s">
        <v>126</v>
      </c>
      <c r="E13" s="13" t="s">
        <v>125</v>
      </c>
      <c r="F13" s="13"/>
      <c r="H13" s="24">
        <f>Discount_Rate</f>
        <v>0.10836181248027099</v>
      </c>
      <c r="L13" s="15" t="s">
        <v>127</v>
      </c>
      <c r="M13" s="16"/>
      <c r="N13" s="17"/>
      <c r="O13" s="18">
        <v>45930</v>
      </c>
    </row>
    <row r="14" spans="2:15">
      <c r="C14" s="21"/>
      <c r="E14" s="21"/>
      <c r="F14" s="21"/>
      <c r="H14" s="21"/>
      <c r="L14" s="15" t="s">
        <v>128</v>
      </c>
      <c r="M14" s="16"/>
      <c r="N14" s="17"/>
      <c r="O14" s="18">
        <f>EOMONTH(O7,12)</f>
        <v>46022</v>
      </c>
    </row>
    <row r="15" spans="2:15">
      <c r="C15" s="21" t="s">
        <v>129</v>
      </c>
      <c r="E15" s="13" t="s">
        <v>130</v>
      </c>
      <c r="F15" s="13"/>
      <c r="H15" s="25">
        <v>1000</v>
      </c>
      <c r="L15" s="15" t="s">
        <v>131</v>
      </c>
      <c r="M15" s="16"/>
      <c r="N15" s="17"/>
      <c r="O15" s="18">
        <f t="shared" ref="O15:O16" si="1">EOMONTH(O14,12)</f>
        <v>46387</v>
      </c>
    </row>
    <row r="16" spans="2:15">
      <c r="L16" s="15" t="s">
        <v>132</v>
      </c>
      <c r="M16" s="16"/>
      <c r="N16" s="16"/>
      <c r="O16" s="18">
        <f t="shared" si="1"/>
        <v>46752</v>
      </c>
    </row>
    <row r="18" spans="2:16">
      <c r="B18" s="4"/>
      <c r="C18" s="4"/>
      <c r="D18" s="4"/>
      <c r="E18" s="4"/>
      <c r="F18" s="4"/>
      <c r="G18" s="5"/>
      <c r="H18" s="5"/>
      <c r="I18" s="6" t="s">
        <v>110</v>
      </c>
      <c r="J18" s="5"/>
      <c r="K18" s="7"/>
      <c r="L18" s="5"/>
      <c r="M18" s="5"/>
      <c r="N18" s="6" t="s">
        <v>111</v>
      </c>
      <c r="O18" s="6"/>
      <c r="P18" s="6"/>
    </row>
    <row r="19" spans="2:16">
      <c r="B19" s="8" t="str">
        <f>Company_Name&amp;" - Financial Drivers"</f>
        <v>Ouster, Inc. - Financial Drivers</v>
      </c>
      <c r="C19" s="4"/>
      <c r="D19" s="4"/>
      <c r="E19" s="9" t="s">
        <v>112</v>
      </c>
      <c r="F19" s="9"/>
      <c r="G19" s="11">
        <f>EOMONTH(H19,-12)</f>
        <v>44561</v>
      </c>
      <c r="H19" s="11">
        <v>44926</v>
      </c>
      <c r="I19" s="11">
        <f t="shared" ref="I19" si="2">EOMONTH(H19,12)</f>
        <v>45291</v>
      </c>
      <c r="J19" s="11">
        <f t="shared" ref="J19" si="3">EOMONTH(I19,12)</f>
        <v>45657</v>
      </c>
      <c r="K19" s="12">
        <f t="shared" ref="K19" si="4">EOMONTH(J19,12)</f>
        <v>46022</v>
      </c>
      <c r="L19" s="11">
        <f t="shared" ref="L19" si="5">EOMONTH(K19,12)</f>
        <v>46387</v>
      </c>
      <c r="M19" s="11">
        <f t="shared" ref="M19" si="6">EOMONTH(L19,12)</f>
        <v>46752</v>
      </c>
      <c r="N19" s="11">
        <f t="shared" ref="N19" si="7">EOMONTH(M19,12)</f>
        <v>47118</v>
      </c>
      <c r="O19" s="11">
        <f t="shared" ref="O19" si="8">EOMONTH(N19,12)</f>
        <v>47483</v>
      </c>
      <c r="P19" s="11">
        <f t="shared" ref="P19" si="9">EOMONTH(O19,12)</f>
        <v>47848</v>
      </c>
    </row>
    <row r="20" spans="2:16">
      <c r="C20" s="81" t="s">
        <v>170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</row>
    <row r="22" spans="2:16">
      <c r="C22" s="37" t="s">
        <v>136</v>
      </c>
      <c r="E22" s="76" t="s">
        <v>125</v>
      </c>
      <c r="G22" s="468">
        <f>G71/-G69</f>
        <v>0.7294061587944487</v>
      </c>
      <c r="H22" s="468">
        <f t="shared" ref="H22:J22" si="10">H71/-H69</f>
        <v>0.73360306124936026</v>
      </c>
      <c r="I22" s="468">
        <f t="shared" si="10"/>
        <v>0.90016690882455364</v>
      </c>
      <c r="J22" s="468">
        <f t="shared" si="10"/>
        <v>0.63582686024428225</v>
      </c>
      <c r="K22" s="469">
        <f>INDEX($K$23:$P$25,MATCH(Scenario,$C$23:$C$25,0),1)</f>
        <v>0.51</v>
      </c>
      <c r="L22" s="469">
        <f>INDEX($K$23:$P$25,MATCH(Scenario,$C$23:$C$25,0),2)</f>
        <v>0.6</v>
      </c>
      <c r="M22" s="469">
        <f>INDEX($K$23:$P$25,MATCH(Scenario,$C$23:$C$25,0),3)</f>
        <v>0.6</v>
      </c>
      <c r="N22" s="469">
        <f>INDEX($K$23:$P$25,MATCH(Scenario,$C$23:$C$25,0),4)</f>
        <v>0.6</v>
      </c>
      <c r="O22" s="469">
        <f>INDEX($K$23:$P$25,MATCH(Scenario,$C$23:$C$25,0),5)</f>
        <v>0.6</v>
      </c>
      <c r="P22" s="469">
        <f>INDEX($K$23:$P$25,MATCH(Scenario,$C$23:$C$25,0),6)</f>
        <v>0.6</v>
      </c>
    </row>
    <row r="23" spans="2:16">
      <c r="C23" s="77" t="s">
        <v>192</v>
      </c>
      <c r="E23" s="49" t="s">
        <v>125</v>
      </c>
      <c r="G23" s="51"/>
      <c r="H23" s="51"/>
      <c r="I23" s="51"/>
      <c r="J23" s="51"/>
      <c r="K23" s="82">
        <v>0.6</v>
      </c>
      <c r="L23" s="82">
        <v>0.55000000000000004</v>
      </c>
      <c r="M23" s="82">
        <f t="shared" ref="M23" si="11">L23-2%</f>
        <v>0.53</v>
      </c>
      <c r="N23" s="82">
        <v>0.55000000000000004</v>
      </c>
      <c r="O23" s="82">
        <v>0.55000000000000004</v>
      </c>
      <c r="P23" s="82">
        <v>0.55000000000000004</v>
      </c>
    </row>
    <row r="24" spans="2:16">
      <c r="C24" s="77" t="s">
        <v>186</v>
      </c>
      <c r="E24" s="49" t="s">
        <v>125</v>
      </c>
      <c r="G24" s="51"/>
      <c r="H24" s="51"/>
      <c r="I24" s="51"/>
      <c r="J24" s="51"/>
      <c r="K24" s="82">
        <v>0.51</v>
      </c>
      <c r="L24" s="82">
        <v>0.6</v>
      </c>
      <c r="M24" s="82">
        <v>0.6</v>
      </c>
      <c r="N24" s="82">
        <v>0.6</v>
      </c>
      <c r="O24" s="82">
        <v>0.6</v>
      </c>
      <c r="P24" s="82">
        <v>0.6</v>
      </c>
    </row>
    <row r="25" spans="2:16">
      <c r="C25" s="77" t="s">
        <v>193</v>
      </c>
      <c r="E25" s="49" t="s">
        <v>125</v>
      </c>
      <c r="G25" s="51"/>
      <c r="H25" s="51"/>
      <c r="I25" s="51"/>
      <c r="J25" s="51"/>
      <c r="K25" s="82">
        <v>0.63</v>
      </c>
      <c r="L25" s="82">
        <v>0.65</v>
      </c>
      <c r="M25" s="82">
        <v>0.61</v>
      </c>
      <c r="N25" s="82">
        <v>0.62</v>
      </c>
      <c r="O25" s="82">
        <v>0.63</v>
      </c>
      <c r="P25" s="82">
        <v>0.64</v>
      </c>
    </row>
    <row r="27" spans="2:16">
      <c r="C27" s="28" t="s">
        <v>137</v>
      </c>
      <c r="E27" s="49" t="s">
        <v>125</v>
      </c>
      <c r="G27" s="51">
        <f>G75/G$69</f>
        <v>1.0298111858955268</v>
      </c>
      <c r="H27" s="51">
        <f t="shared" ref="H27:J27" si="12">H75/H$69</f>
        <v>1.5675985278705307</v>
      </c>
      <c r="I27" s="51">
        <f t="shared" si="12"/>
        <v>1.0952340926283937</v>
      </c>
      <c r="J27" s="51">
        <f t="shared" si="12"/>
        <v>0.52280357512533637</v>
      </c>
      <c r="K27" s="82">
        <v>0.45</v>
      </c>
      <c r="L27" s="82">
        <v>0.28000000000000003</v>
      </c>
      <c r="M27" s="82">
        <v>0.22</v>
      </c>
      <c r="N27" s="82">
        <v>0.17</v>
      </c>
      <c r="O27" s="82">
        <v>0.13</v>
      </c>
      <c r="P27" s="82">
        <v>0.1</v>
      </c>
    </row>
    <row r="28" spans="2:16">
      <c r="C28" s="28" t="s">
        <v>138</v>
      </c>
      <c r="E28" s="49" t="s">
        <v>125</v>
      </c>
      <c r="G28" s="51">
        <f t="shared" ref="G28:J28" si="13">G76/G$69</f>
        <v>0.66287450116147473</v>
      </c>
      <c r="H28" s="51">
        <f t="shared" si="13"/>
        <v>0.75149284652319093</v>
      </c>
      <c r="I28" s="51">
        <f t="shared" si="13"/>
        <v>0.4999939960854477</v>
      </c>
      <c r="J28" s="51">
        <f t="shared" si="13"/>
        <v>0.2506908128639706</v>
      </c>
      <c r="K28" s="82">
        <v>0.21</v>
      </c>
      <c r="L28" s="82">
        <v>0.13</v>
      </c>
      <c r="M28" s="82">
        <v>0.11</v>
      </c>
      <c r="N28" s="82">
        <v>0.09</v>
      </c>
      <c r="O28" s="82">
        <v>7.0000000000000007E-2</v>
      </c>
      <c r="P28" s="82">
        <v>0.05</v>
      </c>
    </row>
    <row r="29" spans="2:16">
      <c r="C29" s="28" t="s">
        <v>139</v>
      </c>
      <c r="E29" s="49" t="s">
        <v>125</v>
      </c>
      <c r="G29" s="51">
        <f t="shared" ref="G29:J29" si="14">G77/G$69</f>
        <v>1.547411995949729</v>
      </c>
      <c r="H29" s="51">
        <f t="shared" si="14"/>
        <v>1.4917009919812816</v>
      </c>
      <c r="I29" s="51">
        <f t="shared" si="14"/>
        <v>0.98442584565136471</v>
      </c>
      <c r="J29" s="51">
        <f t="shared" si="14"/>
        <v>0.52835708049432495</v>
      </c>
      <c r="K29" s="82">
        <v>0.37</v>
      </c>
      <c r="L29" s="82">
        <v>0.25</v>
      </c>
      <c r="M29" s="82">
        <v>0.19</v>
      </c>
      <c r="N29" s="82">
        <v>0.15</v>
      </c>
      <c r="O29" s="82">
        <v>0.12</v>
      </c>
      <c r="P29" s="82">
        <v>0.09</v>
      </c>
    </row>
    <row r="31" spans="2:16">
      <c r="C31" s="28" t="s">
        <v>140</v>
      </c>
      <c r="E31" s="49" t="s">
        <v>125</v>
      </c>
      <c r="G31" s="50"/>
      <c r="H31" s="51">
        <f>H83/SUM(G106:G108)</f>
        <v>1.2024768408842127E-2</v>
      </c>
      <c r="I31" s="51">
        <f t="shared" ref="I31:J31" si="15">I83/SUM(H106:H108)</f>
        <v>7.336694023005301E-2</v>
      </c>
      <c r="J31" s="51">
        <f t="shared" si="15"/>
        <v>5.7262416033476489E-2</v>
      </c>
      <c r="K31" s="82">
        <v>0.05</v>
      </c>
      <c r="L31" s="82">
        <v>0.05</v>
      </c>
      <c r="M31" s="82">
        <v>0.04</v>
      </c>
      <c r="N31" s="82">
        <v>0.04</v>
      </c>
      <c r="O31" s="82">
        <v>0.03</v>
      </c>
      <c r="P31" s="82">
        <v>0.03</v>
      </c>
    </row>
    <row r="33" spans="3:16">
      <c r="C33" s="28" t="s">
        <v>148</v>
      </c>
      <c r="E33" s="49" t="s">
        <v>155</v>
      </c>
      <c r="G33" s="27">
        <v>0</v>
      </c>
      <c r="H33" s="27">
        <f>G36</f>
        <v>461681</v>
      </c>
      <c r="I33" s="27">
        <f t="shared" ref="I33:P33" si="16">H36</f>
        <v>595299</v>
      </c>
      <c r="J33" s="27">
        <f t="shared" si="16"/>
        <v>667823</v>
      </c>
      <c r="K33" s="27">
        <f t="shared" si="16"/>
        <v>701611</v>
      </c>
      <c r="L33" s="27">
        <f t="shared" si="16"/>
        <v>768561.19200000004</v>
      </c>
      <c r="M33" s="27">
        <f t="shared" si="16"/>
        <v>809596.89502056944</v>
      </c>
      <c r="N33" s="27">
        <f t="shared" si="16"/>
        <v>813193.70871170459</v>
      </c>
      <c r="O33" s="27">
        <f t="shared" si="16"/>
        <v>761882.09316800721</v>
      </c>
      <c r="P33" s="27">
        <f t="shared" si="16"/>
        <v>653106.83350481023</v>
      </c>
    </row>
    <row r="34" spans="3:16">
      <c r="C34" s="28" t="s">
        <v>142</v>
      </c>
      <c r="E34" s="49" t="s">
        <v>155</v>
      </c>
      <c r="G34" s="27">
        <v>461681</v>
      </c>
      <c r="H34" s="27">
        <v>133618</v>
      </c>
      <c r="I34" s="27">
        <v>72524</v>
      </c>
      <c r="J34" s="27">
        <v>33788</v>
      </c>
      <c r="K34" s="57">
        <f>IF(K88&lt;0,K88*-1,0)</f>
        <v>66950.191999999995</v>
      </c>
      <c r="L34" s="57">
        <f t="shared" ref="L34:P34" si="17">IF(L88&lt;0,L88*-1,0)</f>
        <v>41035.703020569345</v>
      </c>
      <c r="M34" s="57">
        <f t="shared" si="17"/>
        <v>3596.8136911351812</v>
      </c>
      <c r="N34" s="57">
        <f t="shared" si="17"/>
        <v>0</v>
      </c>
      <c r="O34" s="57">
        <f t="shared" si="17"/>
        <v>0</v>
      </c>
      <c r="P34" s="57">
        <f t="shared" si="17"/>
        <v>0</v>
      </c>
    </row>
    <row r="35" spans="3:16">
      <c r="C35" s="28" t="s">
        <v>143</v>
      </c>
      <c r="E35" s="49" t="s">
        <v>155</v>
      </c>
      <c r="G35" s="35">
        <v>0</v>
      </c>
      <c r="H35" s="35">
        <v>0</v>
      </c>
      <c r="I35" s="35">
        <v>0</v>
      </c>
      <c r="J35" s="35">
        <v>0</v>
      </c>
      <c r="K35" s="56">
        <f t="shared" ref="K35:P35" si="18">-MIN(+K33+K34,MAX(K88*K40,0))</f>
        <v>0</v>
      </c>
      <c r="L35" s="56">
        <f t="shared" si="18"/>
        <v>0</v>
      </c>
      <c r="M35" s="56">
        <f t="shared" si="18"/>
        <v>0</v>
      </c>
      <c r="N35" s="56">
        <f t="shared" si="18"/>
        <v>-51311.615543697342</v>
      </c>
      <c r="O35" s="56">
        <f t="shared" si="18"/>
        <v>-108775.25966319692</v>
      </c>
      <c r="P35" s="56">
        <f t="shared" si="18"/>
        <v>-175601.62977019802</v>
      </c>
    </row>
    <row r="36" spans="3:16">
      <c r="C36" s="31" t="s">
        <v>144</v>
      </c>
      <c r="E36" s="76" t="s">
        <v>155</v>
      </c>
      <c r="G36" s="36">
        <f>SUM(G33:G35)</f>
        <v>461681</v>
      </c>
      <c r="H36" s="36">
        <f t="shared" ref="H36:J36" si="19">SUM(H33:H35)</f>
        <v>595299</v>
      </c>
      <c r="I36" s="36">
        <f t="shared" si="19"/>
        <v>667823</v>
      </c>
      <c r="J36" s="36">
        <f t="shared" si="19"/>
        <v>701611</v>
      </c>
      <c r="K36" s="36">
        <f t="shared" ref="K36" si="20">SUM(K33:K35)</f>
        <v>768561.19200000004</v>
      </c>
      <c r="L36" s="36">
        <f t="shared" ref="L36" si="21">SUM(L33:L35)</f>
        <v>809596.89502056944</v>
      </c>
      <c r="M36" s="36">
        <f t="shared" ref="M36" si="22">SUM(M33:M35)</f>
        <v>813193.70871170459</v>
      </c>
      <c r="N36" s="36">
        <f t="shared" ref="N36" si="23">SUM(N33:N35)</f>
        <v>761882.09316800721</v>
      </c>
      <c r="O36" s="36">
        <f t="shared" ref="O36" si="24">SUM(O33:O35)</f>
        <v>653106.83350481023</v>
      </c>
      <c r="P36" s="36">
        <f t="shared" ref="P36" si="25">SUM(P33:P35)</f>
        <v>477505.20373461221</v>
      </c>
    </row>
    <row r="37" spans="3:16">
      <c r="G37" s="27"/>
      <c r="H37" s="27"/>
      <c r="I37" s="27"/>
      <c r="J37" s="27"/>
      <c r="L37" s="26"/>
      <c r="M37" s="26"/>
      <c r="N37" s="26"/>
    </row>
    <row r="38" spans="3:16">
      <c r="C38" s="3" t="s">
        <v>145</v>
      </c>
      <c r="E38" s="49" t="s">
        <v>155</v>
      </c>
      <c r="G38" s="27" t="s">
        <v>141</v>
      </c>
      <c r="H38" s="27" t="s">
        <v>141</v>
      </c>
      <c r="I38" s="27" t="s">
        <v>141</v>
      </c>
      <c r="J38" s="27">
        <v>-33788</v>
      </c>
      <c r="K38" s="57">
        <f t="shared" ref="K38:P38" si="26">-SUM(K119,K35)</f>
        <v>-1262.5</v>
      </c>
      <c r="L38" s="57">
        <f t="shared" si="26"/>
        <v>-1319.375</v>
      </c>
      <c r="M38" s="57">
        <f t="shared" si="26"/>
        <v>-1376.96875</v>
      </c>
      <c r="N38" s="57">
        <f t="shared" si="26"/>
        <v>49863.154606197342</v>
      </c>
      <c r="O38" s="57">
        <f t="shared" si="26"/>
        <v>107423.43349132192</v>
      </c>
      <c r="P38" s="57">
        <f t="shared" si="26"/>
        <v>174227.47205535427</v>
      </c>
    </row>
    <row r="39" spans="3:16">
      <c r="C39" s="3" t="s">
        <v>146</v>
      </c>
      <c r="E39" s="49" t="s">
        <v>155</v>
      </c>
      <c r="G39" s="27" t="s">
        <v>141</v>
      </c>
      <c r="H39" s="27" t="s">
        <v>141</v>
      </c>
      <c r="I39" s="27" t="s">
        <v>141</v>
      </c>
      <c r="J39" s="27" t="s">
        <v>141</v>
      </c>
      <c r="K39" s="57">
        <f t="shared" ref="K39:P39" si="27">IF(K38&lt;0,0,K38*Tax_Rate)</f>
        <v>0</v>
      </c>
      <c r="L39" s="57">
        <f t="shared" si="27"/>
        <v>0</v>
      </c>
      <c r="M39" s="57">
        <f t="shared" si="27"/>
        <v>0</v>
      </c>
      <c r="N39" s="57">
        <f t="shared" si="27"/>
        <v>10471.262467301442</v>
      </c>
      <c r="O39" s="57">
        <f t="shared" si="27"/>
        <v>22558.921033177601</v>
      </c>
      <c r="P39" s="57">
        <f t="shared" si="27"/>
        <v>36587.769131624395</v>
      </c>
    </row>
    <row r="40" spans="3:16">
      <c r="C40" s="3" t="s">
        <v>147</v>
      </c>
      <c r="E40" s="49" t="s">
        <v>125</v>
      </c>
      <c r="G40" s="83">
        <v>0.8</v>
      </c>
      <c r="H40" s="83">
        <v>0.8</v>
      </c>
      <c r="I40" s="83">
        <v>0.8</v>
      </c>
      <c r="J40" s="83">
        <v>0.8</v>
      </c>
      <c r="K40" s="83">
        <v>0.8</v>
      </c>
      <c r="L40" s="83">
        <v>0.8</v>
      </c>
      <c r="M40" s="83">
        <v>0.8</v>
      </c>
      <c r="N40" s="83">
        <v>0.8</v>
      </c>
      <c r="O40" s="83">
        <v>0.8</v>
      </c>
      <c r="P40" s="83">
        <v>0.8</v>
      </c>
    </row>
    <row r="41" spans="3:16"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3:16">
      <c r="C42" s="81" t="s">
        <v>169</v>
      </c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</row>
    <row r="43" spans="3:16">
      <c r="K43" s="52"/>
    </row>
    <row r="44" spans="3:16">
      <c r="C44" s="59" t="s">
        <v>23</v>
      </c>
      <c r="E44" s="49" t="s">
        <v>125</v>
      </c>
      <c r="I44" s="51">
        <f>I108/H106</f>
        <v>1.1319916701916506</v>
      </c>
      <c r="J44" s="51">
        <f>J108/I106</f>
        <v>2.4804377243042888</v>
      </c>
      <c r="K44" s="82">
        <v>2.5</v>
      </c>
      <c r="L44" s="82">
        <v>0.8</v>
      </c>
      <c r="M44" s="82">
        <v>0.8</v>
      </c>
      <c r="N44" s="82">
        <v>0.8</v>
      </c>
      <c r="O44" s="82">
        <v>0.8</v>
      </c>
      <c r="P44" s="82">
        <v>0.8</v>
      </c>
    </row>
    <row r="45" spans="3:16">
      <c r="C45" s="59" t="s">
        <v>150</v>
      </c>
      <c r="E45" s="49" t="s">
        <v>152</v>
      </c>
      <c r="G45" s="61">
        <f t="shared" ref="G45:J46" si="28">G109*(G$104-EOMONTH(G$104,-12))/G$69</f>
        <v>116.56129013044256</v>
      </c>
      <c r="H45" s="61">
        <f t="shared" si="28"/>
        <v>99.930415072265959</v>
      </c>
      <c r="I45" s="61">
        <f t="shared" si="28"/>
        <v>63.888915572953564</v>
      </c>
      <c r="J45" s="61">
        <f t="shared" si="28"/>
        <v>59.103032375946214</v>
      </c>
      <c r="K45" s="62">
        <v>52</v>
      </c>
      <c r="L45" s="62">
        <f>K45-4</f>
        <v>48</v>
      </c>
      <c r="M45" s="62">
        <f t="shared" ref="M45:P45" si="29">L45-4</f>
        <v>44</v>
      </c>
      <c r="N45" s="62">
        <f t="shared" si="29"/>
        <v>40</v>
      </c>
      <c r="O45" s="62">
        <f t="shared" si="29"/>
        <v>36</v>
      </c>
      <c r="P45" s="62">
        <f t="shared" si="29"/>
        <v>32</v>
      </c>
    </row>
    <row r="46" spans="3:16">
      <c r="C46" s="59" t="s">
        <v>151</v>
      </c>
      <c r="E46" s="49" t="s">
        <v>152</v>
      </c>
      <c r="G46" s="61">
        <f t="shared" si="28"/>
        <v>80.961343736970633</v>
      </c>
      <c r="H46" s="61">
        <f t="shared" si="28"/>
        <v>173.76843208462307</v>
      </c>
      <c r="I46" s="61">
        <f t="shared" si="28"/>
        <v>101.82254830149257</v>
      </c>
      <c r="J46" s="61">
        <f t="shared" si="28"/>
        <v>54.082519509275343</v>
      </c>
      <c r="K46" s="62">
        <v>52</v>
      </c>
      <c r="L46" s="62">
        <f>K46-4</f>
        <v>48</v>
      </c>
      <c r="M46" s="62">
        <f t="shared" ref="M46:P46" si="30">L46-4</f>
        <v>44</v>
      </c>
      <c r="N46" s="62">
        <f t="shared" si="30"/>
        <v>40</v>
      </c>
      <c r="O46" s="62">
        <f t="shared" si="30"/>
        <v>36</v>
      </c>
      <c r="P46" s="62">
        <f t="shared" si="30"/>
        <v>32</v>
      </c>
    </row>
    <row r="47" spans="3:16">
      <c r="C47" s="59" t="s">
        <v>153</v>
      </c>
      <c r="E47" s="49" t="s">
        <v>125</v>
      </c>
      <c r="G47" s="51">
        <f>G111/G69</f>
        <v>0.16576329739710524</v>
      </c>
      <c r="H47" s="51">
        <f t="shared" ref="H47:J47" si="31">H111/H69</f>
        <v>0.2082185771039996</v>
      </c>
      <c r="I47" s="51">
        <f t="shared" si="31"/>
        <v>0.41603525498625105</v>
      </c>
      <c r="J47" s="51">
        <f t="shared" si="31"/>
        <v>0.11476044320033123</v>
      </c>
      <c r="K47" s="82">
        <v>0.08</v>
      </c>
      <c r="L47" s="82">
        <v>7.0000000000000007E-2</v>
      </c>
      <c r="M47" s="82">
        <v>7.0000000000000007E-2</v>
      </c>
      <c r="N47" s="82">
        <v>0.06</v>
      </c>
      <c r="O47" s="82">
        <v>0.06</v>
      </c>
      <c r="P47" s="82">
        <v>0.05</v>
      </c>
    </row>
    <row r="49" spans="3:16">
      <c r="C49" s="59" t="s">
        <v>168</v>
      </c>
      <c r="E49" s="49" t="s">
        <v>125</v>
      </c>
      <c r="G49" s="51">
        <f>G115/SUM(G126,G129)</f>
        <v>0.78630350194552534</v>
      </c>
      <c r="H49" s="51">
        <f t="shared" ref="H49:J49" si="32">H115/SUM(H126,H129)</f>
        <v>0.78196257746224651</v>
      </c>
      <c r="I49" s="51">
        <f t="shared" si="32"/>
        <v>0.71600509200324036</v>
      </c>
      <c r="J49" s="51">
        <f t="shared" si="32"/>
        <v>0.70656790123456792</v>
      </c>
      <c r="K49" s="82">
        <f>AVERAGE(G49:J49)</f>
        <v>0.74770976816139501</v>
      </c>
      <c r="L49" s="82">
        <f t="shared" ref="L49:P49" si="33">AVERAGE(H49:K49)</f>
        <v>0.73806133471536239</v>
      </c>
      <c r="M49" s="82">
        <f t="shared" si="33"/>
        <v>0.72708602402864142</v>
      </c>
      <c r="N49" s="82">
        <f t="shared" si="33"/>
        <v>0.72985625703499157</v>
      </c>
      <c r="O49" s="82">
        <f t="shared" si="33"/>
        <v>0.73567834598509751</v>
      </c>
      <c r="P49" s="82">
        <f t="shared" si="33"/>
        <v>0.73267049044102328</v>
      </c>
    </row>
    <row r="50" spans="3:16">
      <c r="C50" s="59" t="s">
        <v>172</v>
      </c>
      <c r="E50" s="49" t="s">
        <v>125</v>
      </c>
      <c r="G50" s="51">
        <f>G116/G69</f>
        <v>0</v>
      </c>
      <c r="H50" s="51">
        <f t="shared" ref="H50:J50" si="34">H116/H69</f>
        <v>0</v>
      </c>
      <c r="I50" s="51">
        <f t="shared" si="34"/>
        <v>0.12688673014805654</v>
      </c>
      <c r="J50" s="51">
        <f t="shared" si="34"/>
        <v>9.120529968227109E-2</v>
      </c>
      <c r="K50" s="82">
        <v>7.0000000000000007E-2</v>
      </c>
      <c r="L50" s="82">
        <v>0.06</v>
      </c>
      <c r="M50" s="82">
        <v>0.05</v>
      </c>
      <c r="N50" s="82">
        <v>0.05</v>
      </c>
      <c r="O50" s="82">
        <v>0.04</v>
      </c>
      <c r="P50" s="82">
        <v>0.04</v>
      </c>
    </row>
    <row r="52" spans="3:16">
      <c r="C52" s="28" t="s">
        <v>173</v>
      </c>
      <c r="E52" s="49" t="s">
        <v>152</v>
      </c>
      <c r="G52" s="61">
        <f>G123*(G104-EOMONTH(G104,-12))/G69</f>
        <v>52.861844064566085</v>
      </c>
      <c r="H52" s="61">
        <f t="shared" ref="H52:J52" si="35">H123*(H104-EOMONTH(H104,-12))/H69</f>
        <v>78.268298033098546</v>
      </c>
      <c r="I52" s="61">
        <f t="shared" si="35"/>
        <v>15.537230274138738</v>
      </c>
      <c r="J52" s="61">
        <f t="shared" si="35"/>
        <v>20.714557024689245</v>
      </c>
      <c r="K52" s="62">
        <v>22</v>
      </c>
      <c r="L52" s="62">
        <f>K52-2</f>
        <v>20</v>
      </c>
      <c r="M52" s="62">
        <f t="shared" ref="M52:P52" si="36">L52-2</f>
        <v>18</v>
      </c>
      <c r="N52" s="62">
        <f t="shared" si="36"/>
        <v>16</v>
      </c>
      <c r="O52" s="62">
        <f t="shared" si="36"/>
        <v>14</v>
      </c>
      <c r="P52" s="62">
        <f t="shared" si="36"/>
        <v>12</v>
      </c>
    </row>
    <row r="53" spans="3:16">
      <c r="C53" s="28" t="s">
        <v>174</v>
      </c>
      <c r="E53" s="49" t="s">
        <v>125</v>
      </c>
      <c r="G53" s="51">
        <f>G124/-G79</f>
        <v>0.13027133350490827</v>
      </c>
      <c r="H53" s="51">
        <f t="shared" ref="H53:J53" si="37">H124/-H79</f>
        <v>0.11175353207165836</v>
      </c>
      <c r="I53" s="51">
        <f t="shared" si="37"/>
        <v>0.15246418142833926</v>
      </c>
      <c r="J53" s="51">
        <f t="shared" si="37"/>
        <v>0.21150189785462917</v>
      </c>
      <c r="K53" s="84">
        <v>0.13</v>
      </c>
      <c r="L53" s="84">
        <f>K53-1%</f>
        <v>0.12000000000000001</v>
      </c>
      <c r="M53" s="84">
        <f t="shared" ref="M53:P53" si="38">L53-1%</f>
        <v>0.11000000000000001</v>
      </c>
      <c r="N53" s="84">
        <f t="shared" si="38"/>
        <v>0.10000000000000002</v>
      </c>
      <c r="O53" s="84">
        <f t="shared" si="38"/>
        <v>9.0000000000000024E-2</v>
      </c>
      <c r="P53" s="84">
        <f t="shared" si="38"/>
        <v>8.0000000000000029E-2</v>
      </c>
    </row>
    <row r="54" spans="3:16">
      <c r="C54" s="28" t="s">
        <v>175</v>
      </c>
      <c r="E54" s="49" t="s">
        <v>125</v>
      </c>
      <c r="G54" s="51">
        <f>G125/G69</f>
        <v>0</v>
      </c>
      <c r="H54" s="51">
        <f t="shared" ref="H54:J54" si="39">H125/H69</f>
        <v>0</v>
      </c>
      <c r="I54" s="51">
        <f t="shared" si="39"/>
        <v>0.15472087801246412</v>
      </c>
      <c r="J54" s="51">
        <f t="shared" si="39"/>
        <v>0.3091871360293787</v>
      </c>
      <c r="K54" s="84">
        <f>AVERAGE(I54:J54)</f>
        <v>0.23195400702092139</v>
      </c>
      <c r="L54" s="84">
        <v>0.15</v>
      </c>
      <c r="M54" s="84">
        <f t="shared" ref="M54" si="40">L54-4%</f>
        <v>0.10999999999999999</v>
      </c>
      <c r="N54" s="84">
        <f>M54-1%</f>
        <v>9.9999999999999992E-2</v>
      </c>
      <c r="O54" s="84">
        <v>9.9999999999999992E-2</v>
      </c>
      <c r="P54" s="84">
        <v>9.9999999999999992E-2</v>
      </c>
    </row>
    <row r="55" spans="3:16">
      <c r="C55" s="28" t="s">
        <v>39</v>
      </c>
      <c r="E55" s="49" t="s">
        <v>125</v>
      </c>
      <c r="G55" s="85"/>
      <c r="H55" s="51">
        <f>G126/G129</f>
        <v>0.18922754195459032</v>
      </c>
      <c r="I55" s="51">
        <f t="shared" ref="I55:K55" si="41">H126/H129</f>
        <v>0.24037313432835822</v>
      </c>
      <c r="J55" s="51">
        <f t="shared" si="41"/>
        <v>0.37690550804695383</v>
      </c>
      <c r="K55" s="84">
        <f t="shared" si="41"/>
        <v>0.55124865941473877</v>
      </c>
      <c r="L55" s="82">
        <f>AVERAGE(H55:K55)</f>
        <v>0.33943871093616029</v>
      </c>
      <c r="M55" s="82">
        <f t="shared" ref="M55:P55" si="42">AVERAGE(I55:L55)</f>
        <v>0.37699150318155278</v>
      </c>
      <c r="N55" s="82">
        <f t="shared" si="42"/>
        <v>0.41114609539485142</v>
      </c>
      <c r="O55" s="82">
        <f t="shared" si="42"/>
        <v>0.41970624223182579</v>
      </c>
      <c r="P55" s="82">
        <f t="shared" si="42"/>
        <v>0.38682063793609756</v>
      </c>
    </row>
    <row r="57" spans="3:16">
      <c r="C57" s="28" t="s">
        <v>171</v>
      </c>
      <c r="E57" s="49" t="s">
        <v>125</v>
      </c>
      <c r="G57" s="85"/>
      <c r="H57" s="51">
        <f>(1-(H129/G129))</f>
        <v>0.17324777887462983</v>
      </c>
      <c r="I57" s="51">
        <f t="shared" ref="I57:J57" si="43">(1-(I129/H129))</f>
        <v>-0.40500000000000003</v>
      </c>
      <c r="J57" s="51">
        <f t="shared" si="43"/>
        <v>0.30663408933977798</v>
      </c>
      <c r="K57" s="82">
        <f>AVERAGE(H57:J57)</f>
        <v>2.4960622738135929E-2</v>
      </c>
      <c r="L57" s="86"/>
      <c r="M57" s="86"/>
      <c r="N57" s="86"/>
      <c r="O57" s="86"/>
      <c r="P57" s="86"/>
    </row>
    <row r="58" spans="3:16">
      <c r="C58" s="28" t="s">
        <v>176</v>
      </c>
      <c r="E58" s="49" t="s">
        <v>125</v>
      </c>
      <c r="G58" s="51"/>
      <c r="H58" s="51"/>
      <c r="I58" s="51">
        <f t="shared" ref="I58:J58" si="44">I132/I125</f>
        <v>0.38548700038804812</v>
      </c>
      <c r="J58" s="51">
        <f t="shared" si="44"/>
        <v>7.3884311955983814E-2</v>
      </c>
      <c r="K58" s="84">
        <v>0.06</v>
      </c>
      <c r="L58" s="84">
        <v>0.06</v>
      </c>
      <c r="M58" s="84">
        <v>0.05</v>
      </c>
      <c r="N58" s="84">
        <v>0.05</v>
      </c>
      <c r="O58" s="84">
        <v>0.04</v>
      </c>
      <c r="P58" s="84">
        <v>0.04</v>
      </c>
    </row>
    <row r="59" spans="3:16">
      <c r="C59" s="28" t="s">
        <v>177</v>
      </c>
      <c r="E59" s="49" t="s">
        <v>125</v>
      </c>
      <c r="G59" s="51">
        <f>G133/G69</f>
        <v>3.1717195782953123E-2</v>
      </c>
      <c r="H59" s="51">
        <f t="shared" ref="H59:J59" si="45">H133/H69</f>
        <v>4.5626264349606378E-2</v>
      </c>
      <c r="I59" s="51">
        <f t="shared" si="45"/>
        <v>1.9332604858367654E-2</v>
      </c>
      <c r="J59" s="51">
        <f t="shared" si="45"/>
        <v>1.097199845185912E-2</v>
      </c>
      <c r="K59" s="84">
        <v>0.01</v>
      </c>
      <c r="L59" s="84">
        <v>0.01</v>
      </c>
      <c r="M59" s="84">
        <v>0.01</v>
      </c>
      <c r="N59" s="84">
        <v>0.01</v>
      </c>
      <c r="O59" s="84">
        <v>0.01</v>
      </c>
      <c r="P59" s="84">
        <v>0.01</v>
      </c>
    </row>
    <row r="61" spans="3:16">
      <c r="C61" s="81" t="s">
        <v>178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</row>
    <row r="63" spans="3:16">
      <c r="C63" s="38" t="s">
        <v>179</v>
      </c>
      <c r="E63" s="49" t="s">
        <v>125</v>
      </c>
      <c r="G63" s="51">
        <f>G154/-G79</f>
        <v>0.2331243795727784</v>
      </c>
      <c r="H63" s="51">
        <f t="shared" ref="H63:J63" si="46">H154/-H79</f>
        <v>0.21311391530702961</v>
      </c>
      <c r="I63" s="51">
        <f t="shared" si="46"/>
        <v>0.1513082363055889</v>
      </c>
      <c r="J63" s="51">
        <f t="shared" si="46"/>
        <v>0.279727870461915</v>
      </c>
      <c r="K63" s="82">
        <f>AVERAGE(G63:J63)</f>
        <v>0.21931860041182799</v>
      </c>
      <c r="L63" s="82">
        <v>0.2</v>
      </c>
      <c r="M63" s="82">
        <v>0.18</v>
      </c>
      <c r="N63" s="82">
        <v>0.16</v>
      </c>
      <c r="O63" s="82">
        <v>0.14000000000000001</v>
      </c>
      <c r="P63" s="82">
        <v>0.12</v>
      </c>
    </row>
    <row r="66" spans="2:20">
      <c r="B66" s="4"/>
      <c r="C66" s="4"/>
      <c r="D66" s="4"/>
      <c r="E66" s="4"/>
      <c r="F66" s="4"/>
      <c r="G66" s="5"/>
      <c r="H66" s="5"/>
      <c r="I66" s="6" t="s">
        <v>110</v>
      </c>
      <c r="J66" s="5"/>
      <c r="K66" s="7"/>
      <c r="L66" s="5"/>
      <c r="M66" s="5"/>
      <c r="N66" s="6" t="s">
        <v>111</v>
      </c>
      <c r="O66" s="6"/>
      <c r="P66" s="6"/>
      <c r="R66" s="6"/>
      <c r="S66" s="6"/>
      <c r="T66" s="87"/>
    </row>
    <row r="67" spans="2:20">
      <c r="B67" s="8" t="str">
        <f>Company_Name&amp;" - Income Statement"</f>
        <v>Ouster, Inc. - Income Statement</v>
      </c>
      <c r="C67" s="4"/>
      <c r="D67" s="4"/>
      <c r="E67" s="9" t="s">
        <v>112</v>
      </c>
      <c r="F67" s="9"/>
      <c r="G67" s="11">
        <f>EOMONTH(H67,-12)</f>
        <v>44561</v>
      </c>
      <c r="H67" s="11">
        <v>44926</v>
      </c>
      <c r="I67" s="11">
        <f t="shared" ref="I67" si="47">EOMONTH(H67,12)</f>
        <v>45291</v>
      </c>
      <c r="J67" s="11">
        <f t="shared" ref="J67" si="48">EOMONTH(I67,12)</f>
        <v>45657</v>
      </c>
      <c r="K67" s="12">
        <f t="shared" ref="K67" si="49">EOMONTH(J67,12)</f>
        <v>46022</v>
      </c>
      <c r="L67" s="11">
        <f t="shared" ref="L67" si="50">EOMONTH(K67,12)</f>
        <v>46387</v>
      </c>
      <c r="M67" s="11">
        <f t="shared" ref="M67" si="51">EOMONTH(L67,12)</f>
        <v>46752</v>
      </c>
      <c r="N67" s="11">
        <f t="shared" ref="N67" si="52">EOMONTH(M67,12)</f>
        <v>47118</v>
      </c>
      <c r="O67" s="11">
        <f t="shared" ref="O67:P67" si="53">EOMONTH(N67,12)</f>
        <v>47483</v>
      </c>
      <c r="P67" s="11">
        <f t="shared" si="53"/>
        <v>47848</v>
      </c>
      <c r="R67" s="8" t="s">
        <v>149</v>
      </c>
      <c r="S67" s="8"/>
    </row>
    <row r="69" spans="2:20">
      <c r="C69" s="31" t="s">
        <v>1</v>
      </c>
      <c r="G69" s="30">
        <v>33578</v>
      </c>
      <c r="H69" s="30">
        <v>41029</v>
      </c>
      <c r="I69" s="30">
        <v>83279</v>
      </c>
      <c r="J69" s="30">
        <v>111101</v>
      </c>
      <c r="K69" s="32">
        <f>Drivers!J6</f>
        <v>169000</v>
      </c>
      <c r="L69" s="32">
        <f>Drivers!K6</f>
        <v>254788</v>
      </c>
      <c r="M69" s="32">
        <f>Drivers!L6</f>
        <v>365254.16399999999</v>
      </c>
      <c r="N69" s="32">
        <f>Drivers!M6</f>
        <v>535307.84317800007</v>
      </c>
      <c r="O69" s="32">
        <f>Drivers!N6</f>
        <v>712266.90027449396</v>
      </c>
      <c r="P69" s="32">
        <f>Drivers!O6</f>
        <v>912910.72114970523</v>
      </c>
    </row>
    <row r="70" spans="2:20">
      <c r="G70" s="27"/>
      <c r="H70" s="27"/>
      <c r="I70" s="27"/>
      <c r="J70" s="27"/>
    </row>
    <row r="71" spans="2:20">
      <c r="C71" s="29" t="s">
        <v>2</v>
      </c>
      <c r="G71" s="33">
        <v>-24492</v>
      </c>
      <c r="H71" s="33">
        <v>-30099</v>
      </c>
      <c r="I71" s="33">
        <v>-74965</v>
      </c>
      <c r="J71" s="33">
        <v>-70641</v>
      </c>
      <c r="K71" s="35">
        <f t="shared" ref="K71:P71" si="54">-K69*K22</f>
        <v>-86190</v>
      </c>
      <c r="L71" s="35">
        <f t="shared" si="54"/>
        <v>-152872.79999999999</v>
      </c>
      <c r="M71" s="35">
        <f t="shared" si="54"/>
        <v>-219152.49839999998</v>
      </c>
      <c r="N71" s="35">
        <f t="shared" si="54"/>
        <v>-321184.70590680005</v>
      </c>
      <c r="O71" s="35">
        <f t="shared" si="54"/>
        <v>-427360.14016469638</v>
      </c>
      <c r="P71" s="35">
        <f t="shared" si="54"/>
        <v>-547746.43268982309</v>
      </c>
    </row>
    <row r="72" spans="2:20">
      <c r="C72" s="31" t="s">
        <v>3</v>
      </c>
      <c r="G72" s="32">
        <f>SUM(G69,G71)</f>
        <v>9086</v>
      </c>
      <c r="H72" s="32">
        <f t="shared" ref="H72:J72" si="55">SUM(H69,H71)</f>
        <v>10930</v>
      </c>
      <c r="I72" s="32">
        <f t="shared" si="55"/>
        <v>8314</v>
      </c>
      <c r="J72" s="32">
        <f t="shared" si="55"/>
        <v>40460</v>
      </c>
      <c r="K72" s="32">
        <f t="shared" ref="K72" si="56">SUM(K69,K71)</f>
        <v>82810</v>
      </c>
      <c r="L72" s="32">
        <f t="shared" ref="L72" si="57">SUM(L69,L71)</f>
        <v>101915.20000000001</v>
      </c>
      <c r="M72" s="32">
        <f t="shared" ref="M72" si="58">SUM(M69,M71)</f>
        <v>146101.66560000001</v>
      </c>
      <c r="N72" s="32">
        <f t="shared" ref="N72" si="59">SUM(N69,N71)</f>
        <v>214123.13727120002</v>
      </c>
      <c r="O72" s="32">
        <f t="shared" ref="O72" si="60">SUM(O69,O71)</f>
        <v>284906.76010979759</v>
      </c>
      <c r="P72" s="32">
        <f t="shared" ref="P72" si="61">SUM(P69,P71)</f>
        <v>365164.28845988214</v>
      </c>
    </row>
    <row r="73" spans="2:20">
      <c r="C73" s="142" t="s">
        <v>510</v>
      </c>
      <c r="G73" s="51">
        <f>G72/G69</f>
        <v>0.27059384120555124</v>
      </c>
      <c r="H73" s="51">
        <f t="shared" ref="H73:P73" si="62">H72/H69</f>
        <v>0.2663969387506398</v>
      </c>
      <c r="I73" s="51">
        <f t="shared" si="62"/>
        <v>9.9833091175446392E-2</v>
      </c>
      <c r="J73" s="51">
        <f t="shared" si="62"/>
        <v>0.36417313975571775</v>
      </c>
      <c r="K73" s="51">
        <f t="shared" si="62"/>
        <v>0.49</v>
      </c>
      <c r="L73" s="51">
        <f t="shared" si="62"/>
        <v>0.4</v>
      </c>
      <c r="M73" s="51">
        <f t="shared" si="62"/>
        <v>0.4</v>
      </c>
      <c r="N73" s="51">
        <f t="shared" si="62"/>
        <v>0.39999999999999997</v>
      </c>
      <c r="O73" s="51">
        <f t="shared" si="62"/>
        <v>0.4</v>
      </c>
      <c r="P73" s="51">
        <f t="shared" si="62"/>
        <v>0.40000000000000008</v>
      </c>
    </row>
    <row r="74" spans="2:20">
      <c r="C74" s="142"/>
      <c r="G74" s="27"/>
      <c r="H74" s="27"/>
      <c r="I74" s="27"/>
      <c r="J74" s="27"/>
    </row>
    <row r="75" spans="2:20">
      <c r="C75" s="28" t="s">
        <v>4</v>
      </c>
      <c r="G75" s="34">
        <v>34579</v>
      </c>
      <c r="H75" s="34">
        <v>64317</v>
      </c>
      <c r="I75" s="34">
        <v>91210</v>
      </c>
      <c r="J75" s="34">
        <v>58084</v>
      </c>
      <c r="K75" s="27">
        <v>69993.63</v>
      </c>
      <c r="L75" s="27">
        <v>66500</v>
      </c>
      <c r="M75" s="27">
        <v>66500</v>
      </c>
      <c r="N75" s="27">
        <v>66500</v>
      </c>
      <c r="O75" s="27">
        <v>66500</v>
      </c>
      <c r="P75" s="27">
        <v>66500</v>
      </c>
      <c r="R75" s="58">
        <v>66712</v>
      </c>
    </row>
    <row r="76" spans="2:20">
      <c r="C76" s="28" t="s">
        <v>5</v>
      </c>
      <c r="G76" s="34">
        <v>22258</v>
      </c>
      <c r="H76" s="34">
        <v>30833</v>
      </c>
      <c r="I76" s="34">
        <v>41639</v>
      </c>
      <c r="J76" s="34">
        <v>27852</v>
      </c>
      <c r="K76" s="27">
        <v>32663.693999999996</v>
      </c>
      <c r="L76" s="27">
        <v>31500</v>
      </c>
      <c r="M76" s="27">
        <v>31500</v>
      </c>
      <c r="N76" s="27">
        <v>31500</v>
      </c>
      <c r="O76" s="27">
        <v>31500</v>
      </c>
      <c r="P76" s="27">
        <v>31500</v>
      </c>
      <c r="R76" s="58">
        <v>31548</v>
      </c>
    </row>
    <row r="77" spans="2:20">
      <c r="C77" s="28" t="s">
        <v>6</v>
      </c>
      <c r="G77" s="34">
        <v>51959</v>
      </c>
      <c r="H77" s="34">
        <v>61203</v>
      </c>
      <c r="I77" s="34">
        <v>81982</v>
      </c>
      <c r="J77" s="34">
        <v>58701</v>
      </c>
      <c r="K77" s="27">
        <v>57550.317999999999</v>
      </c>
      <c r="L77" s="27">
        <v>57000</v>
      </c>
      <c r="M77" s="27">
        <v>57000</v>
      </c>
      <c r="N77" s="27">
        <v>57000</v>
      </c>
      <c r="O77" s="27">
        <v>57000</v>
      </c>
      <c r="P77" s="27">
        <v>57000</v>
      </c>
      <c r="R77" s="58">
        <v>57080</v>
      </c>
    </row>
    <row r="78" spans="2:20">
      <c r="C78" s="29" t="s">
        <v>7</v>
      </c>
      <c r="G78" s="33">
        <v>0</v>
      </c>
      <c r="H78" s="33">
        <v>0</v>
      </c>
      <c r="I78" s="33">
        <v>166675</v>
      </c>
      <c r="J78" s="3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R78" s="26"/>
    </row>
    <row r="79" spans="2:20">
      <c r="C79" s="31" t="s">
        <v>8</v>
      </c>
      <c r="G79" s="32">
        <f>-SUM(G75:G78)</f>
        <v>-108796</v>
      </c>
      <c r="H79" s="32">
        <f t="shared" ref="H79:J79" si="63">-SUM(H75:H78)</f>
        <v>-156353</v>
      </c>
      <c r="I79" s="32">
        <f t="shared" si="63"/>
        <v>-381506</v>
      </c>
      <c r="J79" s="32">
        <f t="shared" si="63"/>
        <v>-144637</v>
      </c>
      <c r="K79" s="32">
        <f t="shared" ref="K79" si="64">-SUM(K75:K78)</f>
        <v>-160207.64199999999</v>
      </c>
      <c r="L79" s="32">
        <f t="shared" ref="L79" si="65">-SUM(L75:L78)</f>
        <v>-155000</v>
      </c>
      <c r="M79" s="32">
        <f t="shared" ref="M79" si="66">-SUM(M75:M78)</f>
        <v>-155000</v>
      </c>
      <c r="N79" s="32">
        <f t="shared" ref="N79" si="67">-SUM(N75:N78)</f>
        <v>-155000</v>
      </c>
      <c r="O79" s="32">
        <f t="shared" ref="O79" si="68">-SUM(O75:O78)</f>
        <v>-155000</v>
      </c>
      <c r="P79" s="32">
        <f t="shared" ref="P79" si="69">-SUM(P75:P78)</f>
        <v>-155000</v>
      </c>
    </row>
    <row r="80" spans="2:20">
      <c r="G80" s="27"/>
      <c r="H80" s="27"/>
      <c r="I80" s="27"/>
      <c r="J80" s="27"/>
      <c r="L80" s="26"/>
    </row>
    <row r="81" spans="3:16">
      <c r="C81" s="3" t="s">
        <v>494</v>
      </c>
      <c r="G81" s="32">
        <f>SUM(G72,G79)</f>
        <v>-99710</v>
      </c>
      <c r="H81" s="32">
        <f t="shared" ref="H81:P81" si="70">SUM(H72,H79)</f>
        <v>-145423</v>
      </c>
      <c r="I81" s="32">
        <f t="shared" si="70"/>
        <v>-373192</v>
      </c>
      <c r="J81" s="32">
        <f t="shared" si="70"/>
        <v>-104177</v>
      </c>
      <c r="K81" s="32">
        <f t="shared" si="70"/>
        <v>-77397.641999999993</v>
      </c>
      <c r="L81" s="32">
        <f t="shared" si="70"/>
        <v>-53084.799999999988</v>
      </c>
      <c r="M81" s="32">
        <f t="shared" si="70"/>
        <v>-8898.3343999999925</v>
      </c>
      <c r="N81" s="32">
        <f t="shared" si="70"/>
        <v>59123.137271200016</v>
      </c>
      <c r="O81" s="32">
        <f t="shared" si="70"/>
        <v>129906.76010979759</v>
      </c>
      <c r="P81" s="32">
        <f t="shared" si="70"/>
        <v>210164.28845988214</v>
      </c>
    </row>
    <row r="82" spans="3:16">
      <c r="G82" s="27"/>
      <c r="H82" s="27"/>
      <c r="I82" s="27"/>
      <c r="J82" s="27"/>
      <c r="L82" s="26"/>
      <c r="M82" s="26"/>
    </row>
    <row r="83" spans="3:16">
      <c r="C83" s="28" t="s">
        <v>9</v>
      </c>
      <c r="G83" s="34">
        <v>471</v>
      </c>
      <c r="H83" s="34">
        <v>2208</v>
      </c>
      <c r="I83" s="34">
        <v>9038</v>
      </c>
      <c r="J83" s="34">
        <v>10920</v>
      </c>
      <c r="K83" s="27">
        <f t="shared" ref="K83:P83" si="71">SUM(J106:J108)*K31</f>
        <v>8637.2000000000007</v>
      </c>
      <c r="L83" s="27">
        <f t="shared" si="71"/>
        <v>10528.284479430647</v>
      </c>
      <c r="M83" s="27">
        <f t="shared" si="71"/>
        <v>5314.0050838648112</v>
      </c>
      <c r="N83" s="27">
        <f t="shared" si="71"/>
        <v>4999.4876271716585</v>
      </c>
      <c r="O83" s="27">
        <f t="shared" si="71"/>
        <v>5228.4463051360444</v>
      </c>
      <c r="P83" s="27">
        <f t="shared" si="71"/>
        <v>8747.9760477872351</v>
      </c>
    </row>
    <row r="84" spans="3:16">
      <c r="C84" s="28" t="s">
        <v>10</v>
      </c>
      <c r="G84" s="34">
        <v>-504</v>
      </c>
      <c r="H84" s="34">
        <v>-2694</v>
      </c>
      <c r="I84" s="34">
        <v>-9303</v>
      </c>
      <c r="J84" s="34">
        <v>0</v>
      </c>
      <c r="K84" s="55">
        <v>0</v>
      </c>
      <c r="L84" s="55">
        <v>0</v>
      </c>
      <c r="M84" s="55">
        <v>0</v>
      </c>
      <c r="N84" s="55">
        <v>0</v>
      </c>
      <c r="O84" s="55">
        <v>0</v>
      </c>
      <c r="P84" s="55">
        <v>0</v>
      </c>
    </row>
    <row r="85" spans="3:16">
      <c r="C85" s="29" t="s">
        <v>11</v>
      </c>
      <c r="G85" s="33">
        <v>2968</v>
      </c>
      <c r="H85" s="33">
        <v>7654</v>
      </c>
      <c r="I85" s="33">
        <v>-130</v>
      </c>
      <c r="J85" s="33">
        <v>-3251</v>
      </c>
      <c r="K85" s="56">
        <f>AVERAGE(G85:J85)</f>
        <v>1810.25</v>
      </c>
      <c r="L85" s="56">
        <f t="shared" ref="L85:P85" si="72">AVERAGE(H85:K85)</f>
        <v>1520.8125</v>
      </c>
      <c r="M85" s="56">
        <f t="shared" si="72"/>
        <v>-12.484375</v>
      </c>
      <c r="N85" s="56">
        <f t="shared" si="72"/>
        <v>16.89453125</v>
      </c>
      <c r="O85" s="56">
        <f t="shared" si="72"/>
        <v>833.8681640625</v>
      </c>
      <c r="P85" s="56">
        <f t="shared" si="72"/>
        <v>589.772705078125</v>
      </c>
    </row>
    <row r="86" spans="3:16">
      <c r="C86" s="31" t="s">
        <v>12</v>
      </c>
      <c r="G86" s="32">
        <f>SUM(G83:G85)</f>
        <v>2935</v>
      </c>
      <c r="H86" s="32">
        <f t="shared" ref="H86:J86" si="73">SUM(H83:H85)</f>
        <v>7168</v>
      </c>
      <c r="I86" s="32">
        <f t="shared" si="73"/>
        <v>-395</v>
      </c>
      <c r="J86" s="32">
        <f t="shared" si="73"/>
        <v>7669</v>
      </c>
      <c r="K86" s="32">
        <f t="shared" ref="K86" si="74">SUM(K83:K85)</f>
        <v>10447.450000000001</v>
      </c>
      <c r="L86" s="32">
        <f t="shared" ref="L86" si="75">SUM(L83:L85)</f>
        <v>12049.096979430647</v>
      </c>
      <c r="M86" s="32">
        <f t="shared" ref="M86" si="76">SUM(M83:M85)</f>
        <v>5301.5207088648112</v>
      </c>
      <c r="N86" s="32">
        <f t="shared" ref="N86" si="77">SUM(N83:N85)</f>
        <v>5016.3821584216585</v>
      </c>
      <c r="O86" s="32">
        <f t="shared" ref="O86" si="78">SUM(O83:O85)</f>
        <v>6062.3144691985444</v>
      </c>
      <c r="P86" s="32">
        <f t="shared" ref="P86" si="79">SUM(P83:P85)</f>
        <v>9337.7487528653601</v>
      </c>
    </row>
    <row r="87" spans="3:16">
      <c r="G87" s="27"/>
      <c r="H87" s="27"/>
      <c r="I87" s="27"/>
      <c r="J87" s="27"/>
      <c r="L87" s="26"/>
      <c r="M87" s="26"/>
    </row>
    <row r="88" spans="3:16">
      <c r="C88" s="31" t="s">
        <v>13</v>
      </c>
      <c r="G88" s="32">
        <f>SUM(G81,G86)</f>
        <v>-96775</v>
      </c>
      <c r="H88" s="32">
        <f t="shared" ref="H88:P88" si="80">SUM(H81,H86)</f>
        <v>-138255</v>
      </c>
      <c r="I88" s="32">
        <f t="shared" si="80"/>
        <v>-373587</v>
      </c>
      <c r="J88" s="32">
        <f t="shared" si="80"/>
        <v>-96508</v>
      </c>
      <c r="K88" s="32">
        <f t="shared" si="80"/>
        <v>-66950.191999999995</v>
      </c>
      <c r="L88" s="32">
        <f t="shared" si="80"/>
        <v>-41035.703020569345</v>
      </c>
      <c r="M88" s="32">
        <f t="shared" si="80"/>
        <v>-3596.8136911351812</v>
      </c>
      <c r="N88" s="32">
        <f t="shared" si="80"/>
        <v>64139.519429621672</v>
      </c>
      <c r="O88" s="32">
        <f t="shared" si="80"/>
        <v>135969.07457899614</v>
      </c>
      <c r="P88" s="32">
        <f t="shared" si="80"/>
        <v>219502.0372127475</v>
      </c>
    </row>
    <row r="89" spans="3:16">
      <c r="G89" s="27"/>
      <c r="H89" s="27"/>
      <c r="I89" s="27"/>
      <c r="J89" s="27"/>
      <c r="M89" s="26"/>
    </row>
    <row r="90" spans="3:16">
      <c r="C90" s="29" t="s">
        <v>14</v>
      </c>
      <c r="G90" s="33">
        <v>2794</v>
      </c>
      <c r="H90" s="33">
        <v>-305</v>
      </c>
      <c r="I90" s="33">
        <v>-523</v>
      </c>
      <c r="J90" s="33">
        <v>-537</v>
      </c>
      <c r="K90" s="35">
        <f>-K39</f>
        <v>0</v>
      </c>
      <c r="L90" s="35">
        <f t="shared" ref="L90:P90" si="81">-L39</f>
        <v>0</v>
      </c>
      <c r="M90" s="35">
        <f t="shared" si="81"/>
        <v>0</v>
      </c>
      <c r="N90" s="35">
        <f t="shared" si="81"/>
        <v>-10471.262467301442</v>
      </c>
      <c r="O90" s="35">
        <f t="shared" si="81"/>
        <v>-22558.921033177601</v>
      </c>
      <c r="P90" s="35">
        <f t="shared" si="81"/>
        <v>-36587.769131624395</v>
      </c>
    </row>
    <row r="91" spans="3:16">
      <c r="C91" s="31" t="s">
        <v>15</v>
      </c>
      <c r="G91" s="32">
        <f>SUM(G88,G90)</f>
        <v>-93981</v>
      </c>
      <c r="H91" s="32">
        <f t="shared" ref="H91:P91" si="82">SUM(H88,H90)</f>
        <v>-138560</v>
      </c>
      <c r="I91" s="32">
        <f t="shared" si="82"/>
        <v>-374110</v>
      </c>
      <c r="J91" s="32">
        <f t="shared" si="82"/>
        <v>-97045</v>
      </c>
      <c r="K91" s="32">
        <f t="shared" si="82"/>
        <v>-66950.191999999995</v>
      </c>
      <c r="L91" s="32">
        <f t="shared" si="82"/>
        <v>-41035.703020569345</v>
      </c>
      <c r="M91" s="32">
        <f t="shared" si="82"/>
        <v>-3596.8136911351812</v>
      </c>
      <c r="N91" s="32">
        <f t="shared" si="82"/>
        <v>53668.256962320229</v>
      </c>
      <c r="O91" s="32">
        <f t="shared" si="82"/>
        <v>113410.15354581854</v>
      </c>
      <c r="P91" s="32">
        <f t="shared" si="82"/>
        <v>182914.2680811231</v>
      </c>
    </row>
    <row r="92" spans="3:16">
      <c r="G92" s="27"/>
      <c r="H92" s="27"/>
      <c r="I92" s="27"/>
      <c r="J92" s="27"/>
    </row>
    <row r="93" spans="3:16">
      <c r="C93" s="28" t="s">
        <v>16</v>
      </c>
      <c r="G93" s="34">
        <v>0</v>
      </c>
      <c r="H93" s="34">
        <v>0</v>
      </c>
      <c r="I93" s="34">
        <v>354</v>
      </c>
      <c r="J93" s="34">
        <v>-386</v>
      </c>
      <c r="K93" s="57">
        <f>AVERAGE(I93:J93)</f>
        <v>-16</v>
      </c>
      <c r="L93" s="57">
        <f t="shared" ref="L93:P93" si="83">AVERAGE(J93:K93)</f>
        <v>-201</v>
      </c>
      <c r="M93" s="57">
        <f t="shared" si="83"/>
        <v>-108.5</v>
      </c>
      <c r="N93" s="57">
        <f t="shared" si="83"/>
        <v>-154.75</v>
      </c>
      <c r="O93" s="57">
        <f t="shared" si="83"/>
        <v>-131.625</v>
      </c>
      <c r="P93" s="57">
        <f t="shared" si="83"/>
        <v>-143.1875</v>
      </c>
    </row>
    <row r="94" spans="3:16">
      <c r="C94" s="29" t="s">
        <v>17</v>
      </c>
      <c r="G94" s="33">
        <v>-6</v>
      </c>
      <c r="H94" s="33">
        <v>-143</v>
      </c>
      <c r="I94" s="33">
        <v>-13</v>
      </c>
      <c r="J94" s="33">
        <v>-809</v>
      </c>
      <c r="K94" s="56">
        <f>AVERAGE(G94:J94)</f>
        <v>-242.75</v>
      </c>
      <c r="L94" s="56">
        <f t="shared" ref="L94:P94" si="84">AVERAGE(H94:K94)</f>
        <v>-301.9375</v>
      </c>
      <c r="M94" s="56">
        <f t="shared" si="84"/>
        <v>-341.671875</v>
      </c>
      <c r="N94" s="56">
        <f t="shared" si="84"/>
        <v>-423.83984375</v>
      </c>
      <c r="O94" s="56">
        <f t="shared" si="84"/>
        <v>-327.5498046875</v>
      </c>
      <c r="P94" s="56">
        <f t="shared" si="84"/>
        <v>-348.749755859375</v>
      </c>
    </row>
    <row r="95" spans="3:16">
      <c r="C95" s="31" t="s">
        <v>18</v>
      </c>
      <c r="G95" s="32">
        <f>SUM(G91,G93:G94)</f>
        <v>-93987</v>
      </c>
      <c r="H95" s="32">
        <f t="shared" ref="H95:P95" si="85">SUM(H91,H93:H94)</f>
        <v>-138703</v>
      </c>
      <c r="I95" s="32">
        <f t="shared" si="85"/>
        <v>-373769</v>
      </c>
      <c r="J95" s="32">
        <f t="shared" si="85"/>
        <v>-98240</v>
      </c>
      <c r="K95" s="32">
        <f t="shared" si="85"/>
        <v>-67208.941999999995</v>
      </c>
      <c r="L95" s="32">
        <f t="shared" si="85"/>
        <v>-41538.640520569345</v>
      </c>
      <c r="M95" s="32">
        <f t="shared" si="85"/>
        <v>-4046.9855661351812</v>
      </c>
      <c r="N95" s="32">
        <f t="shared" si="85"/>
        <v>53089.667118570229</v>
      </c>
      <c r="O95" s="32">
        <f t="shared" si="85"/>
        <v>112950.97874113104</v>
      </c>
      <c r="P95" s="32">
        <f t="shared" si="85"/>
        <v>182422.33082526372</v>
      </c>
    </row>
    <row r="96" spans="3:16">
      <c r="C96" s="31"/>
      <c r="G96" s="32"/>
      <c r="H96" s="32"/>
      <c r="I96" s="32"/>
      <c r="J96" s="32"/>
      <c r="K96" s="32"/>
      <c r="L96" s="32"/>
      <c r="M96" s="32"/>
      <c r="N96" s="32"/>
      <c r="O96" s="32"/>
      <c r="P96" s="32"/>
    </row>
    <row r="97" spans="2:19">
      <c r="C97" s="31" t="s">
        <v>230</v>
      </c>
      <c r="G97" s="32">
        <f>G81+G151</f>
        <v>-94233</v>
      </c>
      <c r="H97" s="32">
        <f t="shared" ref="H97:P97" si="86">H81+H151</f>
        <v>-135967</v>
      </c>
      <c r="I97" s="32">
        <f t="shared" si="86"/>
        <v>-356044</v>
      </c>
      <c r="J97" s="32">
        <f t="shared" si="86"/>
        <v>-94341</v>
      </c>
      <c r="K97" s="32">
        <f t="shared" si="86"/>
        <v>-75152.107610999999</v>
      </c>
      <c r="L97" s="32">
        <f t="shared" si="86"/>
        <v>-49884.908329059988</v>
      </c>
      <c r="M97" s="32">
        <f t="shared" si="86"/>
        <v>-4939.6755949921935</v>
      </c>
      <c r="N97" s="32">
        <f t="shared" si="86"/>
        <v>63720.508987606278</v>
      </c>
      <c r="O97" s="32">
        <f t="shared" si="86"/>
        <v>135058.75949344863</v>
      </c>
      <c r="P97" s="32">
        <f t="shared" si="86"/>
        <v>215814.40017838162</v>
      </c>
    </row>
    <row r="98" spans="2:19">
      <c r="C98" s="3" t="s">
        <v>509</v>
      </c>
      <c r="G98" s="27"/>
      <c r="H98" s="27"/>
      <c r="I98" s="27"/>
      <c r="J98" s="27"/>
    </row>
    <row r="99" spans="2:19">
      <c r="G99" s="27"/>
      <c r="H99" s="27"/>
      <c r="I99" s="27"/>
      <c r="J99" s="27"/>
    </row>
    <row r="100" spans="2:19">
      <c r="C100" s="3" t="s">
        <v>19</v>
      </c>
      <c r="G100" s="60">
        <v>-0.7</v>
      </c>
      <c r="H100" s="60">
        <v>-0.78</v>
      </c>
      <c r="I100" s="60">
        <v>-10.1</v>
      </c>
      <c r="J100" s="60">
        <v>-2.08</v>
      </c>
      <c r="K100" s="60">
        <f>(K91*1000)/K101</f>
        <v>-1.2737859969558598</v>
      </c>
      <c r="L100" s="60">
        <f t="shared" ref="L100:P100" si="87">(L91*1000)/L101</f>
        <v>-0.75907700740971784</v>
      </c>
      <c r="M100" s="60">
        <f t="shared" si="87"/>
        <v>-6.4737467443037822E-2</v>
      </c>
      <c r="N100" s="60">
        <f t="shared" si="87"/>
        <v>0.94055830638486204</v>
      </c>
      <c r="O100" s="60">
        <f t="shared" si="87"/>
        <v>1.9366487968889778</v>
      </c>
      <c r="P100" s="60">
        <f t="shared" si="87"/>
        <v>3.0455256090763085</v>
      </c>
    </row>
    <row r="101" spans="2:19">
      <c r="C101" s="3" t="s">
        <v>20</v>
      </c>
      <c r="G101" s="27">
        <v>133917571</v>
      </c>
      <c r="H101" s="27">
        <v>177923156</v>
      </c>
      <c r="I101" s="27">
        <v>37042081</v>
      </c>
      <c r="J101" s="27">
        <v>46584479</v>
      </c>
      <c r="K101" s="27">
        <f>Diluted*1000000</f>
        <v>52560000</v>
      </c>
      <c r="L101" s="27">
        <f>K101+1500000</f>
        <v>54060000</v>
      </c>
      <c r="M101" s="27">
        <f t="shared" ref="M101:P101" si="88">L101+1500000</f>
        <v>55560000</v>
      </c>
      <c r="N101" s="27">
        <f t="shared" si="88"/>
        <v>57060000</v>
      </c>
      <c r="O101" s="27">
        <f t="shared" si="88"/>
        <v>58560000</v>
      </c>
      <c r="P101" s="27">
        <f t="shared" si="88"/>
        <v>60060000</v>
      </c>
    </row>
    <row r="102" spans="2:19">
      <c r="G102" s="27"/>
      <c r="H102" s="27"/>
      <c r="I102" s="27"/>
      <c r="J102" s="27"/>
      <c r="L102" s="26"/>
      <c r="M102" s="26"/>
    </row>
    <row r="103" spans="2:19">
      <c r="B103" s="4"/>
      <c r="C103" s="4"/>
      <c r="D103" s="4"/>
      <c r="E103" s="4"/>
      <c r="F103" s="4"/>
      <c r="G103" s="5"/>
      <c r="H103" s="5"/>
      <c r="I103" s="6" t="s">
        <v>110</v>
      </c>
      <c r="J103" s="5"/>
      <c r="K103" s="7"/>
      <c r="L103" s="5"/>
      <c r="M103" s="5"/>
      <c r="N103" s="5"/>
      <c r="O103" s="6" t="s">
        <v>111</v>
      </c>
      <c r="P103" s="6" t="s">
        <v>111</v>
      </c>
    </row>
    <row r="104" spans="2:19">
      <c r="B104" s="8" t="str">
        <f>Company_Name&amp;" - Balance Sheet"</f>
        <v>Ouster, Inc. - Balance Sheet</v>
      </c>
      <c r="C104" s="4"/>
      <c r="D104" s="4"/>
      <c r="E104" s="9" t="s">
        <v>112</v>
      </c>
      <c r="F104" s="9"/>
      <c r="G104" s="11">
        <f>EOMONTH(H104,-12)</f>
        <v>44561</v>
      </c>
      <c r="H104" s="11">
        <v>44926</v>
      </c>
      <c r="I104" s="11">
        <f t="shared" ref="I104" si="89">EOMONTH(H104,12)</f>
        <v>45291</v>
      </c>
      <c r="J104" s="11">
        <f t="shared" ref="J104" si="90">EOMONTH(I104,12)</f>
        <v>45657</v>
      </c>
      <c r="K104" s="12">
        <f>EOMONTH(J104,12)</f>
        <v>46022</v>
      </c>
      <c r="L104" s="11">
        <f>EOMONTH(K104,12)</f>
        <v>46387</v>
      </c>
      <c r="M104" s="11">
        <f t="shared" ref="M104" si="91">EOMONTH(L104,12)</f>
        <v>46752</v>
      </c>
      <c r="N104" s="11">
        <f t="shared" ref="N104" si="92">EOMONTH(M104,12)</f>
        <v>47118</v>
      </c>
      <c r="O104" s="11">
        <f t="shared" ref="O104:P104" si="93">EOMONTH(N104,12)</f>
        <v>47483</v>
      </c>
      <c r="P104" s="11">
        <f t="shared" si="93"/>
        <v>47848</v>
      </c>
    </row>
    <row r="105" spans="2:19">
      <c r="G105" s="27"/>
      <c r="H105" s="27"/>
      <c r="I105" s="27"/>
      <c r="J105" s="27"/>
    </row>
    <row r="106" spans="2:19">
      <c r="C106" s="28" t="s">
        <v>21</v>
      </c>
      <c r="G106" s="34">
        <v>182644</v>
      </c>
      <c r="H106" s="34">
        <v>122932</v>
      </c>
      <c r="I106" s="34">
        <v>50991</v>
      </c>
      <c r="J106" s="34">
        <v>45542</v>
      </c>
      <c r="K106" s="27">
        <f>K211</f>
        <v>96083.68958861295</v>
      </c>
      <c r="L106" s="27">
        <f t="shared" ref="L106:O106" si="94">L211</f>
        <v>55443.675425729896</v>
      </c>
      <c r="M106" s="27">
        <f t="shared" si="94"/>
        <v>80022.125338707556</v>
      </c>
      <c r="N106" s="27">
        <f t="shared" si="94"/>
        <v>109639.18698356877</v>
      </c>
      <c r="O106" s="27">
        <f t="shared" si="94"/>
        <v>203287.5316935528</v>
      </c>
      <c r="P106" s="27">
        <f t="shared" ref="P106" si="95">P211</f>
        <v>319878.84843647073</v>
      </c>
      <c r="Q106" s="27">
        <f>SUM(K106:K108)</f>
        <v>210565.68958861294</v>
      </c>
      <c r="R106" s="27"/>
      <c r="S106" s="27"/>
    </row>
    <row r="107" spans="2:19">
      <c r="C107" s="28" t="s">
        <v>22</v>
      </c>
      <c r="G107" s="34">
        <v>977</v>
      </c>
      <c r="H107" s="34">
        <v>257</v>
      </c>
      <c r="I107" s="34">
        <v>552</v>
      </c>
      <c r="J107" s="34">
        <v>722</v>
      </c>
      <c r="K107" s="57">
        <f>AVERAGE(G107:J107)</f>
        <v>627</v>
      </c>
      <c r="L107" s="57">
        <f t="shared" ref="L107:P107" si="96">AVERAGE(H107:K107)</f>
        <v>539.5</v>
      </c>
      <c r="M107" s="57">
        <f t="shared" si="96"/>
        <v>610.125</v>
      </c>
      <c r="N107" s="57">
        <f t="shared" si="96"/>
        <v>624.65625</v>
      </c>
      <c r="O107" s="57">
        <f t="shared" si="96"/>
        <v>600.3203125</v>
      </c>
      <c r="P107" s="57">
        <f t="shared" si="96"/>
        <v>593.650390625</v>
      </c>
    </row>
    <row r="108" spans="2:19">
      <c r="C108" s="28" t="s">
        <v>23</v>
      </c>
      <c r="G108" s="34">
        <v>0</v>
      </c>
      <c r="H108" s="34">
        <v>0</v>
      </c>
      <c r="I108" s="34">
        <v>139158</v>
      </c>
      <c r="J108" s="34">
        <v>126480</v>
      </c>
      <c r="K108" s="27">
        <f t="shared" ref="K108:P108" si="97">K44*J106</f>
        <v>113855</v>
      </c>
      <c r="L108" s="27">
        <f t="shared" si="97"/>
        <v>76866.951670890368</v>
      </c>
      <c r="M108" s="27">
        <f t="shared" si="97"/>
        <v>44354.940340583918</v>
      </c>
      <c r="N108" s="27">
        <f t="shared" si="97"/>
        <v>64017.700270966045</v>
      </c>
      <c r="O108" s="27">
        <f t="shared" si="97"/>
        <v>87711.349586855024</v>
      </c>
      <c r="P108" s="27">
        <f t="shared" si="97"/>
        <v>162630.02535484225</v>
      </c>
    </row>
    <row r="109" spans="2:19">
      <c r="C109" s="28" t="s">
        <v>24</v>
      </c>
      <c r="G109" s="34">
        <v>10723</v>
      </c>
      <c r="H109" s="34">
        <v>11233</v>
      </c>
      <c r="I109" s="34">
        <v>14577</v>
      </c>
      <c r="J109" s="34">
        <v>17941</v>
      </c>
      <c r="K109" s="27">
        <f t="shared" ref="K109:P110" si="98">K45/(K$67-EOMONTH(K$67,-12))*K$69</f>
        <v>24076.712328767124</v>
      </c>
      <c r="L109" s="27">
        <f t="shared" si="98"/>
        <v>33506.367123287666</v>
      </c>
      <c r="M109" s="27">
        <f t="shared" si="98"/>
        <v>44030.638947945205</v>
      </c>
      <c r="N109" s="27">
        <f t="shared" si="98"/>
        <v>58503.589418360658</v>
      </c>
      <c r="O109" s="27">
        <f t="shared" si="98"/>
        <v>70250.981944881598</v>
      </c>
      <c r="P109" s="27">
        <f t="shared" si="98"/>
        <v>80036.008429563197</v>
      </c>
    </row>
    <row r="110" spans="2:19">
      <c r="C110" s="28" t="s">
        <v>25</v>
      </c>
      <c r="G110" s="34">
        <v>7448</v>
      </c>
      <c r="H110" s="34">
        <v>19533</v>
      </c>
      <c r="I110" s="34">
        <v>23232</v>
      </c>
      <c r="J110" s="34">
        <v>16417</v>
      </c>
      <c r="K110" s="27">
        <f t="shared" si="98"/>
        <v>24076.712328767124</v>
      </c>
      <c r="L110" s="27">
        <f t="shared" si="98"/>
        <v>33506.367123287666</v>
      </c>
      <c r="M110" s="27">
        <f t="shared" si="98"/>
        <v>44030.638947945205</v>
      </c>
      <c r="N110" s="27">
        <f t="shared" si="98"/>
        <v>58503.589418360658</v>
      </c>
      <c r="O110" s="27">
        <f t="shared" si="98"/>
        <v>70250.981944881598</v>
      </c>
      <c r="P110" s="27">
        <f t="shared" si="98"/>
        <v>80036.008429563197</v>
      </c>
    </row>
    <row r="111" spans="2:19">
      <c r="C111" s="29" t="s">
        <v>26</v>
      </c>
      <c r="G111" s="33">
        <v>5566</v>
      </c>
      <c r="H111" s="33">
        <v>8543</v>
      </c>
      <c r="I111" s="33">
        <v>34647</v>
      </c>
      <c r="J111" s="33">
        <v>12750</v>
      </c>
      <c r="K111" s="35">
        <f t="shared" ref="K111:P111" si="99">K47*K69</f>
        <v>13520</v>
      </c>
      <c r="L111" s="35">
        <f t="shared" si="99"/>
        <v>17835.160000000003</v>
      </c>
      <c r="M111" s="35">
        <f t="shared" si="99"/>
        <v>25567.791480000004</v>
      </c>
      <c r="N111" s="35">
        <f t="shared" si="99"/>
        <v>32118.470590680005</v>
      </c>
      <c r="O111" s="35">
        <f t="shared" si="99"/>
        <v>42736.014016469635</v>
      </c>
      <c r="P111" s="35">
        <f t="shared" si="99"/>
        <v>45645.536057485268</v>
      </c>
    </row>
    <row r="112" spans="2:19">
      <c r="C112" s="31" t="s">
        <v>27</v>
      </c>
      <c r="G112" s="32">
        <f>SUM(G106:G111)</f>
        <v>207358</v>
      </c>
      <c r="H112" s="32">
        <f t="shared" ref="H112:O112" si="100">SUM(H106:H111)</f>
        <v>162498</v>
      </c>
      <c r="I112" s="32">
        <f t="shared" si="100"/>
        <v>263157</v>
      </c>
      <c r="J112" s="32">
        <f t="shared" si="100"/>
        <v>219852</v>
      </c>
      <c r="K112" s="32">
        <f t="shared" si="100"/>
        <v>272239.11424614716</v>
      </c>
      <c r="L112" s="32">
        <f t="shared" si="100"/>
        <v>217698.02134319561</v>
      </c>
      <c r="M112" s="32">
        <f t="shared" si="100"/>
        <v>238616.26005518189</v>
      </c>
      <c r="N112" s="32">
        <f t="shared" si="100"/>
        <v>323407.19293193618</v>
      </c>
      <c r="O112" s="32">
        <f t="shared" si="100"/>
        <v>474837.17949914071</v>
      </c>
      <c r="P112" s="32">
        <f t="shared" ref="P112" si="101">SUM(P106:P111)</f>
        <v>688820.07709854958</v>
      </c>
    </row>
    <row r="113" spans="3:16">
      <c r="G113" s="27"/>
      <c r="H113" s="27"/>
      <c r="I113" s="27"/>
      <c r="J113" s="27"/>
      <c r="L113" s="26"/>
      <c r="M113" s="26"/>
    </row>
    <row r="114" spans="3:16">
      <c r="C114" s="28" t="s">
        <v>28</v>
      </c>
      <c r="G114" s="34">
        <v>10054</v>
      </c>
      <c r="H114" s="34">
        <v>9695</v>
      </c>
      <c r="I114" s="34">
        <v>10228</v>
      </c>
      <c r="J114" s="34">
        <v>10164</v>
      </c>
      <c r="K114" s="27">
        <f>Drivers!J55</f>
        <v>12724.694871</v>
      </c>
      <c r="L114" s="27">
        <f>Drivers!K55</f>
        <v>14174.80320006</v>
      </c>
      <c r="M114" s="27">
        <f>Drivers!L55</f>
        <v>14866.144395052201</v>
      </c>
      <c r="N114" s="27">
        <f>Drivers!M55</f>
        <v>14918.772678645937</v>
      </c>
      <c r="O114" s="27">
        <f>Drivers!N55</f>
        <v>14416.773294994886</v>
      </c>
      <c r="P114" s="27">
        <f>Drivers!O55</f>
        <v>13416.661576495397</v>
      </c>
    </row>
    <row r="115" spans="3:16">
      <c r="C115" s="28" t="s">
        <v>29</v>
      </c>
      <c r="G115" s="34">
        <v>15156</v>
      </c>
      <c r="H115" s="34">
        <v>12997</v>
      </c>
      <c r="I115" s="34">
        <v>18561</v>
      </c>
      <c r="J115" s="34">
        <v>14308</v>
      </c>
      <c r="K115" s="27">
        <f t="shared" ref="K115:P115" si="102">K49*SUM(K126,K129)</f>
        <v>14838.300349162884</v>
      </c>
      <c r="L115" s="27">
        <f t="shared" si="102"/>
        <v>12393.987684695358</v>
      </c>
      <c r="M115" s="27">
        <f t="shared" si="102"/>
        <v>12300.95678095153</v>
      </c>
      <c r="N115" s="27">
        <f t="shared" si="102"/>
        <v>12401.01478020908</v>
      </c>
      <c r="O115" s="27">
        <f t="shared" si="102"/>
        <v>12324.248648393837</v>
      </c>
      <c r="P115" s="27">
        <f t="shared" si="102"/>
        <v>11749.76169377867</v>
      </c>
    </row>
    <row r="116" spans="3:16">
      <c r="C116" s="28" t="s">
        <v>30</v>
      </c>
      <c r="G116" s="34">
        <v>0</v>
      </c>
      <c r="H116" s="34">
        <v>0</v>
      </c>
      <c r="I116" s="34">
        <v>10567</v>
      </c>
      <c r="J116" s="34">
        <v>10133</v>
      </c>
      <c r="K116" s="27">
        <f t="shared" ref="K116:P116" si="103">K50*K69</f>
        <v>11830.000000000002</v>
      </c>
      <c r="L116" s="27">
        <f t="shared" si="103"/>
        <v>15287.279999999999</v>
      </c>
      <c r="M116" s="27">
        <f t="shared" si="103"/>
        <v>18262.708200000001</v>
      </c>
      <c r="N116" s="27">
        <f t="shared" si="103"/>
        <v>26765.392158900006</v>
      </c>
      <c r="O116" s="27">
        <f t="shared" si="103"/>
        <v>28490.676010979758</v>
      </c>
      <c r="P116" s="27">
        <f t="shared" si="103"/>
        <v>36516.428845988208</v>
      </c>
    </row>
    <row r="117" spans="3:16">
      <c r="C117" s="28" t="s">
        <v>31</v>
      </c>
      <c r="G117" s="34">
        <v>51076</v>
      </c>
      <c r="H117" s="34">
        <v>51152</v>
      </c>
      <c r="I117" s="34">
        <v>0</v>
      </c>
      <c r="J117" s="34">
        <v>0</v>
      </c>
      <c r="K117" s="55">
        <v>0</v>
      </c>
      <c r="L117" s="55">
        <f>+-L184+L217</f>
        <v>36500</v>
      </c>
      <c r="M117" s="55">
        <v>36500</v>
      </c>
      <c r="N117" s="55">
        <v>36500</v>
      </c>
      <c r="O117" s="55">
        <v>36500</v>
      </c>
      <c r="P117" s="55">
        <v>36500</v>
      </c>
    </row>
    <row r="118" spans="3:16">
      <c r="C118" s="28" t="s">
        <v>32</v>
      </c>
      <c r="G118" s="34">
        <v>22652</v>
      </c>
      <c r="H118" s="34">
        <v>18165</v>
      </c>
      <c r="I118" s="34">
        <v>24436</v>
      </c>
      <c r="J118" s="34">
        <v>17830</v>
      </c>
      <c r="K118" s="55">
        <v>17830</v>
      </c>
      <c r="L118" s="55">
        <v>17830</v>
      </c>
      <c r="M118" s="55">
        <v>17830</v>
      </c>
      <c r="N118" s="55">
        <v>17830</v>
      </c>
      <c r="O118" s="55">
        <v>17830</v>
      </c>
      <c r="P118" s="55">
        <v>17830</v>
      </c>
    </row>
    <row r="119" spans="3:16">
      <c r="C119" s="28" t="s">
        <v>33</v>
      </c>
      <c r="G119" s="34">
        <v>1035</v>
      </c>
      <c r="H119" s="34">
        <v>1089</v>
      </c>
      <c r="I119" s="34">
        <v>1091</v>
      </c>
      <c r="J119" s="34">
        <v>1835</v>
      </c>
      <c r="K119" s="57">
        <f>AVERAGE(G119:J119)</f>
        <v>1262.5</v>
      </c>
      <c r="L119" s="57">
        <f t="shared" ref="L119:P119" si="104">AVERAGE(H119:K119)</f>
        <v>1319.375</v>
      </c>
      <c r="M119" s="57">
        <f t="shared" si="104"/>
        <v>1376.96875</v>
      </c>
      <c r="N119" s="57">
        <f t="shared" si="104"/>
        <v>1448.4609375</v>
      </c>
      <c r="O119" s="57">
        <f t="shared" si="104"/>
        <v>1351.826171875</v>
      </c>
      <c r="P119" s="57">
        <f t="shared" si="104"/>
        <v>1374.15771484375</v>
      </c>
    </row>
    <row r="120" spans="3:16">
      <c r="C120" s="29" t="s">
        <v>34</v>
      </c>
      <c r="G120" s="33">
        <v>371</v>
      </c>
      <c r="H120" s="33">
        <v>541</v>
      </c>
      <c r="I120" s="33">
        <v>2703</v>
      </c>
      <c r="J120" s="33">
        <v>2026</v>
      </c>
      <c r="K120" s="56">
        <f>AVERAGE(G120:J120)</f>
        <v>1410.25</v>
      </c>
      <c r="L120" s="56">
        <f t="shared" ref="L120:P120" si="105">AVERAGE(H120:K120)</f>
        <v>1670.0625</v>
      </c>
      <c r="M120" s="56">
        <f t="shared" si="105"/>
        <v>1952.328125</v>
      </c>
      <c r="N120" s="56">
        <f t="shared" si="105"/>
        <v>1764.66015625</v>
      </c>
      <c r="O120" s="56">
        <f t="shared" si="105"/>
        <v>1699.3251953125</v>
      </c>
      <c r="P120" s="56">
        <f t="shared" si="105"/>
        <v>1771.593994140625</v>
      </c>
    </row>
    <row r="121" spans="3:16">
      <c r="C121" s="31" t="s">
        <v>35</v>
      </c>
      <c r="G121" s="32">
        <f>SUM(G114:G120,G112)</f>
        <v>307702</v>
      </c>
      <c r="H121" s="32">
        <f t="shared" ref="H121:O121" si="106">SUM(H114:H120,H112)</f>
        <v>256137</v>
      </c>
      <c r="I121" s="32">
        <f t="shared" si="106"/>
        <v>330743</v>
      </c>
      <c r="J121" s="32">
        <f t="shared" si="106"/>
        <v>276148</v>
      </c>
      <c r="K121" s="32">
        <f t="shared" si="106"/>
        <v>332134.85946631007</v>
      </c>
      <c r="L121" s="32">
        <f t="shared" si="106"/>
        <v>316873.52972795093</v>
      </c>
      <c r="M121" s="32">
        <f t="shared" si="106"/>
        <v>341705.36630618561</v>
      </c>
      <c r="N121" s="32">
        <f t="shared" si="106"/>
        <v>435035.49364344124</v>
      </c>
      <c r="O121" s="32">
        <f t="shared" si="106"/>
        <v>587450.02882069675</v>
      </c>
      <c r="P121" s="32">
        <f t="shared" ref="P121" si="107">SUM(P114:P120,P112)</f>
        <v>807978.68092379626</v>
      </c>
    </row>
    <row r="122" spans="3:16">
      <c r="G122" s="27"/>
      <c r="H122" s="27"/>
      <c r="I122" s="27"/>
      <c r="J122" s="27"/>
      <c r="L122" s="26"/>
      <c r="M122" s="26"/>
    </row>
    <row r="123" spans="3:16">
      <c r="C123" s="28" t="s">
        <v>36</v>
      </c>
      <c r="G123" s="34">
        <v>4863</v>
      </c>
      <c r="H123" s="34">
        <v>8798</v>
      </c>
      <c r="I123" s="34">
        <v>3545</v>
      </c>
      <c r="J123" s="34">
        <v>6288</v>
      </c>
      <c r="K123" s="27">
        <f t="shared" ref="K123:P123" si="108">K52/(K67-EOMONTH(K67,-12))*K69</f>
        <v>10186.301369863015</v>
      </c>
      <c r="L123" s="27">
        <f t="shared" si="108"/>
        <v>13960.986301369861</v>
      </c>
      <c r="M123" s="27">
        <f t="shared" si="108"/>
        <v>18012.534115068491</v>
      </c>
      <c r="N123" s="27">
        <f t="shared" si="108"/>
        <v>23401.435767344265</v>
      </c>
      <c r="O123" s="27">
        <f t="shared" si="108"/>
        <v>27319.8263118984</v>
      </c>
      <c r="P123" s="27">
        <f t="shared" si="108"/>
        <v>30013.503161086195</v>
      </c>
    </row>
    <row r="124" spans="3:16">
      <c r="C124" s="28" t="s">
        <v>37</v>
      </c>
      <c r="G124" s="34">
        <v>14173</v>
      </c>
      <c r="H124" s="34">
        <v>17473</v>
      </c>
      <c r="I124" s="34">
        <v>58166</v>
      </c>
      <c r="J124" s="34">
        <v>30591</v>
      </c>
      <c r="K124" s="27">
        <f t="shared" ref="K124:P124" si="109">-K79*K53</f>
        <v>20826.993460000002</v>
      </c>
      <c r="L124" s="27">
        <f t="shared" si="109"/>
        <v>18600</v>
      </c>
      <c r="M124" s="27">
        <f t="shared" si="109"/>
        <v>17050.000000000004</v>
      </c>
      <c r="N124" s="27">
        <f t="shared" si="109"/>
        <v>15500.000000000004</v>
      </c>
      <c r="O124" s="27">
        <f t="shared" si="109"/>
        <v>13950.000000000004</v>
      </c>
      <c r="P124" s="27">
        <f t="shared" si="109"/>
        <v>12400.000000000005</v>
      </c>
    </row>
    <row r="125" spans="3:16">
      <c r="C125" s="28" t="s">
        <v>38</v>
      </c>
      <c r="G125" s="34">
        <v>0</v>
      </c>
      <c r="H125" s="34">
        <v>0</v>
      </c>
      <c r="I125" s="34">
        <v>12885</v>
      </c>
      <c r="J125" s="34">
        <v>34351</v>
      </c>
      <c r="K125" s="27">
        <f>K69*K54</f>
        <v>39200.227186535718</v>
      </c>
      <c r="L125" s="27">
        <f t="shared" ref="L125:O125" si="110">L69*L54</f>
        <v>38218.199999999997</v>
      </c>
      <c r="M125" s="27">
        <f t="shared" si="110"/>
        <v>40177.95803999999</v>
      </c>
      <c r="N125" s="27">
        <f t="shared" si="110"/>
        <v>53530.784317800004</v>
      </c>
      <c r="O125" s="27">
        <f t="shared" si="110"/>
        <v>71226.690027449396</v>
      </c>
      <c r="P125" s="27">
        <f t="shared" ref="P125" si="111">P69*P54</f>
        <v>91291.07211497052</v>
      </c>
    </row>
    <row r="126" spans="3:16">
      <c r="C126" s="29" t="s">
        <v>39</v>
      </c>
      <c r="G126" s="33">
        <v>3067</v>
      </c>
      <c r="H126" s="33">
        <v>3221</v>
      </c>
      <c r="I126" s="33">
        <v>7096</v>
      </c>
      <c r="J126" s="33">
        <v>7196</v>
      </c>
      <c r="K126" s="35">
        <f t="shared" ref="K126:P126" si="112">K129*K55</f>
        <v>7052.08</v>
      </c>
      <c r="L126" s="35">
        <f t="shared" si="112"/>
        <v>4255.5640284312349</v>
      </c>
      <c r="M126" s="35">
        <f t="shared" si="112"/>
        <v>4631.8383841024479</v>
      </c>
      <c r="N126" s="35">
        <f t="shared" si="112"/>
        <v>4950.4431931519648</v>
      </c>
      <c r="O126" s="35">
        <f t="shared" si="112"/>
        <v>4952.4421965502415</v>
      </c>
      <c r="P126" s="35">
        <f t="shared" si="112"/>
        <v>4473.1112475997097</v>
      </c>
    </row>
    <row r="127" spans="3:16">
      <c r="C127" s="31" t="s">
        <v>40</v>
      </c>
      <c r="G127" s="32">
        <f>SUM(G123:G126)</f>
        <v>22103</v>
      </c>
      <c r="H127" s="32">
        <f t="shared" ref="H127:O127" si="113">SUM(H123:H126)</f>
        <v>29492</v>
      </c>
      <c r="I127" s="32">
        <f t="shared" si="113"/>
        <v>81692</v>
      </c>
      <c r="J127" s="32">
        <f t="shared" si="113"/>
        <v>78426</v>
      </c>
      <c r="K127" s="32">
        <f t="shared" si="113"/>
        <v>77265.602016398727</v>
      </c>
      <c r="L127" s="32">
        <f t="shared" si="113"/>
        <v>75034.7503298011</v>
      </c>
      <c r="M127" s="32">
        <f t="shared" si="113"/>
        <v>79872.330539170944</v>
      </c>
      <c r="N127" s="32">
        <f t="shared" si="113"/>
        <v>97382.663278296241</v>
      </c>
      <c r="O127" s="32">
        <f t="shared" si="113"/>
        <v>117448.95853589804</v>
      </c>
      <c r="P127" s="32">
        <f t="shared" ref="P127" si="114">SUM(P123:P126)</f>
        <v>138177.68652365642</v>
      </c>
    </row>
    <row r="128" spans="3:16">
      <c r="G128" s="27"/>
      <c r="H128" s="27"/>
      <c r="I128" s="27"/>
      <c r="J128" s="27"/>
      <c r="L128" s="26"/>
      <c r="M128" s="26"/>
    </row>
    <row r="129" spans="3:17">
      <c r="C129" s="28" t="s">
        <v>41</v>
      </c>
      <c r="G129" s="34">
        <v>16208</v>
      </c>
      <c r="H129" s="34">
        <v>13400</v>
      </c>
      <c r="I129" s="34">
        <v>18827</v>
      </c>
      <c r="J129" s="34">
        <v>13054</v>
      </c>
      <c r="K129" s="57">
        <f>J129*0.98</f>
        <v>12792.92</v>
      </c>
      <c r="L129" s="57">
        <f t="shared" ref="L129:O129" si="115">K129*0.98</f>
        <v>12537.061599999999</v>
      </c>
      <c r="M129" s="57">
        <f t="shared" si="115"/>
        <v>12286.320367999999</v>
      </c>
      <c r="N129" s="57">
        <f t="shared" si="115"/>
        <v>12040.593960639999</v>
      </c>
      <c r="O129" s="57">
        <f t="shared" si="115"/>
        <v>11799.782081427198</v>
      </c>
      <c r="P129" s="57">
        <f t="shared" ref="P129" si="116">O129*0.98</f>
        <v>11563.786439798654</v>
      </c>
    </row>
    <row r="130" spans="3:17">
      <c r="C130" s="28" t="s">
        <v>106</v>
      </c>
      <c r="G130" s="34">
        <v>7626</v>
      </c>
      <c r="H130" s="34">
        <v>180</v>
      </c>
      <c r="I130" s="34">
        <v>0</v>
      </c>
      <c r="J130" s="34">
        <v>0</v>
      </c>
      <c r="K130" s="55">
        <v>0</v>
      </c>
      <c r="L130" s="55">
        <v>0</v>
      </c>
      <c r="M130" s="55">
        <v>0</v>
      </c>
      <c r="N130" s="55">
        <v>0</v>
      </c>
      <c r="O130" s="55">
        <v>0</v>
      </c>
      <c r="P130" s="55">
        <v>0</v>
      </c>
    </row>
    <row r="131" spans="3:17">
      <c r="C131" s="28" t="s">
        <v>42</v>
      </c>
      <c r="G131" s="34">
        <v>0</v>
      </c>
      <c r="H131" s="34">
        <v>39574</v>
      </c>
      <c r="I131" s="34">
        <v>43975</v>
      </c>
      <c r="J131" s="34">
        <v>0</v>
      </c>
      <c r="K131" s="55">
        <v>0</v>
      </c>
      <c r="L131" s="55">
        <v>0</v>
      </c>
      <c r="M131" s="55">
        <v>0</v>
      </c>
      <c r="N131" s="55">
        <v>0</v>
      </c>
      <c r="O131" s="55">
        <v>0</v>
      </c>
      <c r="P131" s="55">
        <v>0</v>
      </c>
    </row>
    <row r="132" spans="3:17">
      <c r="C132" s="28" t="s">
        <v>135</v>
      </c>
      <c r="G132" s="34">
        <v>0</v>
      </c>
      <c r="H132" s="34">
        <v>0</v>
      </c>
      <c r="I132" s="34">
        <v>4967</v>
      </c>
      <c r="J132" s="34">
        <v>2538</v>
      </c>
      <c r="K132" s="27">
        <f>K125*K58</f>
        <v>2352.0136311921428</v>
      </c>
      <c r="L132" s="27">
        <f t="shared" ref="L132:O132" si="117">L125*L58</f>
        <v>2293.0919999999996</v>
      </c>
      <c r="M132" s="27">
        <f t="shared" si="117"/>
        <v>2008.8979019999997</v>
      </c>
      <c r="N132" s="27">
        <f t="shared" si="117"/>
        <v>2676.5392158900004</v>
      </c>
      <c r="O132" s="27">
        <f t="shared" si="117"/>
        <v>2849.067601097976</v>
      </c>
      <c r="P132" s="27">
        <f t="shared" ref="P132" si="118">P125*P58</f>
        <v>3651.6428845988207</v>
      </c>
    </row>
    <row r="133" spans="3:17">
      <c r="C133" s="29" t="s">
        <v>43</v>
      </c>
      <c r="G133" s="33">
        <v>1065</v>
      </c>
      <c r="H133" s="33">
        <v>1872</v>
      </c>
      <c r="I133" s="33">
        <v>1610</v>
      </c>
      <c r="J133" s="33">
        <v>1219</v>
      </c>
      <c r="K133" s="35">
        <f>K69*K59</f>
        <v>1690</v>
      </c>
      <c r="L133" s="35">
        <f t="shared" ref="L133:O133" si="119">L69*L59</f>
        <v>2547.88</v>
      </c>
      <c r="M133" s="35">
        <f t="shared" si="119"/>
        <v>3652.5416399999999</v>
      </c>
      <c r="N133" s="35">
        <f t="shared" si="119"/>
        <v>5353.0784317800008</v>
      </c>
      <c r="O133" s="35">
        <f t="shared" si="119"/>
        <v>7122.6690027449395</v>
      </c>
      <c r="P133" s="35">
        <f t="shared" ref="P133" si="120">P69*P59</f>
        <v>9129.107211497052</v>
      </c>
    </row>
    <row r="134" spans="3:17">
      <c r="C134" s="31" t="s">
        <v>44</v>
      </c>
      <c r="G134" s="32">
        <f>SUM(G129:G133,G127)</f>
        <v>47002</v>
      </c>
      <c r="H134" s="32">
        <f>SUM(H129:H133,H127)</f>
        <v>84518</v>
      </c>
      <c r="I134" s="32">
        <f>SUM(I129:I133,I127)</f>
        <v>151071</v>
      </c>
      <c r="J134" s="32">
        <f>SUM(J129:J133,J127)</f>
        <v>95237</v>
      </c>
      <c r="K134" s="32">
        <f t="shared" ref="K134:P134" si="121">SUM(K129:K133,K127)</f>
        <v>94100.535647590877</v>
      </c>
      <c r="L134" s="32">
        <f t="shared" si="121"/>
        <v>92412.783929801095</v>
      </c>
      <c r="M134" s="32">
        <f t="shared" si="121"/>
        <v>97820.090449170937</v>
      </c>
      <c r="N134" s="32">
        <f t="shared" si="121"/>
        <v>117452.87488660624</v>
      </c>
      <c r="O134" s="32">
        <f t="shared" si="121"/>
        <v>139220.47722116817</v>
      </c>
      <c r="P134" s="32">
        <f t="shared" si="121"/>
        <v>162522.22305955095</v>
      </c>
    </row>
    <row r="135" spans="3:17">
      <c r="G135" s="27"/>
      <c r="H135" s="27"/>
      <c r="I135" s="27"/>
      <c r="J135" s="27"/>
      <c r="L135" s="26"/>
      <c r="M135" s="26"/>
    </row>
    <row r="136" spans="3:17">
      <c r="C136" s="28" t="s">
        <v>107</v>
      </c>
      <c r="G136" s="34">
        <v>17</v>
      </c>
      <c r="H136" s="34">
        <v>19</v>
      </c>
      <c r="I136" s="34">
        <v>42</v>
      </c>
      <c r="J136" s="34">
        <v>47</v>
      </c>
      <c r="K136" s="55">
        <v>47</v>
      </c>
      <c r="L136" s="55">
        <v>47</v>
      </c>
      <c r="M136" s="55">
        <v>47</v>
      </c>
      <c r="N136" s="55">
        <v>47</v>
      </c>
      <c r="O136" s="55">
        <v>47</v>
      </c>
      <c r="P136" s="55">
        <v>47</v>
      </c>
    </row>
    <row r="137" spans="3:17">
      <c r="C137" s="28" t="s">
        <v>45</v>
      </c>
      <c r="G137" s="34">
        <v>564045</v>
      </c>
      <c r="H137" s="34">
        <v>613665</v>
      </c>
      <c r="I137" s="34">
        <v>995464</v>
      </c>
      <c r="J137" s="34">
        <v>1094938</v>
      </c>
      <c r="K137" s="34">
        <v>1094938</v>
      </c>
      <c r="L137" s="34">
        <f>K137+L217</f>
        <v>1096438</v>
      </c>
      <c r="M137" s="34">
        <f t="shared" ref="M137:P137" si="122">L137+M217</f>
        <v>1096438</v>
      </c>
      <c r="N137" s="34">
        <f t="shared" si="122"/>
        <v>1096438</v>
      </c>
      <c r="O137" s="34">
        <f t="shared" si="122"/>
        <v>1096438</v>
      </c>
      <c r="P137" s="34">
        <f t="shared" si="122"/>
        <v>1096438</v>
      </c>
    </row>
    <row r="138" spans="3:17">
      <c r="C138" s="28" t="s">
        <v>46</v>
      </c>
      <c r="G138" s="34">
        <v>-303356</v>
      </c>
      <c r="H138" s="34">
        <v>-441916</v>
      </c>
      <c r="I138" s="34">
        <v>-816026</v>
      </c>
      <c r="J138" s="34">
        <v>-913071</v>
      </c>
      <c r="K138" s="60">
        <f>J138+K149+SUM(K154,K161:K163,K201,K207)</f>
        <v>-855947.67618128087</v>
      </c>
      <c r="L138" s="60">
        <f t="shared" ref="L138:P138" si="123">K138+L149+SUM(L154,L161:L163,L201,L207)</f>
        <v>-871021.25420185016</v>
      </c>
      <c r="M138" s="60">
        <f t="shared" si="123"/>
        <v>-851596.7241429853</v>
      </c>
      <c r="N138" s="60">
        <f t="shared" si="123"/>
        <v>-777899.38124316512</v>
      </c>
      <c r="O138" s="60">
        <f t="shared" si="123"/>
        <v>-647252.44840047159</v>
      </c>
      <c r="P138" s="60">
        <f t="shared" si="123"/>
        <v>-450025.54213575472</v>
      </c>
    </row>
    <row r="139" spans="3:17">
      <c r="C139" s="29" t="s">
        <v>108</v>
      </c>
      <c r="G139" s="33">
        <v>-6</v>
      </c>
      <c r="H139" s="33">
        <v>-149</v>
      </c>
      <c r="I139" s="33">
        <v>192</v>
      </c>
      <c r="J139" s="33">
        <v>-1003</v>
      </c>
      <c r="K139" s="53">
        <v>-1003</v>
      </c>
      <c r="L139" s="53">
        <v>-1003</v>
      </c>
      <c r="M139" s="53">
        <v>-1003</v>
      </c>
      <c r="N139" s="53">
        <v>-1003</v>
      </c>
      <c r="O139" s="53">
        <v>-1003</v>
      </c>
      <c r="P139" s="53">
        <v>-1003</v>
      </c>
    </row>
    <row r="140" spans="3:17">
      <c r="C140" s="31" t="s">
        <v>47</v>
      </c>
      <c r="G140" s="32">
        <f>SUM(G136:G139)</f>
        <v>260700</v>
      </c>
      <c r="H140" s="32">
        <f t="shared" ref="H140:O140" si="124">SUM(H136:H139)</f>
        <v>171619</v>
      </c>
      <c r="I140" s="32">
        <f t="shared" si="124"/>
        <v>179672</v>
      </c>
      <c r="J140" s="32">
        <f t="shared" si="124"/>
        <v>180911</v>
      </c>
      <c r="K140" s="32">
        <f t="shared" si="124"/>
        <v>238034.32381871913</v>
      </c>
      <c r="L140" s="32">
        <f t="shared" si="124"/>
        <v>224460.74579814984</v>
      </c>
      <c r="M140" s="32">
        <f t="shared" si="124"/>
        <v>243885.2758570147</v>
      </c>
      <c r="N140" s="32">
        <f t="shared" si="124"/>
        <v>317582.61875683488</v>
      </c>
      <c r="O140" s="32">
        <f t="shared" si="124"/>
        <v>448229.55159952841</v>
      </c>
      <c r="P140" s="32">
        <f t="shared" ref="P140" si="125">SUM(P136:P139)</f>
        <v>645456.45786424528</v>
      </c>
      <c r="Q140" s="534"/>
    </row>
    <row r="141" spans="3:17">
      <c r="G141" s="27"/>
      <c r="H141" s="27"/>
      <c r="I141" s="27"/>
      <c r="J141" s="27"/>
      <c r="M141" s="26"/>
    </row>
    <row r="142" spans="3:17">
      <c r="C142" s="31" t="s">
        <v>48</v>
      </c>
      <c r="G142" s="32">
        <f>SUM(G134,G140)</f>
        <v>307702</v>
      </c>
      <c r="H142" s="32">
        <f t="shared" ref="H142:O142" si="126">SUM(H134,H140)</f>
        <v>256137</v>
      </c>
      <c r="I142" s="32">
        <f t="shared" si="126"/>
        <v>330743</v>
      </c>
      <c r="J142" s="32">
        <f t="shared" si="126"/>
        <v>276148</v>
      </c>
      <c r="K142" s="32">
        <f t="shared" si="126"/>
        <v>332134.85946631001</v>
      </c>
      <c r="L142" s="32">
        <f t="shared" si="126"/>
        <v>316873.52972795093</v>
      </c>
      <c r="M142" s="32">
        <f t="shared" si="126"/>
        <v>341705.36630618561</v>
      </c>
      <c r="N142" s="32">
        <f t="shared" si="126"/>
        <v>435035.49364344112</v>
      </c>
      <c r="O142" s="32">
        <f t="shared" si="126"/>
        <v>587450.02882069652</v>
      </c>
      <c r="P142" s="32">
        <f t="shared" ref="P142" si="127">SUM(P134,P140)</f>
        <v>807978.68092379626</v>
      </c>
    </row>
    <row r="143" spans="3:17">
      <c r="G143" s="27"/>
      <c r="H143" s="27"/>
      <c r="I143" s="27"/>
      <c r="J143" s="27"/>
      <c r="L143" s="26"/>
      <c r="M143" s="26"/>
    </row>
    <row r="144" spans="3:17">
      <c r="C144" s="31" t="s">
        <v>109</v>
      </c>
      <c r="G144" s="2">
        <f>G121-G142</f>
        <v>0</v>
      </c>
      <c r="H144" s="2">
        <f>H121-H142</f>
        <v>0</v>
      </c>
      <c r="I144" s="2">
        <f>I121-I142</f>
        <v>0</v>
      </c>
      <c r="J144" s="2">
        <f>J121-J142</f>
        <v>0</v>
      </c>
      <c r="K144" s="2">
        <f t="shared" ref="K144:O144" si="128">K121-K142</f>
        <v>0</v>
      </c>
      <c r="L144" s="2">
        <f t="shared" si="128"/>
        <v>0</v>
      </c>
      <c r="M144" s="2">
        <f t="shared" si="128"/>
        <v>0</v>
      </c>
      <c r="N144" s="2">
        <f t="shared" si="128"/>
        <v>0</v>
      </c>
      <c r="O144" s="2">
        <f t="shared" si="128"/>
        <v>0</v>
      </c>
      <c r="P144" s="2">
        <f t="shared" ref="P144" si="129">P121-P142</f>
        <v>0</v>
      </c>
    </row>
    <row r="145" spans="2:16">
      <c r="G145" s="27"/>
      <c r="H145" s="27"/>
      <c r="I145" s="27"/>
      <c r="J145" s="27"/>
    </row>
    <row r="146" spans="2:16">
      <c r="B146" s="4"/>
      <c r="C146" s="4"/>
      <c r="D146" s="4"/>
      <c r="E146" s="4"/>
      <c r="F146" s="4"/>
      <c r="G146" s="5"/>
      <c r="H146" s="6" t="s">
        <v>110</v>
      </c>
      <c r="I146" s="5"/>
      <c r="J146" s="5"/>
      <c r="K146" s="7"/>
      <c r="L146" s="5"/>
      <c r="M146" s="5"/>
      <c r="N146" s="6" t="s">
        <v>111</v>
      </c>
      <c r="O146" s="6"/>
      <c r="P146" s="6"/>
    </row>
    <row r="147" spans="2:16">
      <c r="B147" s="8" t="str">
        <f>Company_Name&amp;" - Cash Flow Statement"</f>
        <v>Ouster, Inc. - Cash Flow Statement</v>
      </c>
      <c r="C147" s="4"/>
      <c r="D147" s="4"/>
      <c r="E147" s="9" t="s">
        <v>112</v>
      </c>
      <c r="F147" s="10"/>
      <c r="G147" s="11">
        <f t="shared" ref="G147:N147" si="130">G5</f>
        <v>44561</v>
      </c>
      <c r="H147" s="11">
        <f t="shared" si="130"/>
        <v>44926</v>
      </c>
      <c r="I147" s="11">
        <f t="shared" si="130"/>
        <v>45291</v>
      </c>
      <c r="J147" s="11">
        <f t="shared" si="130"/>
        <v>45657</v>
      </c>
      <c r="K147" s="12">
        <f t="shared" si="130"/>
        <v>46022</v>
      </c>
      <c r="L147" s="11">
        <f t="shared" si="130"/>
        <v>46387</v>
      </c>
      <c r="M147" s="11">
        <f t="shared" si="130"/>
        <v>46752</v>
      </c>
      <c r="N147" s="11">
        <f t="shared" si="130"/>
        <v>47118</v>
      </c>
      <c r="O147" s="11">
        <f t="shared" ref="O147:P147" si="131">O5</f>
        <v>47483</v>
      </c>
      <c r="P147" s="11">
        <f t="shared" si="131"/>
        <v>0</v>
      </c>
    </row>
    <row r="148" spans="2:16">
      <c r="G148" s="27"/>
      <c r="H148" s="27"/>
      <c r="I148" s="27"/>
      <c r="J148" s="27"/>
    </row>
    <row r="149" spans="2:16">
      <c r="C149" s="37" t="s">
        <v>15</v>
      </c>
      <c r="G149" s="32">
        <f>G91</f>
        <v>-93981</v>
      </c>
      <c r="H149" s="32">
        <f>H91</f>
        <v>-138560</v>
      </c>
      <c r="I149" s="32">
        <f>I91</f>
        <v>-374110</v>
      </c>
      <c r="J149" s="32">
        <f>J91</f>
        <v>-97045</v>
      </c>
      <c r="K149" s="32">
        <f t="shared" ref="K149:O149" si="132">K91</f>
        <v>-66950.191999999995</v>
      </c>
      <c r="L149" s="32">
        <f t="shared" si="132"/>
        <v>-41035.703020569345</v>
      </c>
      <c r="M149" s="32">
        <f t="shared" si="132"/>
        <v>-3596.8136911351812</v>
      </c>
      <c r="N149" s="32">
        <f t="shared" si="132"/>
        <v>53668.256962320229</v>
      </c>
      <c r="O149" s="32">
        <f t="shared" si="132"/>
        <v>113410.15354581854</v>
      </c>
      <c r="P149" s="32">
        <f t="shared" ref="P149" si="133">P91</f>
        <v>182914.2680811231</v>
      </c>
    </row>
    <row r="150" spans="2:16">
      <c r="C150" s="38" t="s">
        <v>7</v>
      </c>
      <c r="G150" s="34">
        <v>0</v>
      </c>
      <c r="H150" s="34">
        <v>0</v>
      </c>
      <c r="I150" s="34">
        <v>166675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</row>
    <row r="151" spans="2:16">
      <c r="C151" s="38" t="s">
        <v>49</v>
      </c>
      <c r="G151" s="34">
        <v>5477</v>
      </c>
      <c r="H151" s="34">
        <v>9456</v>
      </c>
      <c r="I151" s="34">
        <v>17148</v>
      </c>
      <c r="J151" s="34">
        <v>9836</v>
      </c>
      <c r="K151" s="27">
        <f>Drivers!J67</f>
        <v>2245.5343889999999</v>
      </c>
      <c r="L151" s="27">
        <f>Drivers!K67</f>
        <v>3199.8916709399996</v>
      </c>
      <c r="M151" s="27">
        <f>Drivers!L67</f>
        <v>3958.6588050077994</v>
      </c>
      <c r="N151" s="27">
        <f>Drivers!M67</f>
        <v>4597.3717164062637</v>
      </c>
      <c r="O151" s="27">
        <f>Drivers!N67</f>
        <v>5151.999383651053</v>
      </c>
      <c r="P151" s="27">
        <f>Drivers!O67</f>
        <v>5650.1117184994882</v>
      </c>
    </row>
    <row r="152" spans="2:16">
      <c r="C152" s="38" t="s">
        <v>50</v>
      </c>
      <c r="G152" s="34">
        <v>0</v>
      </c>
      <c r="H152" s="34">
        <v>0</v>
      </c>
      <c r="I152" s="34">
        <v>1673</v>
      </c>
      <c r="J152" s="34">
        <v>401</v>
      </c>
      <c r="K152" s="55">
        <v>0</v>
      </c>
      <c r="L152" s="55">
        <v>0</v>
      </c>
      <c r="M152" s="55">
        <v>0</v>
      </c>
      <c r="N152" s="55">
        <v>0</v>
      </c>
      <c r="O152" s="55">
        <v>0</v>
      </c>
      <c r="P152" s="55">
        <v>0</v>
      </c>
    </row>
    <row r="153" spans="2:16">
      <c r="C153" s="38" t="s">
        <v>51</v>
      </c>
      <c r="G153" s="34">
        <v>0</v>
      </c>
      <c r="H153" s="34">
        <v>0</v>
      </c>
      <c r="I153" s="34">
        <v>-807</v>
      </c>
      <c r="J153" s="34">
        <v>0</v>
      </c>
      <c r="K153" s="55">
        <v>0</v>
      </c>
      <c r="L153" s="55">
        <v>0</v>
      </c>
      <c r="M153" s="55">
        <v>0</v>
      </c>
      <c r="N153" s="55">
        <v>0</v>
      </c>
      <c r="O153" s="55">
        <v>0</v>
      </c>
      <c r="P153" s="55">
        <v>0</v>
      </c>
    </row>
    <row r="154" spans="2:16">
      <c r="C154" s="38" t="s">
        <v>52</v>
      </c>
      <c r="G154" s="34">
        <v>25363</v>
      </c>
      <c r="H154" s="34">
        <v>33321</v>
      </c>
      <c r="I154" s="34">
        <v>57725</v>
      </c>
      <c r="J154" s="34">
        <v>40459</v>
      </c>
      <c r="K154" s="27">
        <f>-K79*K63</f>
        <v>35136.515818719192</v>
      </c>
      <c r="L154" s="27">
        <f t="shared" ref="L154:O154" si="134">-L79*L63</f>
        <v>31000</v>
      </c>
      <c r="M154" s="27">
        <f t="shared" si="134"/>
        <v>27900</v>
      </c>
      <c r="N154" s="27">
        <f t="shared" si="134"/>
        <v>24800</v>
      </c>
      <c r="O154" s="27">
        <f t="shared" si="134"/>
        <v>21700.000000000004</v>
      </c>
      <c r="P154" s="27">
        <f t="shared" ref="P154" si="135">-P79*P63</f>
        <v>18600</v>
      </c>
    </row>
    <row r="155" spans="2:16">
      <c r="C155" s="38" t="s">
        <v>53</v>
      </c>
      <c r="G155" s="34">
        <v>0</v>
      </c>
      <c r="H155" s="34">
        <v>0</v>
      </c>
      <c r="I155" s="34">
        <v>528</v>
      </c>
      <c r="J155" s="34">
        <v>892</v>
      </c>
      <c r="K155" s="55">
        <v>0</v>
      </c>
      <c r="L155" s="55">
        <v>0</v>
      </c>
      <c r="M155" s="55">
        <v>0</v>
      </c>
      <c r="N155" s="55">
        <v>0</v>
      </c>
      <c r="O155" s="55">
        <v>0</v>
      </c>
      <c r="P155" s="55">
        <v>0</v>
      </c>
    </row>
    <row r="156" spans="2:16">
      <c r="C156" s="38" t="s">
        <v>67</v>
      </c>
      <c r="G156" s="34">
        <v>-2477</v>
      </c>
      <c r="H156" s="34">
        <v>0</v>
      </c>
      <c r="I156" s="34">
        <v>0</v>
      </c>
      <c r="J156" s="34">
        <v>0</v>
      </c>
      <c r="K156" s="55">
        <v>0</v>
      </c>
      <c r="L156" s="55">
        <v>0</v>
      </c>
      <c r="M156" s="55">
        <v>0</v>
      </c>
      <c r="N156" s="55">
        <v>0</v>
      </c>
      <c r="O156" s="55">
        <v>0</v>
      </c>
      <c r="P156" s="55">
        <v>0</v>
      </c>
    </row>
    <row r="157" spans="2:16">
      <c r="C157" s="38" t="s">
        <v>68</v>
      </c>
      <c r="G157" s="34">
        <v>2180</v>
      </c>
      <c r="H157" s="34">
        <v>2730</v>
      </c>
      <c r="I157" s="34">
        <v>4519</v>
      </c>
      <c r="J157" s="34">
        <v>4904</v>
      </c>
      <c r="K157" s="27">
        <f>J115-K115</f>
        <v>-530.30034916288423</v>
      </c>
      <c r="L157" s="27">
        <f t="shared" ref="L157:O157" si="136">K115-L115</f>
        <v>2444.3126644675267</v>
      </c>
      <c r="M157" s="27">
        <f t="shared" si="136"/>
        <v>93.030903743827366</v>
      </c>
      <c r="N157" s="27">
        <f t="shared" si="136"/>
        <v>-100.05799925754945</v>
      </c>
      <c r="O157" s="27">
        <f t="shared" si="136"/>
        <v>76.766131815242261</v>
      </c>
      <c r="P157" s="27">
        <f t="shared" ref="P157" si="137">O115-P115</f>
        <v>574.48695461516763</v>
      </c>
    </row>
    <row r="158" spans="2:16">
      <c r="C158" s="38" t="s">
        <v>10</v>
      </c>
      <c r="G158" s="34">
        <v>36</v>
      </c>
      <c r="H158" s="34">
        <v>799</v>
      </c>
      <c r="I158" s="34">
        <v>0</v>
      </c>
      <c r="J158" s="34">
        <v>0</v>
      </c>
      <c r="K158" s="55">
        <v>0</v>
      </c>
      <c r="L158" s="55">
        <v>0</v>
      </c>
      <c r="M158" s="55">
        <v>0</v>
      </c>
      <c r="N158" s="55">
        <v>0</v>
      </c>
      <c r="O158" s="55">
        <v>0</v>
      </c>
      <c r="P158" s="55">
        <v>0</v>
      </c>
    </row>
    <row r="159" spans="2:16">
      <c r="C159" s="38" t="s">
        <v>54</v>
      </c>
      <c r="G159" s="34">
        <v>0</v>
      </c>
      <c r="H159" s="34">
        <v>0</v>
      </c>
      <c r="I159" s="34">
        <v>4001</v>
      </c>
      <c r="J159" s="34">
        <v>0</v>
      </c>
      <c r="K159" s="55">
        <v>0</v>
      </c>
      <c r="L159" s="55">
        <v>0</v>
      </c>
      <c r="M159" s="55">
        <v>0</v>
      </c>
      <c r="N159" s="55">
        <v>0</v>
      </c>
      <c r="O159" s="55">
        <v>0</v>
      </c>
      <c r="P159" s="55">
        <v>0</v>
      </c>
    </row>
    <row r="160" spans="2:16">
      <c r="C160" s="38" t="s">
        <v>55</v>
      </c>
      <c r="G160" s="34">
        <v>250</v>
      </c>
      <c r="H160" s="34">
        <v>160</v>
      </c>
      <c r="I160" s="34">
        <v>190</v>
      </c>
      <c r="J160" s="34">
        <v>0</v>
      </c>
      <c r="K160" s="55">
        <v>0</v>
      </c>
      <c r="L160" s="55">
        <v>0</v>
      </c>
      <c r="M160" s="55">
        <v>0</v>
      </c>
      <c r="N160" s="55">
        <v>0</v>
      </c>
      <c r="O160" s="55">
        <v>0</v>
      </c>
      <c r="P160" s="55">
        <v>0</v>
      </c>
    </row>
    <row r="161" spans="3:16">
      <c r="C161" s="38" t="s">
        <v>56</v>
      </c>
      <c r="G161" s="34">
        <v>0</v>
      </c>
      <c r="H161" s="34">
        <v>0</v>
      </c>
      <c r="I161" s="34">
        <v>-732</v>
      </c>
      <c r="J161" s="34">
        <v>-619</v>
      </c>
      <c r="K161" s="55">
        <f>AVERAGE(I161:J161)</f>
        <v>-675.5</v>
      </c>
      <c r="L161" s="55">
        <f t="shared" ref="L161:P161" si="138">AVERAGE(J161:K161)</f>
        <v>-647.25</v>
      </c>
      <c r="M161" s="55">
        <f t="shared" si="138"/>
        <v>-661.375</v>
      </c>
      <c r="N161" s="55">
        <f t="shared" si="138"/>
        <v>-654.3125</v>
      </c>
      <c r="O161" s="55">
        <f t="shared" si="138"/>
        <v>-657.84375</v>
      </c>
      <c r="P161" s="55">
        <f t="shared" si="138"/>
        <v>-656.078125</v>
      </c>
    </row>
    <row r="162" spans="3:16">
      <c r="C162" s="38" t="s">
        <v>57</v>
      </c>
      <c r="G162" s="34">
        <v>0</v>
      </c>
      <c r="H162" s="34">
        <v>0</v>
      </c>
      <c r="I162" s="34">
        <v>-4685</v>
      </c>
      <c r="J162" s="34">
        <v>-5095</v>
      </c>
      <c r="K162" s="55">
        <v>-4200</v>
      </c>
      <c r="L162" s="55">
        <v>-4000</v>
      </c>
      <c r="M162" s="55">
        <f>L162+200</f>
        <v>-3800</v>
      </c>
      <c r="N162" s="55">
        <f t="shared" ref="N162:P162" si="139">M162+200</f>
        <v>-3600</v>
      </c>
      <c r="O162" s="55">
        <f t="shared" si="139"/>
        <v>-3400</v>
      </c>
      <c r="P162" s="55">
        <f t="shared" si="139"/>
        <v>-3200</v>
      </c>
    </row>
    <row r="163" spans="3:16">
      <c r="C163" s="38" t="s">
        <v>58</v>
      </c>
      <c r="G163" s="34">
        <v>-2947</v>
      </c>
      <c r="H163" s="34">
        <v>-7446</v>
      </c>
      <c r="I163" s="34">
        <v>49</v>
      </c>
      <c r="J163" s="34">
        <v>-103</v>
      </c>
      <c r="K163" s="57">
        <f>AVERAGE(I163:J163)</f>
        <v>-27</v>
      </c>
      <c r="L163" s="57">
        <f t="shared" ref="L163:P163" si="140">AVERAGE(J163:K163)</f>
        <v>-65</v>
      </c>
      <c r="M163" s="57">
        <f t="shared" si="140"/>
        <v>-46</v>
      </c>
      <c r="N163" s="57">
        <f t="shared" si="140"/>
        <v>-55.5</v>
      </c>
      <c r="O163" s="57">
        <f t="shared" si="140"/>
        <v>-50.75</v>
      </c>
      <c r="P163" s="57">
        <f t="shared" si="140"/>
        <v>-53.125</v>
      </c>
    </row>
    <row r="164" spans="3:16">
      <c r="C164" s="38" t="s">
        <v>59</v>
      </c>
      <c r="G164" s="34">
        <v>808</v>
      </c>
      <c r="H164" s="34">
        <v>1600</v>
      </c>
      <c r="I164" s="34">
        <v>10047</v>
      </c>
      <c r="J164" s="34">
        <v>2080</v>
      </c>
      <c r="K164" s="55">
        <v>0</v>
      </c>
      <c r="L164" s="55">
        <v>0</v>
      </c>
      <c r="M164" s="55">
        <v>0</v>
      </c>
      <c r="N164" s="55">
        <v>0</v>
      </c>
      <c r="O164" s="55">
        <v>0</v>
      </c>
      <c r="P164" s="55">
        <v>0</v>
      </c>
    </row>
    <row r="165" spans="3:16">
      <c r="C165" s="38" t="s">
        <v>69</v>
      </c>
      <c r="G165" s="34">
        <v>379</v>
      </c>
      <c r="H165" s="34">
        <v>346</v>
      </c>
      <c r="I165" s="34">
        <v>0</v>
      </c>
      <c r="J165" s="34">
        <v>0</v>
      </c>
      <c r="K165" s="55">
        <v>0</v>
      </c>
      <c r="L165" s="55">
        <v>0</v>
      </c>
      <c r="M165" s="55">
        <v>0</v>
      </c>
      <c r="N165" s="55">
        <v>0</v>
      </c>
      <c r="O165" s="55">
        <v>0</v>
      </c>
      <c r="P165" s="55">
        <v>0</v>
      </c>
    </row>
    <row r="166" spans="3:16">
      <c r="C166" s="38" t="s">
        <v>60</v>
      </c>
      <c r="G166" s="34">
        <v>0</v>
      </c>
      <c r="H166" s="34">
        <v>0</v>
      </c>
      <c r="I166" s="34">
        <v>1346</v>
      </c>
      <c r="J166" s="34">
        <v>-587</v>
      </c>
      <c r="K166" s="55">
        <v>0</v>
      </c>
      <c r="L166" s="55">
        <v>0</v>
      </c>
      <c r="M166" s="55">
        <v>0</v>
      </c>
      <c r="N166" s="55">
        <v>0</v>
      </c>
      <c r="O166" s="55">
        <v>0</v>
      </c>
      <c r="P166" s="55">
        <v>0</v>
      </c>
    </row>
    <row r="167" spans="3:16">
      <c r="C167" s="38" t="s">
        <v>70</v>
      </c>
      <c r="G167" s="34">
        <v>0</v>
      </c>
      <c r="H167" s="34">
        <v>430</v>
      </c>
      <c r="I167" s="34">
        <v>0</v>
      </c>
      <c r="J167" s="34">
        <v>0</v>
      </c>
      <c r="K167" s="55">
        <v>0</v>
      </c>
      <c r="L167" s="55">
        <v>0</v>
      </c>
      <c r="M167" s="55">
        <v>0</v>
      </c>
      <c r="N167" s="55">
        <v>0</v>
      </c>
      <c r="O167" s="55">
        <v>0</v>
      </c>
      <c r="P167" s="55">
        <v>0</v>
      </c>
    </row>
    <row r="168" spans="3:16">
      <c r="C168" s="38" t="s">
        <v>61</v>
      </c>
      <c r="G168" s="34">
        <v>0</v>
      </c>
      <c r="H168" s="34">
        <v>0</v>
      </c>
      <c r="I168" s="34">
        <v>0</v>
      </c>
      <c r="J168" s="34">
        <v>-275</v>
      </c>
      <c r="K168" s="55">
        <v>0</v>
      </c>
      <c r="L168" s="55">
        <v>0</v>
      </c>
      <c r="M168" s="55">
        <v>0</v>
      </c>
      <c r="N168" s="55">
        <v>0</v>
      </c>
      <c r="O168" s="55">
        <v>0</v>
      </c>
      <c r="P168" s="55">
        <v>0</v>
      </c>
    </row>
    <row r="169" spans="3:16">
      <c r="C169" s="38" t="s">
        <v>62</v>
      </c>
      <c r="G169" s="34">
        <v>-8007</v>
      </c>
      <c r="H169" s="34">
        <v>-856</v>
      </c>
      <c r="I169" s="34">
        <v>3574</v>
      </c>
      <c r="J169" s="34">
        <v>-1724</v>
      </c>
      <c r="K169" s="27">
        <f>J109-K109</f>
        <v>-6135.7123287671238</v>
      </c>
      <c r="L169" s="27">
        <f t="shared" ref="L169:O169" si="141">K109-L109</f>
        <v>-9429.6547945205421</v>
      </c>
      <c r="M169" s="27">
        <f t="shared" si="141"/>
        <v>-10524.271824657539</v>
      </c>
      <c r="N169" s="27">
        <f t="shared" si="141"/>
        <v>-14472.950470415453</v>
      </c>
      <c r="O169" s="27">
        <f t="shared" si="141"/>
        <v>-11747.39252652094</v>
      </c>
      <c r="P169" s="27">
        <f t="shared" ref="P169" si="142">O109-P109</f>
        <v>-9785.026484681599</v>
      </c>
    </row>
    <row r="170" spans="3:16">
      <c r="C170" s="38" t="s">
        <v>25</v>
      </c>
      <c r="G170" s="34">
        <v>-3440</v>
      </c>
      <c r="H170" s="34">
        <v>-13684</v>
      </c>
      <c r="I170" s="34">
        <v>-4047</v>
      </c>
      <c r="J170" s="34">
        <v>4735</v>
      </c>
      <c r="K170" s="27">
        <f>J110-K110</f>
        <v>-7659.7123287671238</v>
      </c>
      <c r="L170" s="27">
        <f t="shared" ref="L170:O170" si="143">K110-L110</f>
        <v>-9429.6547945205421</v>
      </c>
      <c r="M170" s="27">
        <f t="shared" si="143"/>
        <v>-10524.271824657539</v>
      </c>
      <c r="N170" s="27">
        <f t="shared" si="143"/>
        <v>-14472.950470415453</v>
      </c>
      <c r="O170" s="27">
        <f t="shared" si="143"/>
        <v>-11747.39252652094</v>
      </c>
      <c r="P170" s="27">
        <f t="shared" ref="P170" si="144">O110-P110</f>
        <v>-9785.026484681599</v>
      </c>
    </row>
    <row r="171" spans="3:16">
      <c r="C171" s="38" t="s">
        <v>63</v>
      </c>
      <c r="G171" s="34">
        <v>350</v>
      </c>
      <c r="H171" s="34">
        <v>-3148</v>
      </c>
      <c r="I171" s="34">
        <v>-21575</v>
      </c>
      <c r="J171" s="34">
        <v>21317</v>
      </c>
      <c r="K171" s="27">
        <f>J111-K111</f>
        <v>-770</v>
      </c>
      <c r="L171" s="27">
        <f t="shared" ref="L171:O171" si="145">K111-L111</f>
        <v>-4315.1600000000035</v>
      </c>
      <c r="M171" s="27">
        <f t="shared" si="145"/>
        <v>-7732.63148</v>
      </c>
      <c r="N171" s="27">
        <f t="shared" si="145"/>
        <v>-6550.679110680001</v>
      </c>
      <c r="O171" s="27">
        <f t="shared" si="145"/>
        <v>-10617.54342578963</v>
      </c>
      <c r="P171" s="27">
        <f t="shared" ref="P171" si="146">O111-P111</f>
        <v>-2909.5220410156326</v>
      </c>
    </row>
    <row r="172" spans="3:16">
      <c r="C172" s="38" t="s">
        <v>181</v>
      </c>
      <c r="G172" s="34"/>
      <c r="H172" s="34"/>
      <c r="I172" s="34"/>
      <c r="J172" s="34"/>
      <c r="K172" s="27">
        <f>J116-K116</f>
        <v>-1697.0000000000018</v>
      </c>
      <c r="L172" s="27">
        <f t="shared" ref="L172:O172" si="147">K116-L116</f>
        <v>-3457.279999999997</v>
      </c>
      <c r="M172" s="27">
        <f t="shared" si="147"/>
        <v>-2975.4282000000021</v>
      </c>
      <c r="N172" s="27">
        <f t="shared" si="147"/>
        <v>-8502.6839589000047</v>
      </c>
      <c r="O172" s="27">
        <f t="shared" si="147"/>
        <v>-1725.2838520797523</v>
      </c>
      <c r="P172" s="27">
        <f t="shared" ref="P172" si="148">O116-P116</f>
        <v>-8025.7528350084503</v>
      </c>
    </row>
    <row r="173" spans="3:16">
      <c r="C173" s="38" t="s">
        <v>182</v>
      </c>
      <c r="G173" s="34"/>
      <c r="H173" s="34"/>
      <c r="I173" s="34"/>
      <c r="J173" s="34"/>
      <c r="K173" s="27">
        <f>J107-K107+J119-K119</f>
        <v>667.5</v>
      </c>
      <c r="L173" s="27">
        <f t="shared" ref="L173:O173" si="149">K107-L107+K119-L119</f>
        <v>30.625</v>
      </c>
      <c r="M173" s="27">
        <f t="shared" si="149"/>
        <v>-128.21875</v>
      </c>
      <c r="N173" s="27">
        <f t="shared" si="149"/>
        <v>-86.0234375</v>
      </c>
      <c r="O173" s="27">
        <f t="shared" si="149"/>
        <v>120.970703125</v>
      </c>
      <c r="P173" s="27">
        <f t="shared" ref="P173" si="150">O107-P107+O119-P119</f>
        <v>-15.66162109375</v>
      </c>
    </row>
    <row r="174" spans="3:16">
      <c r="C174" s="38" t="s">
        <v>183</v>
      </c>
      <c r="G174" s="34"/>
      <c r="H174" s="34"/>
      <c r="I174" s="34"/>
      <c r="J174" s="34"/>
      <c r="K174" s="27">
        <f>J120-K120</f>
        <v>615.75</v>
      </c>
      <c r="L174" s="27">
        <f t="shared" ref="L174:O174" si="151">K120-L120</f>
        <v>-259.8125</v>
      </c>
      <c r="M174" s="27">
        <f t="shared" si="151"/>
        <v>-282.265625</v>
      </c>
      <c r="N174" s="27">
        <f t="shared" si="151"/>
        <v>187.66796875</v>
      </c>
      <c r="O174" s="27">
        <f t="shared" si="151"/>
        <v>65.3349609375</v>
      </c>
      <c r="P174" s="27">
        <f t="shared" ref="P174" si="152">O120-P120</f>
        <v>-72.268798828125</v>
      </c>
    </row>
    <row r="175" spans="3:16">
      <c r="C175" s="38" t="s">
        <v>36</v>
      </c>
      <c r="G175" s="34">
        <v>-2442</v>
      </c>
      <c r="H175" s="34">
        <v>4191</v>
      </c>
      <c r="I175" s="34">
        <v>-8520</v>
      </c>
      <c r="J175" s="34">
        <v>2476</v>
      </c>
      <c r="K175" s="27">
        <f>K123-J123</f>
        <v>3898.3013698630148</v>
      </c>
      <c r="L175" s="27">
        <f t="shared" ref="L175:O175" si="153">L123-K123</f>
        <v>3774.6849315068466</v>
      </c>
      <c r="M175" s="27">
        <f t="shared" si="153"/>
        <v>4051.5478136986294</v>
      </c>
      <c r="N175" s="27">
        <f t="shared" si="153"/>
        <v>5388.9016522757738</v>
      </c>
      <c r="O175" s="27">
        <f t="shared" si="153"/>
        <v>3918.390544554135</v>
      </c>
      <c r="P175" s="27">
        <f t="shared" ref="P175" si="154">P123-O123</f>
        <v>2693.6768491877956</v>
      </c>
    </row>
    <row r="176" spans="3:16">
      <c r="C176" s="38" t="s">
        <v>64</v>
      </c>
      <c r="G176" s="34">
        <v>9060</v>
      </c>
      <c r="H176" s="34">
        <v>3196</v>
      </c>
      <c r="I176" s="34">
        <v>8081</v>
      </c>
      <c r="J176" s="34">
        <v>-28059</v>
      </c>
      <c r="K176" s="27">
        <f>K124-J124</f>
        <v>-9764.0065399999985</v>
      </c>
      <c r="L176" s="27">
        <f t="shared" ref="L176:O176" si="155">L124-K124</f>
        <v>-2226.9934600000015</v>
      </c>
      <c r="M176" s="27">
        <f t="shared" si="155"/>
        <v>-1549.9999999999964</v>
      </c>
      <c r="N176" s="27">
        <f t="shared" si="155"/>
        <v>-1550</v>
      </c>
      <c r="O176" s="27">
        <f t="shared" si="155"/>
        <v>-1550</v>
      </c>
      <c r="P176" s="27">
        <f t="shared" ref="P176" si="156">P124-O124</f>
        <v>-1549.9999999999982</v>
      </c>
    </row>
    <row r="177" spans="3:16">
      <c r="C177" s="38" t="s">
        <v>65</v>
      </c>
      <c r="G177" s="34">
        <v>0</v>
      </c>
      <c r="H177" s="34">
        <v>0</v>
      </c>
      <c r="I177" s="34">
        <v>6597</v>
      </c>
      <c r="J177" s="34">
        <v>19036</v>
      </c>
      <c r="K177" s="27">
        <f>K125-J125+K132-J132</f>
        <v>4663.2408177278612</v>
      </c>
      <c r="L177" s="27">
        <f t="shared" ref="L177:O177" si="157">L125-K125+L132-K132</f>
        <v>-1040.948817727864</v>
      </c>
      <c r="M177" s="27">
        <f t="shared" si="157"/>
        <v>1675.5639419999934</v>
      </c>
      <c r="N177" s="27">
        <f t="shared" si="157"/>
        <v>14020.467591690012</v>
      </c>
      <c r="O177" s="27">
        <f t="shared" si="157"/>
        <v>17868.43409485737</v>
      </c>
      <c r="P177" s="27">
        <f t="shared" ref="P177" si="158">P125-O125+P132-O132</f>
        <v>20866.957371021967</v>
      </c>
    </row>
    <row r="178" spans="3:16">
      <c r="C178" s="38" t="s">
        <v>66</v>
      </c>
      <c r="G178" s="34">
        <v>-1670</v>
      </c>
      <c r="H178" s="34">
        <v>-3225</v>
      </c>
      <c r="I178" s="34">
        <v>-5567</v>
      </c>
      <c r="J178" s="34">
        <v>-6323</v>
      </c>
      <c r="K178" s="27">
        <f>K126-J126+K129-J129</f>
        <v>-405</v>
      </c>
      <c r="L178" s="27">
        <f t="shared" ref="L178:O178" si="159">L126-K126+L129-K129</f>
        <v>-3052.3743715687651</v>
      </c>
      <c r="M178" s="27">
        <f t="shared" si="159"/>
        <v>125.53312367121362</v>
      </c>
      <c r="N178" s="27">
        <f t="shared" si="159"/>
        <v>72.878401689516977</v>
      </c>
      <c r="O178" s="27">
        <f t="shared" si="159"/>
        <v>-238.81287581452489</v>
      </c>
      <c r="P178" s="27">
        <f t="shared" ref="P178" si="160">P126-O126+P129-O129</f>
        <v>-715.32659057907586</v>
      </c>
    </row>
    <row r="179" spans="3:16">
      <c r="C179" s="39" t="s">
        <v>184</v>
      </c>
      <c r="G179" s="33"/>
      <c r="H179" s="33"/>
      <c r="I179" s="33"/>
      <c r="J179" s="33"/>
      <c r="K179" s="35">
        <f>K133-J133</f>
        <v>471</v>
      </c>
      <c r="L179" s="35">
        <f t="shared" ref="L179:O179" si="161">L133-K133</f>
        <v>857.88000000000011</v>
      </c>
      <c r="M179" s="35">
        <f t="shared" si="161"/>
        <v>1104.6616399999998</v>
      </c>
      <c r="N179" s="35">
        <f t="shared" si="161"/>
        <v>1700.5367917800008</v>
      </c>
      <c r="O179" s="35">
        <f t="shared" si="161"/>
        <v>1769.5905709649387</v>
      </c>
      <c r="P179" s="35">
        <f t="shared" ref="P179" si="162">P133-O133</f>
        <v>2006.4382087521126</v>
      </c>
    </row>
    <row r="180" spans="3:16">
      <c r="C180" s="31" t="s">
        <v>71</v>
      </c>
      <c r="G180" s="32">
        <f>SUM(G149:G179)</f>
        <v>-71061</v>
      </c>
      <c r="H180" s="32">
        <f t="shared" ref="H180:P180" si="163">SUM(H149:H179)</f>
        <v>-110690</v>
      </c>
      <c r="I180" s="32">
        <f t="shared" si="163"/>
        <v>-137890</v>
      </c>
      <c r="J180" s="32">
        <f t="shared" si="163"/>
        <v>-33694</v>
      </c>
      <c r="K180" s="32">
        <f t="shared" si="163"/>
        <v>-51116.58115138705</v>
      </c>
      <c r="L180" s="32">
        <f t="shared" si="163"/>
        <v>-37652.437491992685</v>
      </c>
      <c r="M180" s="32">
        <f t="shared" si="163"/>
        <v>-2912.2801673287927</v>
      </c>
      <c r="N180" s="32">
        <f t="shared" si="163"/>
        <v>54390.923137743339</v>
      </c>
      <c r="O180" s="32">
        <f t="shared" si="163"/>
        <v>122346.62097899799</v>
      </c>
      <c r="P180" s="32">
        <f t="shared" si="163"/>
        <v>196538.15120231142</v>
      </c>
    </row>
    <row r="181" spans="3:16">
      <c r="G181" s="27"/>
      <c r="H181" s="27"/>
      <c r="I181" s="27"/>
      <c r="J181" s="27"/>
    </row>
    <row r="182" spans="3:16">
      <c r="C182" s="3" t="s">
        <v>72</v>
      </c>
      <c r="G182" s="34">
        <v>0</v>
      </c>
      <c r="H182" s="34">
        <v>275</v>
      </c>
      <c r="I182" s="34">
        <v>560</v>
      </c>
      <c r="J182" s="34">
        <v>668</v>
      </c>
      <c r="K182" s="55">
        <v>0</v>
      </c>
      <c r="L182" s="55">
        <v>0</v>
      </c>
      <c r="M182" s="55">
        <v>0</v>
      </c>
      <c r="N182" s="55">
        <v>0</v>
      </c>
      <c r="O182" s="55">
        <v>0</v>
      </c>
      <c r="P182" s="55">
        <v>0</v>
      </c>
    </row>
    <row r="183" spans="3:16">
      <c r="C183" s="3" t="s">
        <v>73</v>
      </c>
      <c r="G183" s="34">
        <v>-4283</v>
      </c>
      <c r="H183" s="34">
        <v>-5422</v>
      </c>
      <c r="I183" s="34">
        <v>-3006</v>
      </c>
      <c r="J183" s="34">
        <v>-3756</v>
      </c>
      <c r="K183" s="27">
        <f>-Drivers!J52</f>
        <v>-4806.2292599999992</v>
      </c>
      <c r="L183" s="27">
        <f>-Drivers!K52</f>
        <v>-4650</v>
      </c>
      <c r="M183" s="27">
        <f>-Drivers!L52</f>
        <v>-4650</v>
      </c>
      <c r="N183" s="27">
        <f>-Drivers!M52</f>
        <v>-4650</v>
      </c>
      <c r="O183" s="27">
        <f>-Drivers!N52</f>
        <v>-4650</v>
      </c>
      <c r="P183" s="27">
        <f>-Drivers!O52</f>
        <v>-4650</v>
      </c>
    </row>
    <row r="184" spans="3:16">
      <c r="C184" s="3" t="s">
        <v>75</v>
      </c>
      <c r="G184" s="34">
        <v>-10946</v>
      </c>
      <c r="H184" s="34">
        <v>0</v>
      </c>
      <c r="I184" s="34">
        <v>0</v>
      </c>
      <c r="J184" s="34">
        <v>0</v>
      </c>
      <c r="K184" s="55">
        <v>0</v>
      </c>
      <c r="L184" s="55">
        <v>-35000</v>
      </c>
      <c r="M184" s="55">
        <v>0</v>
      </c>
      <c r="N184" s="55">
        <v>0</v>
      </c>
      <c r="O184" s="55">
        <v>0</v>
      </c>
      <c r="P184" s="55">
        <v>0</v>
      </c>
    </row>
    <row r="185" spans="3:16">
      <c r="C185" s="3" t="s">
        <v>180</v>
      </c>
      <c r="G185" s="34">
        <v>0</v>
      </c>
      <c r="H185" s="34">
        <v>0</v>
      </c>
      <c r="I185" s="34">
        <v>20910</v>
      </c>
      <c r="J185" s="34">
        <v>17740</v>
      </c>
      <c r="K185" s="27">
        <f>J108-K108</f>
        <v>12625</v>
      </c>
      <c r="L185" s="27">
        <f t="shared" ref="L185:O185" si="164">K108-L108</f>
        <v>36988.048329109632</v>
      </c>
      <c r="M185" s="27">
        <f t="shared" si="164"/>
        <v>32512.01133030645</v>
      </c>
      <c r="N185" s="27">
        <f t="shared" si="164"/>
        <v>-19662.759930382126</v>
      </c>
      <c r="O185" s="27">
        <f t="shared" si="164"/>
        <v>-23693.649315888979</v>
      </c>
      <c r="P185" s="27">
        <f t="shared" ref="P185" si="165">O108-P108</f>
        <v>-74918.675767987224</v>
      </c>
    </row>
    <row r="186" spans="3:16">
      <c r="C186" s="3" t="s">
        <v>74</v>
      </c>
      <c r="G186" s="33">
        <v>0</v>
      </c>
      <c r="H186" s="33">
        <v>0</v>
      </c>
      <c r="I186" s="33">
        <v>32137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</row>
    <row r="187" spans="3:16">
      <c r="C187" s="3" t="s">
        <v>76</v>
      </c>
      <c r="G187" s="32">
        <f>SUM(G182:G186)</f>
        <v>-15229</v>
      </c>
      <c r="H187" s="32">
        <f>SUM(H182:H186)</f>
        <v>-5147</v>
      </c>
      <c r="I187" s="32">
        <f>SUM(I182:I186)</f>
        <v>50601</v>
      </c>
      <c r="J187" s="32">
        <f>SUM(J182:J186)</f>
        <v>14652</v>
      </c>
      <c r="K187" s="32">
        <f t="shared" ref="K187:P187" si="166">SUM(K182:K186)</f>
        <v>7818.7707400000008</v>
      </c>
      <c r="L187" s="32">
        <f t="shared" si="166"/>
        <v>-2661.9516708903684</v>
      </c>
      <c r="M187" s="32">
        <f t="shared" si="166"/>
        <v>27862.01133030645</v>
      </c>
      <c r="N187" s="32">
        <f t="shared" si="166"/>
        <v>-24312.759930382126</v>
      </c>
      <c r="O187" s="32">
        <f t="shared" si="166"/>
        <v>-28343.649315888979</v>
      </c>
      <c r="P187" s="32">
        <f t="shared" si="166"/>
        <v>-79568.675767987224</v>
      </c>
    </row>
    <row r="188" spans="3:16">
      <c r="G188" s="27"/>
      <c r="H188" s="27"/>
      <c r="I188" s="27"/>
      <c r="J188" s="27"/>
    </row>
    <row r="189" spans="3:16">
      <c r="C189" s="3" t="s">
        <v>90</v>
      </c>
      <c r="G189" s="34">
        <v>291442</v>
      </c>
      <c r="H189" s="34">
        <v>0</v>
      </c>
      <c r="I189" s="34">
        <v>0</v>
      </c>
      <c r="J189" s="34">
        <v>0</v>
      </c>
      <c r="K189" s="55">
        <v>0</v>
      </c>
      <c r="L189" s="55"/>
      <c r="M189" s="55">
        <v>0</v>
      </c>
      <c r="N189" s="55">
        <v>0</v>
      </c>
      <c r="O189" s="55">
        <v>0</v>
      </c>
      <c r="P189" s="55">
        <v>0</v>
      </c>
    </row>
    <row r="190" spans="3:16">
      <c r="C190" s="3" t="s">
        <v>91</v>
      </c>
      <c r="G190" s="34">
        <v>-26620</v>
      </c>
      <c r="H190" s="34">
        <v>0</v>
      </c>
      <c r="I190" s="34">
        <v>0</v>
      </c>
      <c r="J190" s="34">
        <v>0</v>
      </c>
      <c r="K190" s="55">
        <v>0</v>
      </c>
      <c r="L190" s="55">
        <v>0</v>
      </c>
      <c r="M190" s="55">
        <v>0</v>
      </c>
      <c r="N190" s="55">
        <v>0</v>
      </c>
      <c r="O190" s="55">
        <v>0</v>
      </c>
      <c r="P190" s="55">
        <v>0</v>
      </c>
    </row>
    <row r="191" spans="3:16">
      <c r="C191" s="3" t="s">
        <v>92</v>
      </c>
      <c r="G191" s="34">
        <v>-7000</v>
      </c>
      <c r="H191" s="34">
        <v>0</v>
      </c>
      <c r="I191" s="34">
        <v>0</v>
      </c>
      <c r="J191" s="34">
        <v>0</v>
      </c>
      <c r="K191" s="55">
        <v>0</v>
      </c>
      <c r="L191" s="55">
        <v>0</v>
      </c>
      <c r="M191" s="55">
        <v>0</v>
      </c>
      <c r="N191" s="55">
        <v>0</v>
      </c>
      <c r="O191" s="55">
        <v>0</v>
      </c>
      <c r="P191" s="55">
        <v>0</v>
      </c>
    </row>
    <row r="192" spans="3:16">
      <c r="C192" s="3" t="s">
        <v>93</v>
      </c>
      <c r="G192" s="34">
        <v>5000</v>
      </c>
      <c r="H192" s="34">
        <v>0</v>
      </c>
      <c r="I192" s="34">
        <v>0</v>
      </c>
      <c r="J192" s="34">
        <v>0</v>
      </c>
      <c r="K192" s="55">
        <v>0</v>
      </c>
      <c r="L192" s="55">
        <v>0</v>
      </c>
      <c r="M192" s="55">
        <v>0</v>
      </c>
      <c r="N192" s="55">
        <v>0</v>
      </c>
      <c r="O192" s="55">
        <v>0</v>
      </c>
      <c r="P192" s="55">
        <v>0</v>
      </c>
    </row>
    <row r="193" spans="3:16">
      <c r="C193" s="3" t="s">
        <v>94</v>
      </c>
      <c r="G193" s="34">
        <v>-5000</v>
      </c>
      <c r="H193" s="34">
        <v>0</v>
      </c>
      <c r="I193" s="34">
        <v>0</v>
      </c>
      <c r="J193" s="34">
        <v>0</v>
      </c>
      <c r="K193" s="55">
        <v>0</v>
      </c>
      <c r="L193" s="55">
        <v>0</v>
      </c>
      <c r="M193" s="55">
        <v>0</v>
      </c>
      <c r="N193" s="55">
        <v>0</v>
      </c>
      <c r="O193" s="55">
        <v>0</v>
      </c>
      <c r="P193" s="55">
        <v>0</v>
      </c>
    </row>
    <row r="194" spans="3:16">
      <c r="C194" s="3" t="s">
        <v>95</v>
      </c>
      <c r="G194" s="34">
        <v>-45</v>
      </c>
      <c r="H194" s="34">
        <v>-45</v>
      </c>
      <c r="I194" s="34">
        <v>0</v>
      </c>
      <c r="J194" s="34">
        <v>0</v>
      </c>
      <c r="K194" s="55">
        <v>0</v>
      </c>
      <c r="L194" s="55">
        <v>0</v>
      </c>
      <c r="M194" s="55">
        <v>0</v>
      </c>
      <c r="N194" s="55">
        <v>0</v>
      </c>
      <c r="O194" s="55">
        <v>0</v>
      </c>
      <c r="P194" s="55">
        <v>0</v>
      </c>
    </row>
    <row r="195" spans="3:16">
      <c r="C195" s="3" t="s">
        <v>77</v>
      </c>
      <c r="G195" s="34">
        <v>526</v>
      </c>
      <c r="H195" s="34">
        <v>470</v>
      </c>
      <c r="I195" s="34">
        <v>271</v>
      </c>
      <c r="J195" s="34">
        <v>205</v>
      </c>
      <c r="K195" s="55">
        <v>0</v>
      </c>
      <c r="L195" s="55">
        <v>0</v>
      </c>
      <c r="M195" s="55">
        <v>0</v>
      </c>
      <c r="N195" s="55">
        <v>0</v>
      </c>
      <c r="O195" s="55">
        <v>0</v>
      </c>
      <c r="P195" s="55">
        <v>0</v>
      </c>
    </row>
    <row r="196" spans="3:16">
      <c r="C196" s="3" t="s">
        <v>104</v>
      </c>
      <c r="G196" s="34">
        <v>0</v>
      </c>
      <c r="H196" s="34">
        <v>378</v>
      </c>
      <c r="I196" s="34">
        <v>1174</v>
      </c>
      <c r="J196" s="34">
        <v>1703</v>
      </c>
      <c r="K196" s="55">
        <v>0</v>
      </c>
      <c r="L196" s="55">
        <v>0</v>
      </c>
      <c r="M196" s="55">
        <v>0</v>
      </c>
      <c r="N196" s="55">
        <v>0</v>
      </c>
      <c r="O196" s="55">
        <v>0</v>
      </c>
      <c r="P196" s="55">
        <v>0</v>
      </c>
    </row>
    <row r="197" spans="3:16">
      <c r="C197" s="3" t="s">
        <v>96</v>
      </c>
      <c r="G197" s="34">
        <v>1</v>
      </c>
      <c r="H197" s="34">
        <v>0</v>
      </c>
      <c r="I197" s="34">
        <v>0</v>
      </c>
      <c r="J197" s="34">
        <v>0</v>
      </c>
      <c r="K197" s="55">
        <v>0</v>
      </c>
      <c r="L197" s="55">
        <v>0</v>
      </c>
      <c r="M197" s="55">
        <v>0</v>
      </c>
      <c r="N197" s="55">
        <v>0</v>
      </c>
      <c r="O197" s="55">
        <v>0</v>
      </c>
      <c r="P197" s="55">
        <v>0</v>
      </c>
    </row>
    <row r="198" spans="3:16">
      <c r="C198" s="3" t="s">
        <v>105</v>
      </c>
      <c r="G198" s="34">
        <v>0</v>
      </c>
      <c r="H198" s="34">
        <v>0</v>
      </c>
      <c r="I198" s="34">
        <v>0</v>
      </c>
      <c r="J198" s="34">
        <v>0</v>
      </c>
      <c r="K198" s="55">
        <v>0</v>
      </c>
      <c r="L198" s="55">
        <v>0</v>
      </c>
      <c r="M198" s="55">
        <v>0</v>
      </c>
      <c r="N198" s="55">
        <v>0</v>
      </c>
      <c r="O198" s="55">
        <v>0</v>
      </c>
      <c r="P198" s="55">
        <v>0</v>
      </c>
    </row>
    <row r="199" spans="3:16">
      <c r="C199" s="3" t="s">
        <v>78</v>
      </c>
      <c r="G199" s="34">
        <v>0</v>
      </c>
      <c r="H199" s="34">
        <v>39077</v>
      </c>
      <c r="I199" s="34">
        <v>43975</v>
      </c>
      <c r="J199" s="34">
        <v>0</v>
      </c>
      <c r="K199" s="55">
        <v>0</v>
      </c>
      <c r="L199" s="55">
        <v>0</v>
      </c>
      <c r="M199" s="55">
        <v>0</v>
      </c>
      <c r="N199" s="55">
        <v>0</v>
      </c>
      <c r="O199" s="55">
        <v>0</v>
      </c>
      <c r="P199" s="55">
        <v>0</v>
      </c>
    </row>
    <row r="200" spans="3:16">
      <c r="C200" s="3" t="s">
        <v>79</v>
      </c>
      <c r="G200" s="34">
        <v>0</v>
      </c>
      <c r="H200" s="34">
        <v>0</v>
      </c>
      <c r="I200" s="34">
        <v>-43975</v>
      </c>
      <c r="J200" s="34">
        <v>-43975</v>
      </c>
      <c r="K200" s="55">
        <v>0</v>
      </c>
      <c r="L200" s="55">
        <v>0</v>
      </c>
      <c r="M200" s="55">
        <v>0</v>
      </c>
      <c r="N200" s="55">
        <v>0</v>
      </c>
      <c r="O200" s="55">
        <v>0</v>
      </c>
      <c r="P200" s="55">
        <v>0</v>
      </c>
    </row>
    <row r="201" spans="3:16">
      <c r="C201" s="3" t="s">
        <v>80</v>
      </c>
      <c r="G201" s="34">
        <v>0</v>
      </c>
      <c r="H201" s="34">
        <v>16322</v>
      </c>
      <c r="I201" s="34">
        <v>14575</v>
      </c>
      <c r="J201" s="34">
        <v>57806</v>
      </c>
      <c r="K201" s="55">
        <v>94100</v>
      </c>
      <c r="L201" s="55">
        <v>0</v>
      </c>
      <c r="M201" s="55">
        <v>0</v>
      </c>
      <c r="N201" s="55">
        <v>0</v>
      </c>
      <c r="O201" s="55">
        <v>0</v>
      </c>
      <c r="P201" s="55">
        <v>0</v>
      </c>
    </row>
    <row r="202" spans="3:16">
      <c r="C202" s="3" t="s">
        <v>81</v>
      </c>
      <c r="G202" s="34">
        <v>0</v>
      </c>
      <c r="H202" s="34">
        <v>-541</v>
      </c>
      <c r="I202" s="34">
        <v>-363</v>
      </c>
      <c r="J202" s="34">
        <v>-346</v>
      </c>
      <c r="K202" s="55">
        <v>0</v>
      </c>
      <c r="L202" s="55">
        <v>0</v>
      </c>
      <c r="M202" s="55">
        <v>0</v>
      </c>
      <c r="N202" s="55">
        <v>0</v>
      </c>
      <c r="O202" s="55">
        <v>0</v>
      </c>
      <c r="P202" s="55">
        <v>0</v>
      </c>
    </row>
    <row r="203" spans="3:16">
      <c r="C203" s="3" t="s">
        <v>97</v>
      </c>
      <c r="G203" s="33">
        <v>0</v>
      </c>
      <c r="H203" s="33">
        <v>-59</v>
      </c>
      <c r="I203" s="33">
        <v>0</v>
      </c>
      <c r="J203" s="3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</row>
    <row r="204" spans="3:16">
      <c r="C204" s="3" t="s">
        <v>82</v>
      </c>
      <c r="G204" s="32">
        <f>SUM(G189:G203)</f>
        <v>258304</v>
      </c>
      <c r="H204" s="32">
        <f t="shared" ref="H204:O204" si="167">SUM(H189:H203)</f>
        <v>55602</v>
      </c>
      <c r="I204" s="32">
        <f t="shared" si="167"/>
        <v>15657</v>
      </c>
      <c r="J204" s="32">
        <f t="shared" si="167"/>
        <v>15393</v>
      </c>
      <c r="K204" s="32">
        <f t="shared" si="167"/>
        <v>94100</v>
      </c>
      <c r="L204" s="32">
        <f t="shared" si="167"/>
        <v>0</v>
      </c>
      <c r="M204" s="32">
        <f t="shared" si="167"/>
        <v>0</v>
      </c>
      <c r="N204" s="32">
        <f t="shared" si="167"/>
        <v>0</v>
      </c>
      <c r="O204" s="32">
        <f t="shared" si="167"/>
        <v>0</v>
      </c>
      <c r="P204" s="32">
        <f t="shared" ref="P204" si="168">SUM(P189:P203)</f>
        <v>0</v>
      </c>
    </row>
    <row r="205" spans="3:16">
      <c r="G205" s="27"/>
      <c r="H205" s="27"/>
      <c r="I205" s="27"/>
      <c r="J205" s="27"/>
    </row>
    <row r="206" spans="3:16">
      <c r="G206" s="27"/>
      <c r="H206" s="27"/>
      <c r="I206" s="27"/>
      <c r="J206" s="27"/>
    </row>
    <row r="207" spans="3:16">
      <c r="C207" s="3" t="s">
        <v>83</v>
      </c>
      <c r="G207" s="27">
        <v>0</v>
      </c>
      <c r="H207" s="27">
        <v>-143</v>
      </c>
      <c r="I207" s="27">
        <v>-12</v>
      </c>
      <c r="J207" s="27">
        <v>-887</v>
      </c>
      <c r="K207" s="57">
        <f>AVERAGE(G207:J207)</f>
        <v>-260.5</v>
      </c>
      <c r="L207" s="57">
        <f t="shared" ref="L207:P207" si="169">AVERAGE(H207:K207)</f>
        <v>-325.625</v>
      </c>
      <c r="M207" s="57">
        <f t="shared" si="169"/>
        <v>-371.28125</v>
      </c>
      <c r="N207" s="57">
        <f t="shared" si="169"/>
        <v>-461.1015625</v>
      </c>
      <c r="O207" s="57">
        <f t="shared" si="169"/>
        <v>-354.626953125</v>
      </c>
      <c r="P207" s="57">
        <f t="shared" si="169"/>
        <v>-378.15869140625</v>
      </c>
    </row>
    <row r="208" spans="3:16">
      <c r="G208" s="27"/>
      <c r="H208" s="27"/>
      <c r="I208" s="27"/>
      <c r="J208" s="27"/>
    </row>
    <row r="209" spans="3:16">
      <c r="C209" s="3" t="s">
        <v>98</v>
      </c>
      <c r="G209" s="40">
        <f>SUM(G180,G187,G204,G207)</f>
        <v>172014</v>
      </c>
      <c r="H209" s="40">
        <f>SUM(H180,H187,H204,H207)</f>
        <v>-60378</v>
      </c>
      <c r="I209" s="40">
        <f>SUM(I180,I187,I204,I207)</f>
        <v>-71644</v>
      </c>
      <c r="J209" s="40">
        <f>SUM(J180,J187,J204,J207)</f>
        <v>-4536</v>
      </c>
      <c r="K209" s="40">
        <f t="shared" ref="K209:O209" si="170">SUM(K180,K187,K204,K207)</f>
        <v>50541.68958861295</v>
      </c>
      <c r="L209" s="40">
        <f t="shared" si="170"/>
        <v>-40640.014162883053</v>
      </c>
      <c r="M209" s="40">
        <f t="shared" si="170"/>
        <v>24578.449912977656</v>
      </c>
      <c r="N209" s="40">
        <f t="shared" si="170"/>
        <v>29617.061644861213</v>
      </c>
      <c r="O209" s="40">
        <f t="shared" si="170"/>
        <v>93648.344709984012</v>
      </c>
      <c r="P209" s="40">
        <f t="shared" ref="P209" si="171">SUM(P180,P187,P204,P207)</f>
        <v>116591.31674291794</v>
      </c>
    </row>
    <row r="210" spans="3:16">
      <c r="C210" s="3" t="s">
        <v>84</v>
      </c>
      <c r="G210" s="33">
        <v>12642</v>
      </c>
      <c r="H210" s="41">
        <f>G211</f>
        <v>184656</v>
      </c>
      <c r="I210" s="41">
        <f t="shared" ref="I210:J210" si="172">H211</f>
        <v>124278</v>
      </c>
      <c r="J210" s="41">
        <f t="shared" si="172"/>
        <v>52634</v>
      </c>
      <c r="K210" s="41">
        <f t="shared" ref="K210" si="173">J211</f>
        <v>45542</v>
      </c>
      <c r="L210" s="41">
        <f t="shared" ref="L210" si="174">K211</f>
        <v>96083.68958861295</v>
      </c>
      <c r="M210" s="41">
        <f t="shared" ref="M210" si="175">L211</f>
        <v>55443.675425729896</v>
      </c>
      <c r="N210" s="41">
        <f t="shared" ref="N210" si="176">M211</f>
        <v>80022.125338707556</v>
      </c>
      <c r="O210" s="41">
        <f t="shared" ref="O210:P210" si="177">N211</f>
        <v>109639.18698356877</v>
      </c>
      <c r="P210" s="41">
        <f t="shared" si="177"/>
        <v>203287.5316935528</v>
      </c>
    </row>
    <row r="211" spans="3:16">
      <c r="C211" s="3" t="s">
        <v>85</v>
      </c>
      <c r="G211" s="32">
        <f>SUM(G209:G210)</f>
        <v>184656</v>
      </c>
      <c r="H211" s="32">
        <f t="shared" ref="H211:I211" si="178">SUM(H209:H210)</f>
        <v>124278</v>
      </c>
      <c r="I211" s="32">
        <f t="shared" si="178"/>
        <v>52634</v>
      </c>
      <c r="J211" s="30">
        <v>45542</v>
      </c>
      <c r="K211" s="32">
        <f t="shared" ref="K211:O211" si="179">SUM(K209:K210)</f>
        <v>96083.68958861295</v>
      </c>
      <c r="L211" s="32">
        <f t="shared" si="179"/>
        <v>55443.675425729896</v>
      </c>
      <c r="M211" s="32">
        <f t="shared" si="179"/>
        <v>80022.125338707556</v>
      </c>
      <c r="N211" s="32">
        <f t="shared" si="179"/>
        <v>109639.18698356877</v>
      </c>
      <c r="O211" s="32">
        <f t="shared" si="179"/>
        <v>203287.5316935528</v>
      </c>
      <c r="P211" s="32">
        <f t="shared" ref="P211" si="180">SUM(P209:P210)</f>
        <v>319878.84843647073</v>
      </c>
    </row>
    <row r="212" spans="3:16">
      <c r="G212" s="27"/>
      <c r="H212" s="27"/>
      <c r="I212" s="27"/>
      <c r="J212" s="27"/>
    </row>
    <row r="213" spans="3:16">
      <c r="C213" s="3" t="s">
        <v>86</v>
      </c>
      <c r="G213" s="27">
        <v>635</v>
      </c>
      <c r="H213" s="27">
        <v>1735</v>
      </c>
      <c r="I213" s="27">
        <v>5115</v>
      </c>
      <c r="J213" s="27">
        <v>2073</v>
      </c>
    </row>
    <row r="214" spans="3:16">
      <c r="C214" s="3" t="s">
        <v>87</v>
      </c>
      <c r="G214" s="27">
        <v>377</v>
      </c>
      <c r="H214" s="27">
        <v>269</v>
      </c>
      <c r="I214" s="27">
        <v>524</v>
      </c>
      <c r="J214" s="27">
        <v>480</v>
      </c>
    </row>
    <row r="215" spans="3:16">
      <c r="C215" s="3" t="s">
        <v>88</v>
      </c>
      <c r="G215" s="27"/>
      <c r="H215" s="27"/>
      <c r="I215" s="27">
        <v>297425</v>
      </c>
      <c r="J215" s="27">
        <v>0</v>
      </c>
    </row>
    <row r="216" spans="3:16">
      <c r="C216" s="3" t="s">
        <v>89</v>
      </c>
      <c r="G216" s="27"/>
      <c r="H216" s="27"/>
      <c r="I216" s="27">
        <v>9177</v>
      </c>
      <c r="J216" s="27">
        <v>0</v>
      </c>
    </row>
    <row r="217" spans="3:16">
      <c r="C217" s="3" t="s">
        <v>99</v>
      </c>
      <c r="G217" s="27">
        <v>61105</v>
      </c>
      <c r="H217" s="27">
        <v>0</v>
      </c>
      <c r="I217" s="27"/>
      <c r="J217" s="27"/>
      <c r="L217" s="3">
        <v>1500</v>
      </c>
    </row>
    <row r="218" spans="3:16">
      <c r="C218" s="3" t="s">
        <v>100</v>
      </c>
      <c r="G218" s="27">
        <v>58097</v>
      </c>
      <c r="H218" s="27">
        <v>0</v>
      </c>
      <c r="I218" s="27"/>
      <c r="J218" s="27"/>
    </row>
    <row r="219" spans="3:16">
      <c r="C219" s="3" t="s">
        <v>101</v>
      </c>
      <c r="G219" s="27">
        <v>97322</v>
      </c>
      <c r="H219" s="27">
        <v>0</v>
      </c>
      <c r="I219" s="27"/>
      <c r="J219" s="27"/>
    </row>
    <row r="220" spans="3:16">
      <c r="C220" s="3" t="s">
        <v>102</v>
      </c>
      <c r="G220" s="27">
        <v>6265</v>
      </c>
      <c r="H220" s="27">
        <v>571</v>
      </c>
      <c r="I220" s="27"/>
      <c r="J220" s="27"/>
    </row>
    <row r="221" spans="3:16">
      <c r="C221" s="3" t="s">
        <v>103</v>
      </c>
      <c r="G221" s="27"/>
      <c r="H221" s="27">
        <v>5</v>
      </c>
      <c r="I221" s="27"/>
      <c r="J221" s="27"/>
    </row>
    <row r="222" spans="3:16">
      <c r="C222" s="26"/>
    </row>
    <row r="223" spans="3:16">
      <c r="C223" s="26"/>
    </row>
    <row r="224" spans="3:16">
      <c r="C224" s="26"/>
    </row>
    <row r="225" spans="3:3">
      <c r="C225" s="2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D67C-A856-4666-B25E-4A0ADB8F6079}">
  <dimension ref="B2:S67"/>
  <sheetViews>
    <sheetView showGridLines="0" tabSelected="1" topLeftCell="A37" zoomScale="70" workbookViewId="0">
      <selection activeCell="B50" sqref="B50"/>
    </sheetView>
  </sheetViews>
  <sheetFormatPr defaultRowHeight="14.5"/>
  <cols>
    <col min="2" max="2" width="2.36328125" customWidth="1"/>
    <col min="3" max="3" width="36.36328125" customWidth="1"/>
    <col min="4" max="4" width="7.81640625" customWidth="1"/>
    <col min="5" max="5" width="20.7265625" bestFit="1" customWidth="1"/>
    <col min="6" max="8" width="12.1796875" bestFit="1" customWidth="1"/>
    <col min="9" max="9" width="13.26953125" bestFit="1" customWidth="1"/>
    <col min="10" max="10" width="13.54296875" bestFit="1" customWidth="1"/>
    <col min="11" max="11" width="9.81640625" bestFit="1" customWidth="1"/>
    <col min="12" max="12" width="10.36328125" bestFit="1" customWidth="1"/>
    <col min="13" max="14" width="9.81640625" bestFit="1" customWidth="1"/>
    <col min="15" max="15" width="11.36328125" bestFit="1" customWidth="1"/>
  </cols>
  <sheetData>
    <row r="2" spans="2:19" ht="16">
      <c r="B2" s="4"/>
      <c r="C2" s="4"/>
      <c r="D2" s="4"/>
      <c r="E2" s="4"/>
      <c r="F2" s="5"/>
      <c r="G2" s="5"/>
      <c r="H2" s="6" t="s">
        <v>110</v>
      </c>
      <c r="I2" s="6"/>
      <c r="J2" s="5"/>
      <c r="K2" s="7"/>
      <c r="L2" s="5"/>
      <c r="M2" s="5"/>
      <c r="N2" s="6" t="s">
        <v>111</v>
      </c>
      <c r="O2" s="5"/>
      <c r="P2" s="3"/>
      <c r="Q2" s="3"/>
      <c r="R2" s="3"/>
      <c r="S2" s="3"/>
    </row>
    <row r="3" spans="2:19" ht="16">
      <c r="B3" s="8" t="str">
        <f>Company_Name&amp;" - Revenue Drivers"</f>
        <v>Ouster, Inc. - Revenue Drivers</v>
      </c>
      <c r="C3" s="4"/>
      <c r="D3" s="4"/>
      <c r="E3" s="9" t="s">
        <v>112</v>
      </c>
      <c r="F3" s="11">
        <f>EOMONTH(G3,-12)</f>
        <v>44561</v>
      </c>
      <c r="G3" s="11">
        <v>44926</v>
      </c>
      <c r="H3" s="11">
        <f>EOMONTH(G3,12)</f>
        <v>45291</v>
      </c>
      <c r="I3" s="11">
        <f t="shared" ref="I3:O3" si="0">EOMONTH(H3,12)</f>
        <v>45657</v>
      </c>
      <c r="J3" s="42">
        <f t="shared" si="0"/>
        <v>46022</v>
      </c>
      <c r="K3" s="12">
        <f t="shared" si="0"/>
        <v>46387</v>
      </c>
      <c r="L3" s="11">
        <f t="shared" si="0"/>
        <v>46752</v>
      </c>
      <c r="M3" s="11">
        <f t="shared" si="0"/>
        <v>47118</v>
      </c>
      <c r="N3" s="11">
        <f t="shared" si="0"/>
        <v>47483</v>
      </c>
      <c r="O3" s="11">
        <f t="shared" si="0"/>
        <v>47848</v>
      </c>
      <c r="P3" s="54"/>
      <c r="Q3" s="54"/>
      <c r="R3" s="54"/>
      <c r="S3" s="54"/>
    </row>
    <row r="6" spans="2:19">
      <c r="C6" s="48" t="s">
        <v>0</v>
      </c>
      <c r="E6" s="47" t="s">
        <v>155</v>
      </c>
      <c r="F6" s="148">
        <f t="array" ref="F6">Model!G69</f>
        <v>33578</v>
      </c>
      <c r="G6" s="148">
        <f t="array" ref="G6">Model!H69</f>
        <v>41029</v>
      </c>
      <c r="H6" s="148">
        <f t="array" ref="H6">Model!I69</f>
        <v>83279</v>
      </c>
      <c r="I6" s="148">
        <f t="array" ref="I6">Model!J69</f>
        <v>111101</v>
      </c>
      <c r="J6" s="148">
        <v>169000</v>
      </c>
      <c r="K6" s="148">
        <f>IF(Bundle="yes",(((K8-K22)*K14)+(K22*K24))/1000+K31,(K8*K14)/1000+K31)</f>
        <v>254788</v>
      </c>
      <c r="L6" s="148">
        <f>IF(Bundle="yes",(((L8-L22)*L14)+(L22*L24))/1000+L31,(L8*L14)/1000+L31)</f>
        <v>365254.16399999999</v>
      </c>
      <c r="M6" s="148">
        <f>IF(Bundle="yes",(((M8-M22)*M14)+(M22*M24))/1000+M31,(M8*M14)/1000+M31)</f>
        <v>535307.84317800007</v>
      </c>
      <c r="N6" s="148">
        <f>IF(Bundle="yes",(((N8-N22)*N14)+(N22*N24))/1000+N31,(N8*N14)/1000+N31)</f>
        <v>712266.90027449396</v>
      </c>
      <c r="O6" s="148">
        <f>IF(Bundle="yes",(((O8-O22)*O14)+(O22*O24))/1000+O31,(O8*O14)/1000+O31)</f>
        <v>912910.72114970523</v>
      </c>
    </row>
    <row r="7" spans="2:19">
      <c r="E7" s="43"/>
      <c r="J7" s="44"/>
    </row>
    <row r="8" spans="2:19">
      <c r="C8" s="44" t="s">
        <v>348</v>
      </c>
      <c r="E8" s="470" t="s">
        <v>130</v>
      </c>
      <c r="F8" s="324">
        <v>6475</v>
      </c>
      <c r="G8" s="324">
        <v>8650</v>
      </c>
      <c r="H8" s="324">
        <v>13400</v>
      </c>
      <c r="I8" s="324">
        <v>17300</v>
      </c>
      <c r="J8" s="316">
        <v>25000</v>
      </c>
      <c r="K8" s="316">
        <f>J8*(1+K9)</f>
        <v>33750</v>
      </c>
      <c r="L8" s="316">
        <f t="shared" ref="L8:O8" si="1">K8*(1+L9)</f>
        <v>47250</v>
      </c>
      <c r="M8" s="316">
        <f t="shared" si="1"/>
        <v>68512.5</v>
      </c>
      <c r="N8" s="316">
        <f t="shared" si="1"/>
        <v>92491.875</v>
      </c>
      <c r="O8" s="316">
        <f t="shared" si="1"/>
        <v>120239.4375</v>
      </c>
    </row>
    <row r="9" spans="2:19">
      <c r="C9" s="298" t="s">
        <v>220</v>
      </c>
      <c r="E9" s="47" t="s">
        <v>125</v>
      </c>
      <c r="F9" s="309"/>
      <c r="G9" s="320">
        <f>G8/F8-1</f>
        <v>0.3359073359073359</v>
      </c>
      <c r="H9" s="320">
        <f t="shared" ref="H9:J9" si="2">H8/G8-1</f>
        <v>0.5491329479768785</v>
      </c>
      <c r="I9" s="320">
        <f t="shared" si="2"/>
        <v>0.29104477611940305</v>
      </c>
      <c r="J9" s="317">
        <f t="shared" si="2"/>
        <v>0.44508670520231219</v>
      </c>
      <c r="K9" s="319">
        <f>INDEX($K$10:$O$12,MATCH(Scenario,$C$10:$C$12,0),1)</f>
        <v>0.35</v>
      </c>
      <c r="L9" s="319">
        <f>INDEX($K$10:$O$12,MATCH(Scenario,$C$10:$C$12,0),2)</f>
        <v>0.4</v>
      </c>
      <c r="M9" s="319">
        <f>INDEX($K$10:$O$12,MATCH(Scenario,$C$10:$C$12,0),3)</f>
        <v>0.45</v>
      </c>
      <c r="N9" s="319">
        <f>INDEX($K$10:$O$12,MATCH(Scenario,$C$10:$C$12,0),4)</f>
        <v>0.35</v>
      </c>
      <c r="O9" s="319">
        <f>INDEX($K$10:$O$12,MATCH(Scenario,$C$10:$C$12,0),5)</f>
        <v>0.3</v>
      </c>
    </row>
    <row r="10" spans="2:19">
      <c r="C10" s="77" t="s">
        <v>192</v>
      </c>
      <c r="E10" s="43" t="s">
        <v>125</v>
      </c>
      <c r="K10" s="318">
        <f>K11+5%</f>
        <v>0.39999999999999997</v>
      </c>
      <c r="L10" s="318">
        <f t="shared" ref="L10:O10" si="3">L11+5%</f>
        <v>0.45</v>
      </c>
      <c r="M10" s="318">
        <f t="shared" si="3"/>
        <v>0.5</v>
      </c>
      <c r="N10" s="318">
        <f t="shared" si="3"/>
        <v>0.39999999999999997</v>
      </c>
      <c r="O10" s="318">
        <f t="shared" si="3"/>
        <v>0.35</v>
      </c>
    </row>
    <row r="11" spans="2:19">
      <c r="C11" s="77" t="s">
        <v>186</v>
      </c>
      <c r="E11" s="43" t="s">
        <v>125</v>
      </c>
      <c r="K11" s="318">
        <v>0.35</v>
      </c>
      <c r="L11" s="318">
        <v>0.4</v>
      </c>
      <c r="M11" s="318">
        <v>0.45</v>
      </c>
      <c r="N11" s="318">
        <v>0.35</v>
      </c>
      <c r="O11" s="318">
        <v>0.3</v>
      </c>
    </row>
    <row r="12" spans="2:19">
      <c r="C12" s="77" t="s">
        <v>193</v>
      </c>
      <c r="E12" s="43" t="s">
        <v>125</v>
      </c>
      <c r="K12" s="318">
        <v>0.2</v>
      </c>
      <c r="L12" s="318">
        <v>0.3</v>
      </c>
      <c r="M12" s="318">
        <v>0.4</v>
      </c>
      <c r="N12" s="318">
        <v>0.3</v>
      </c>
      <c r="O12" s="318">
        <v>0.25</v>
      </c>
    </row>
    <row r="14" spans="2:19">
      <c r="C14" s="44" t="s">
        <v>347</v>
      </c>
      <c r="E14" s="47" t="s">
        <v>155</v>
      </c>
      <c r="F14" s="148">
        <f>F6*1000/F8</f>
        <v>5185.7915057915061</v>
      </c>
      <c r="G14" s="148">
        <f>G6*1000/G8</f>
        <v>4743.2369942196528</v>
      </c>
      <c r="H14" s="148">
        <f>H6*1000/H8</f>
        <v>6214.8507462686566</v>
      </c>
      <c r="I14" s="148">
        <f>I6*1000/I8</f>
        <v>6422.023121387283</v>
      </c>
      <c r="J14" s="323">
        <f>J6/J8*Units</f>
        <v>6760</v>
      </c>
      <c r="K14" s="323">
        <f>J14*(1+K15)</f>
        <v>6895.2</v>
      </c>
      <c r="L14" s="323">
        <f t="shared" ref="L14:O14" si="4">K14*(1+L15)</f>
        <v>7033.1040000000003</v>
      </c>
      <c r="M14" s="323">
        <f t="shared" si="4"/>
        <v>7103.4350400000003</v>
      </c>
      <c r="N14" s="323">
        <f t="shared" si="4"/>
        <v>6961.3663391999999</v>
      </c>
      <c r="O14" s="323">
        <f t="shared" si="4"/>
        <v>6822.1390124159998</v>
      </c>
    </row>
    <row r="15" spans="2:19">
      <c r="C15" s="298" t="s">
        <v>220</v>
      </c>
      <c r="F15" s="149"/>
      <c r="G15" s="321">
        <f>G14/F14-1</f>
        <v>-8.5339819596990552E-2</v>
      </c>
      <c r="H15" s="321">
        <f t="shared" ref="H15:J15" si="5">H14/G14-1</f>
        <v>0.31025515989236596</v>
      </c>
      <c r="I15" s="321">
        <f t="shared" si="5"/>
        <v>3.333505237322254E-2</v>
      </c>
      <c r="J15" s="321">
        <f t="shared" si="5"/>
        <v>5.262778912881072E-2</v>
      </c>
      <c r="K15" s="322">
        <v>0.02</v>
      </c>
      <c r="L15" s="322">
        <v>0.02</v>
      </c>
      <c r="M15" s="322">
        <v>0.01</v>
      </c>
      <c r="N15" s="322">
        <v>-0.02</v>
      </c>
      <c r="O15" s="322">
        <v>-0.02</v>
      </c>
    </row>
    <row r="17" spans="3:15">
      <c r="C17" s="44" t="s">
        <v>352</v>
      </c>
      <c r="E17" s="47" t="s">
        <v>125</v>
      </c>
      <c r="K17" s="317">
        <f>INDEX($K$18:$O$20,MATCH(Scenario,$C$18:$C$20,0),1)</f>
        <v>0.15</v>
      </c>
      <c r="L17" s="317">
        <f>INDEX($K$18:$O$20,MATCH(Scenario,$C$18:$C$20,0),2)</f>
        <v>0.2</v>
      </c>
      <c r="M17" s="317">
        <f>INDEX($K$18:$O$20,MATCH(Scenario,$C$18:$C$20,0),3)</f>
        <v>0.25</v>
      </c>
      <c r="N17" s="317">
        <f>INDEX($K$18:$O$20,MATCH(Scenario,$C$18:$C$20,0),4)</f>
        <v>0.3</v>
      </c>
      <c r="O17" s="317">
        <f>INDEX($K$18:$O$20,MATCH(Scenario,$C$18:$C$20,0),5)</f>
        <v>0.35</v>
      </c>
    </row>
    <row r="18" spans="3:15">
      <c r="C18" s="298" t="s">
        <v>192</v>
      </c>
      <c r="E18" s="43" t="s">
        <v>125</v>
      </c>
      <c r="K18" s="318">
        <f>K19+5%</f>
        <v>0.2</v>
      </c>
      <c r="L18" s="318">
        <f t="shared" ref="L18:O18" si="6">L19+5%</f>
        <v>0.25</v>
      </c>
      <c r="M18" s="318">
        <f t="shared" si="6"/>
        <v>0.3</v>
      </c>
      <c r="N18" s="318">
        <f t="shared" si="6"/>
        <v>0.35</v>
      </c>
      <c r="O18" s="318">
        <f t="shared" si="6"/>
        <v>0.39999999999999997</v>
      </c>
    </row>
    <row r="19" spans="3:15">
      <c r="C19" s="298" t="s">
        <v>186</v>
      </c>
      <c r="E19" s="43" t="s">
        <v>125</v>
      </c>
      <c r="K19" s="318">
        <v>0.15</v>
      </c>
      <c r="L19" s="318">
        <v>0.2</v>
      </c>
      <c r="M19" s="318">
        <v>0.25</v>
      </c>
      <c r="N19" s="318">
        <v>0.3</v>
      </c>
      <c r="O19" s="318">
        <v>0.35</v>
      </c>
    </row>
    <row r="20" spans="3:15">
      <c r="C20" s="298" t="s">
        <v>193</v>
      </c>
      <c r="E20" s="43" t="s">
        <v>125</v>
      </c>
      <c r="K20" s="318">
        <v>0.1</v>
      </c>
      <c r="L20" s="318">
        <v>0.15</v>
      </c>
      <c r="M20" s="318">
        <v>0.2</v>
      </c>
      <c r="N20" s="318">
        <v>0.2</v>
      </c>
      <c r="O20" s="318">
        <v>0.25</v>
      </c>
    </row>
    <row r="22" spans="3:15">
      <c r="C22" s="48" t="s">
        <v>353</v>
      </c>
      <c r="E22" s="470" t="s">
        <v>130</v>
      </c>
      <c r="K22" s="316">
        <f>K8*K17</f>
        <v>5062.5</v>
      </c>
      <c r="L22" s="316">
        <f t="shared" ref="L22:O22" si="7">L8*L17</f>
        <v>9450</v>
      </c>
      <c r="M22" s="316">
        <f t="shared" si="7"/>
        <v>17128.125</v>
      </c>
      <c r="N22" s="316">
        <f t="shared" si="7"/>
        <v>27747.5625</v>
      </c>
      <c r="O22" s="316">
        <f t="shared" si="7"/>
        <v>42083.803124999999</v>
      </c>
    </row>
    <row r="24" spans="3:15">
      <c r="C24" s="44" t="s">
        <v>354</v>
      </c>
      <c r="E24" s="47" t="s">
        <v>155</v>
      </c>
      <c r="K24" s="323">
        <f>K14+K26</f>
        <v>8095.2</v>
      </c>
      <c r="L24" s="323">
        <f t="shared" ref="L24:O24" si="8">L14+L26</f>
        <v>8233.1039999999994</v>
      </c>
      <c r="M24" s="323">
        <f t="shared" si="8"/>
        <v>8303.4350400000003</v>
      </c>
      <c r="N24" s="323">
        <f t="shared" si="8"/>
        <v>8161.3663391999999</v>
      </c>
      <c r="O24" s="323">
        <f t="shared" si="8"/>
        <v>8022.1390124159998</v>
      </c>
    </row>
    <row r="26" spans="3:15">
      <c r="C26" s="44" t="s">
        <v>355</v>
      </c>
      <c r="E26" s="470" t="s">
        <v>130</v>
      </c>
      <c r="K26" s="316">
        <f>INDEX($K$27:$O$29,MATCH(Uplift,$C$27:$C$29,0),1)</f>
        <v>1200</v>
      </c>
      <c r="L26" s="316">
        <f>INDEX($K$27:$O$29,MATCH(Uplift,$C$27:$C$29,0),2)</f>
        <v>1200</v>
      </c>
      <c r="M26" s="316">
        <f>INDEX($K$27:$O$29,MATCH(Uplift,$C$27:$C$29,0),3)</f>
        <v>1200</v>
      </c>
      <c r="N26" s="316">
        <f>INDEX($K$27:$O$29,MATCH(Uplift,$C$27:$C$29,0),4)</f>
        <v>1200</v>
      </c>
      <c r="O26" s="316">
        <f>INDEX($K$27:$O$29,MATCH(Uplift,$C$27:$C$29,0),5)</f>
        <v>1200</v>
      </c>
    </row>
    <row r="27" spans="3:15">
      <c r="C27" s="298" t="s">
        <v>192</v>
      </c>
      <c r="E27" s="461" t="s">
        <v>130</v>
      </c>
      <c r="K27" s="314">
        <v>1500</v>
      </c>
      <c r="L27" s="314">
        <v>1500</v>
      </c>
      <c r="M27" s="314">
        <v>1500</v>
      </c>
      <c r="N27" s="314">
        <v>1500</v>
      </c>
      <c r="O27" s="314">
        <v>1500</v>
      </c>
    </row>
    <row r="28" spans="3:15">
      <c r="C28" s="298" t="s">
        <v>186</v>
      </c>
      <c r="D28" s="315"/>
      <c r="E28" s="461" t="s">
        <v>130</v>
      </c>
      <c r="F28" s="1"/>
      <c r="G28" s="1"/>
      <c r="H28" s="1"/>
      <c r="I28" s="1"/>
      <c r="J28" s="1"/>
      <c r="K28" s="314">
        <v>1200</v>
      </c>
      <c r="L28" s="314">
        <v>1200</v>
      </c>
      <c r="M28" s="314">
        <v>1200</v>
      </c>
      <c r="N28" s="314">
        <v>1200</v>
      </c>
      <c r="O28" s="314">
        <v>1200</v>
      </c>
    </row>
    <row r="29" spans="3:15">
      <c r="C29" s="298" t="s">
        <v>193</v>
      </c>
      <c r="E29" s="461" t="s">
        <v>130</v>
      </c>
      <c r="F29" s="1"/>
      <c r="G29" s="1"/>
      <c r="H29" s="1"/>
      <c r="I29" s="1"/>
      <c r="K29" s="314">
        <v>900</v>
      </c>
      <c r="L29" s="314">
        <v>900</v>
      </c>
      <c r="M29" s="314">
        <v>900</v>
      </c>
      <c r="N29" s="314">
        <v>900</v>
      </c>
      <c r="O29" s="314">
        <v>900</v>
      </c>
    </row>
    <row r="30" spans="3:15">
      <c r="E30" s="1"/>
      <c r="F30" s="1"/>
      <c r="G30" s="1"/>
      <c r="H30" s="1"/>
      <c r="I30" s="1"/>
    </row>
    <row r="31" spans="3:15">
      <c r="C31" s="48" t="s">
        <v>356</v>
      </c>
      <c r="E31" s="47" t="s">
        <v>155</v>
      </c>
      <c r="F31" s="1"/>
      <c r="G31" s="1"/>
      <c r="H31" s="1"/>
      <c r="I31" s="1"/>
      <c r="K31" s="323">
        <v>16000</v>
      </c>
      <c r="L31" s="323">
        <f>K31*(1+L32)</f>
        <v>21600</v>
      </c>
      <c r="M31" s="323">
        <f t="shared" ref="M31:O31" si="9">L31*(1+M32)</f>
        <v>28080</v>
      </c>
      <c r="N31" s="323">
        <f t="shared" si="9"/>
        <v>35100</v>
      </c>
      <c r="O31" s="323">
        <f t="shared" si="9"/>
        <v>42120</v>
      </c>
    </row>
    <row r="32" spans="3:15">
      <c r="C32" s="298" t="s">
        <v>220</v>
      </c>
      <c r="E32" s="47" t="s">
        <v>125</v>
      </c>
      <c r="F32" s="1"/>
      <c r="G32" s="1"/>
      <c r="H32" s="1"/>
      <c r="I32" s="1"/>
      <c r="K32" s="321"/>
      <c r="L32" s="317">
        <f>INDEX($L$33:$O$35,MATCH(Scenario,$C$33:$C$35,0),1)</f>
        <v>0.35</v>
      </c>
      <c r="M32" s="317">
        <f>INDEX($L$33:$O$35,MATCH(Scenario,$C$33:$C$35,0),2)</f>
        <v>0.3</v>
      </c>
      <c r="N32" s="317">
        <f>INDEX($L$33:$O$35,MATCH(Scenario,$C$33:$C$35,0),3)</f>
        <v>0.25</v>
      </c>
      <c r="O32" s="317">
        <f>INDEX($L$33:$O$35,MATCH(Scenario,$C$33:$C$35,0),4)</f>
        <v>0.2</v>
      </c>
    </row>
    <row r="33" spans="3:15">
      <c r="C33" s="77" t="s">
        <v>192</v>
      </c>
      <c r="E33" s="43" t="s">
        <v>125</v>
      </c>
      <c r="F33" s="1"/>
      <c r="G33" s="1"/>
      <c r="H33" s="1"/>
      <c r="I33" s="1"/>
      <c r="K33" s="321"/>
      <c r="L33" s="318">
        <f>L34+5%</f>
        <v>0.39999999999999997</v>
      </c>
      <c r="M33" s="318">
        <f t="shared" ref="M33:O33" si="10">M34+5%</f>
        <v>0.35</v>
      </c>
      <c r="N33" s="318">
        <f t="shared" si="10"/>
        <v>0.3</v>
      </c>
      <c r="O33" s="318">
        <f t="shared" si="10"/>
        <v>0.25</v>
      </c>
    </row>
    <row r="34" spans="3:15">
      <c r="C34" s="77" t="s">
        <v>186</v>
      </c>
      <c r="E34" s="43" t="s">
        <v>125</v>
      </c>
      <c r="F34" s="1"/>
      <c r="G34" s="1"/>
      <c r="H34" s="1"/>
      <c r="I34" s="1"/>
      <c r="K34" s="321"/>
      <c r="L34" s="318">
        <v>0.35</v>
      </c>
      <c r="M34" s="318">
        <v>0.3</v>
      </c>
      <c r="N34" s="318">
        <v>0.25</v>
      </c>
      <c r="O34" s="318">
        <v>0.2</v>
      </c>
    </row>
    <row r="35" spans="3:15">
      <c r="C35" s="77" t="s">
        <v>193</v>
      </c>
      <c r="E35" s="43" t="s">
        <v>125</v>
      </c>
      <c r="F35" s="1"/>
      <c r="G35" s="1"/>
      <c r="H35" s="1"/>
      <c r="I35" s="1"/>
      <c r="K35" s="321"/>
      <c r="L35" s="318">
        <f>L34-5%</f>
        <v>0.3</v>
      </c>
      <c r="M35" s="318">
        <f t="shared" ref="M35:O35" si="11">M34-5%</f>
        <v>0.25</v>
      </c>
      <c r="N35" s="318">
        <f t="shared" si="11"/>
        <v>0.2</v>
      </c>
      <c r="O35" s="318">
        <f t="shared" si="11"/>
        <v>0.15000000000000002</v>
      </c>
    </row>
    <row r="36" spans="3:15">
      <c r="E36" s="1"/>
      <c r="F36" s="1"/>
      <c r="G36" s="1"/>
      <c r="H36" s="1"/>
      <c r="I36" s="1"/>
    </row>
    <row r="37" spans="3:15">
      <c r="E37" s="1"/>
      <c r="F37" s="1"/>
      <c r="G37" s="1"/>
      <c r="H37" s="1"/>
      <c r="I37" s="1"/>
    </row>
    <row r="38" spans="3:15">
      <c r="C38" s="48" t="s">
        <v>511</v>
      </c>
      <c r="E38" s="470" t="s">
        <v>130</v>
      </c>
      <c r="F38" s="1"/>
      <c r="G38" s="1"/>
      <c r="H38" s="1"/>
      <c r="I38" s="535">
        <f>I8*I39</f>
        <v>1297.5</v>
      </c>
      <c r="J38" s="324">
        <f>J8*J39</f>
        <v>3750</v>
      </c>
      <c r="K38" s="536"/>
      <c r="L38" s="536"/>
      <c r="M38" s="536"/>
      <c r="N38" s="536"/>
      <c r="O38" s="536"/>
    </row>
    <row r="39" spans="3:15">
      <c r="C39" s="298" t="s">
        <v>512</v>
      </c>
      <c r="E39" s="47" t="s">
        <v>125</v>
      </c>
      <c r="F39" s="1"/>
      <c r="G39" s="1"/>
      <c r="H39" s="1"/>
      <c r="I39" s="322">
        <f>J39/2</f>
        <v>7.4999999999999997E-2</v>
      </c>
      <c r="J39" s="322">
        <v>0.15</v>
      </c>
      <c r="K39" s="537">
        <v>0.2</v>
      </c>
      <c r="L39" s="536"/>
      <c r="M39" s="536"/>
      <c r="N39" s="536"/>
      <c r="O39" s="536"/>
    </row>
    <row r="40" spans="3:15">
      <c r="E40" s="1"/>
      <c r="F40" s="1"/>
      <c r="G40" s="1"/>
      <c r="H40" s="1"/>
      <c r="I40" s="1"/>
    </row>
    <row r="41" spans="3:15">
      <c r="C41" t="s">
        <v>234</v>
      </c>
      <c r="E41" s="43" t="s">
        <v>155</v>
      </c>
      <c r="J41" s="149">
        <v>148000</v>
      </c>
      <c r="K41" s="149">
        <v>202000</v>
      </c>
      <c r="L41" s="149">
        <v>278000</v>
      </c>
      <c r="M41" s="149">
        <v>392000</v>
      </c>
      <c r="N41" s="149">
        <v>514000</v>
      </c>
    </row>
    <row r="42" spans="3:15">
      <c r="E42" s="43" t="s">
        <v>125</v>
      </c>
      <c r="J42" s="46">
        <f>J41/I6-1</f>
        <v>0.33212122303129576</v>
      </c>
      <c r="K42" s="46">
        <f>K41/J41-1</f>
        <v>0.36486486486486491</v>
      </c>
      <c r="L42" s="46">
        <f t="shared" ref="L42:N42" si="12">L41/K41-1</f>
        <v>0.37623762376237613</v>
      </c>
      <c r="M42" s="46">
        <f t="shared" si="12"/>
        <v>0.41007194244604306</v>
      </c>
      <c r="N42" s="46">
        <f t="shared" si="12"/>
        <v>0.31122448979591844</v>
      </c>
    </row>
    <row r="43" spans="3:15">
      <c r="J43" s="149"/>
      <c r="K43" s="149"/>
      <c r="L43" s="149"/>
      <c r="M43" s="149"/>
      <c r="N43" s="149"/>
    </row>
    <row r="44" spans="3:15">
      <c r="C44" t="s">
        <v>323</v>
      </c>
      <c r="E44" s="43" t="s">
        <v>155</v>
      </c>
      <c r="J44" s="149">
        <v>147900</v>
      </c>
      <c r="K44" s="149">
        <v>217500</v>
      </c>
      <c r="L44" s="149">
        <v>295300</v>
      </c>
      <c r="M44" s="149">
        <v>392400</v>
      </c>
      <c r="N44" s="149">
        <v>513900</v>
      </c>
    </row>
    <row r="45" spans="3:15">
      <c r="E45" s="43" t="s">
        <v>125</v>
      </c>
      <c r="J45" s="46">
        <f>J44/I6-1</f>
        <v>0.33122114112384238</v>
      </c>
      <c r="K45" s="46">
        <f t="shared" ref="K45:N45" si="13">K44/J44-1</f>
        <v>0.47058823529411775</v>
      </c>
      <c r="L45" s="46">
        <f t="shared" si="13"/>
        <v>0.3577011494252873</v>
      </c>
      <c r="M45" s="46">
        <f t="shared" si="13"/>
        <v>0.32881815103284806</v>
      </c>
      <c r="N45" s="46">
        <f t="shared" si="13"/>
        <v>0.30963302752293576</v>
      </c>
    </row>
    <row r="46" spans="3:15">
      <c r="E46" s="43"/>
      <c r="J46" s="296"/>
      <c r="K46" s="297"/>
      <c r="L46" s="297"/>
      <c r="M46" s="297"/>
      <c r="N46" s="297"/>
    </row>
    <row r="47" spans="3:15">
      <c r="E47" s="43"/>
      <c r="J47" s="46"/>
      <c r="K47" s="46"/>
      <c r="L47" s="46"/>
      <c r="M47" s="46"/>
      <c r="N47" s="46"/>
    </row>
    <row r="49" spans="2:15" ht="16">
      <c r="B49" s="4"/>
      <c r="C49" s="4"/>
      <c r="D49" s="4"/>
      <c r="E49" s="4"/>
      <c r="F49" s="5"/>
      <c r="G49" s="5"/>
      <c r="H49" s="6" t="s">
        <v>110</v>
      </c>
      <c r="I49" s="6"/>
      <c r="J49" s="5"/>
      <c r="K49" s="7"/>
      <c r="L49" s="6" t="s">
        <v>111</v>
      </c>
      <c r="M49" s="5"/>
      <c r="N49" s="6"/>
      <c r="O49" s="5"/>
    </row>
    <row r="50" spans="2:15" ht="16">
      <c r="B50" s="8" t="str">
        <f>"CapEx &amp; Depreciation - "&amp;Company_Name</f>
        <v>CapEx &amp; Depreciation - Ouster, Inc.</v>
      </c>
      <c r="C50" s="4"/>
      <c r="D50" s="8"/>
      <c r="E50" s="8" t="s">
        <v>112</v>
      </c>
      <c r="F50" s="11">
        <f t="shared" ref="F50:O50" si="14">F3</f>
        <v>44561</v>
      </c>
      <c r="G50" s="11">
        <f t="shared" si="14"/>
        <v>44926</v>
      </c>
      <c r="H50" s="11">
        <f t="shared" si="14"/>
        <v>45291</v>
      </c>
      <c r="I50" s="11">
        <f t="shared" si="14"/>
        <v>45657</v>
      </c>
      <c r="J50" s="42">
        <f t="shared" si="14"/>
        <v>46022</v>
      </c>
      <c r="K50" s="12">
        <f t="shared" si="14"/>
        <v>46387</v>
      </c>
      <c r="L50" s="11">
        <f t="shared" si="14"/>
        <v>46752</v>
      </c>
      <c r="M50" s="11">
        <f t="shared" si="14"/>
        <v>47118</v>
      </c>
      <c r="N50" s="11">
        <f t="shared" si="14"/>
        <v>47483</v>
      </c>
      <c r="O50" s="11">
        <f t="shared" si="14"/>
        <v>47848</v>
      </c>
    </row>
    <row r="51" spans="2:15" ht="16">
      <c r="B51" s="3"/>
      <c r="C51" s="3"/>
      <c r="D51" s="3"/>
      <c r="E51" s="3"/>
      <c r="F51" s="3"/>
      <c r="G51" s="3"/>
      <c r="H51" s="3"/>
      <c r="I51" s="27"/>
      <c r="J51" s="3"/>
      <c r="K51" s="3"/>
      <c r="L51" s="3"/>
      <c r="M51" s="3"/>
      <c r="N51" s="3"/>
      <c r="O51" s="3"/>
    </row>
    <row r="52" spans="2:15" ht="16">
      <c r="B52" s="3"/>
      <c r="C52" s="38" t="s">
        <v>154</v>
      </c>
      <c r="D52" s="3"/>
      <c r="E52" s="49" t="s">
        <v>155</v>
      </c>
      <c r="F52" s="27">
        <f>-Model!G183</f>
        <v>4283</v>
      </c>
      <c r="G52" s="27">
        <f>-Model!H183</f>
        <v>5422</v>
      </c>
      <c r="H52" s="27">
        <f>-Model!I183</f>
        <v>3006</v>
      </c>
      <c r="I52" s="27">
        <f>-Model!J183</f>
        <v>3756</v>
      </c>
      <c r="J52" s="57">
        <f>-Model!K79*Drivers!J53</f>
        <v>4806.2292599999992</v>
      </c>
      <c r="K52" s="57">
        <f>-Model!L79*Drivers!K53</f>
        <v>4650</v>
      </c>
      <c r="L52" s="57">
        <f>-Model!M79*Drivers!L53</f>
        <v>4650</v>
      </c>
      <c r="M52" s="57">
        <f>-Model!N79*Drivers!M53</f>
        <v>4650</v>
      </c>
      <c r="N52" s="57">
        <f>-Model!O79*Drivers!N53</f>
        <v>4650</v>
      </c>
      <c r="O52" s="57">
        <f>-Model!P79*Drivers!O53</f>
        <v>4650</v>
      </c>
    </row>
    <row r="53" spans="2:15" ht="16">
      <c r="B53" s="3"/>
      <c r="C53" s="38" t="s">
        <v>156</v>
      </c>
      <c r="D53" s="3"/>
      <c r="E53" s="49" t="s">
        <v>125</v>
      </c>
      <c r="F53" s="50">
        <f>-F52/Model!G79</f>
        <v>3.9367256149123127E-2</v>
      </c>
      <c r="G53" s="50">
        <f>-G52/Model!H79</f>
        <v>3.4677940301753085E-2</v>
      </c>
      <c r="H53" s="50">
        <f>-H52/Model!I79</f>
        <v>7.8792994081351275E-3</v>
      </c>
      <c r="I53" s="50">
        <f>-I52/Model!J79</f>
        <v>2.5968458969696552E-2</v>
      </c>
      <c r="J53" s="65">
        <v>0.03</v>
      </c>
      <c r="K53" s="65">
        <v>0.03</v>
      </c>
      <c r="L53" s="65">
        <v>0.03</v>
      </c>
      <c r="M53" s="65">
        <v>0.03</v>
      </c>
      <c r="N53" s="65">
        <v>0.03</v>
      </c>
      <c r="O53" s="65">
        <v>0.03</v>
      </c>
    </row>
    <row r="54" spans="2:15" ht="16">
      <c r="B54" s="3"/>
      <c r="C54" s="66"/>
      <c r="D54" s="3"/>
      <c r="E54" s="49"/>
      <c r="F54" s="3"/>
      <c r="G54" s="64"/>
      <c r="H54" s="64"/>
      <c r="I54" s="64"/>
      <c r="J54" s="64"/>
      <c r="K54" s="67"/>
      <c r="L54" s="67"/>
      <c r="M54" s="67"/>
      <c r="N54" s="67"/>
      <c r="O54" s="67"/>
    </row>
    <row r="55" spans="2:15" ht="16">
      <c r="B55" s="3"/>
      <c r="C55" s="66" t="s">
        <v>157</v>
      </c>
      <c r="D55" s="26"/>
      <c r="E55" s="49" t="s">
        <v>155</v>
      </c>
      <c r="F55" s="27">
        <f>Model!G114</f>
        <v>10054</v>
      </c>
      <c r="G55" s="27">
        <f>Model!H114</f>
        <v>9695</v>
      </c>
      <c r="H55" s="27">
        <f>Model!I114</f>
        <v>10228</v>
      </c>
      <c r="I55" s="27">
        <f>Model!J114</f>
        <v>10164</v>
      </c>
      <c r="J55" s="57">
        <f t="shared" ref="J55:O55" si="15">I55+J52-J67</f>
        <v>12724.694871</v>
      </c>
      <c r="K55" s="57">
        <f t="shared" si="15"/>
        <v>14174.80320006</v>
      </c>
      <c r="L55" s="57">
        <f t="shared" si="15"/>
        <v>14866.144395052201</v>
      </c>
      <c r="M55" s="57">
        <f t="shared" si="15"/>
        <v>14918.772678645937</v>
      </c>
      <c r="N55" s="57">
        <f t="shared" si="15"/>
        <v>14416.773294994886</v>
      </c>
      <c r="O55" s="57">
        <f t="shared" si="15"/>
        <v>13416.661576495397</v>
      </c>
    </row>
    <row r="56" spans="2:15" ht="16">
      <c r="B56" s="3"/>
      <c r="C56" s="68"/>
      <c r="D56" s="3"/>
      <c r="E56" s="49"/>
      <c r="F56" s="3"/>
      <c r="G56" s="69"/>
      <c r="H56" s="69"/>
      <c r="I56" s="69"/>
      <c r="J56" s="69"/>
      <c r="K56" s="70"/>
      <c r="L56" s="70"/>
      <c r="M56" s="70"/>
      <c r="N56" s="70"/>
      <c r="O56" s="70"/>
    </row>
    <row r="57" spans="2:15" ht="16">
      <c r="B57" s="3"/>
      <c r="C57" s="28" t="s">
        <v>158</v>
      </c>
      <c r="D57" s="3"/>
      <c r="E57" s="49" t="s">
        <v>125</v>
      </c>
      <c r="F57" s="3"/>
      <c r="G57" s="71">
        <f>G60/G55</f>
        <v>0.97534811758638473</v>
      </c>
      <c r="H57" s="71">
        <f>H60/H55</f>
        <v>1.6765741102854907</v>
      </c>
      <c r="I57" s="71">
        <f>I60/I55</f>
        <v>0.96772924045651321</v>
      </c>
      <c r="J57" s="72">
        <v>0.15</v>
      </c>
      <c r="K57" s="72">
        <f>J57-1%</f>
        <v>0.13999999999999999</v>
      </c>
      <c r="L57" s="72">
        <f t="shared" ref="L57:O57" si="16">K57-1%</f>
        <v>0.12999999999999998</v>
      </c>
      <c r="M57" s="72">
        <f t="shared" si="16"/>
        <v>0.11999999999999998</v>
      </c>
      <c r="N57" s="72">
        <f t="shared" si="16"/>
        <v>0.10999999999999999</v>
      </c>
      <c r="O57" s="72">
        <f t="shared" si="16"/>
        <v>9.9999999999999992E-2</v>
      </c>
    </row>
    <row r="58" spans="2:15" ht="16">
      <c r="B58" s="3"/>
      <c r="C58" s="28" t="s">
        <v>159</v>
      </c>
      <c r="D58" s="3"/>
      <c r="E58" s="49" t="s">
        <v>125</v>
      </c>
      <c r="F58" s="3"/>
      <c r="G58" s="67"/>
      <c r="H58" s="67"/>
      <c r="I58" s="67"/>
      <c r="J58" s="72">
        <v>0.15</v>
      </c>
      <c r="K58" s="72">
        <v>0.15</v>
      </c>
      <c r="L58" s="72">
        <v>0.15</v>
      </c>
      <c r="M58" s="72">
        <v>0.15</v>
      </c>
      <c r="N58" s="72">
        <v>0.15</v>
      </c>
      <c r="O58" s="72">
        <v>0.15</v>
      </c>
    </row>
    <row r="59" spans="2:15" ht="16">
      <c r="B59" s="3"/>
      <c r="C59" s="28"/>
      <c r="D59" s="3"/>
      <c r="E59" s="49"/>
      <c r="F59" s="3"/>
      <c r="G59" s="67"/>
      <c r="H59" s="67"/>
      <c r="I59" s="67"/>
      <c r="J59" s="67"/>
      <c r="K59" s="67"/>
      <c r="L59" s="67"/>
      <c r="M59" s="67"/>
      <c r="N59" s="67"/>
      <c r="O59" s="67"/>
    </row>
    <row r="60" spans="2:15" ht="16">
      <c r="B60" s="3"/>
      <c r="C60" s="28" t="s">
        <v>160</v>
      </c>
      <c r="D60" s="3"/>
      <c r="E60" s="49" t="s">
        <v>155</v>
      </c>
      <c r="F60" s="27">
        <f>Model!G151</f>
        <v>5477</v>
      </c>
      <c r="G60" s="27">
        <f>Model!H151</f>
        <v>9456</v>
      </c>
      <c r="H60" s="27">
        <f>Model!I151</f>
        <v>17148</v>
      </c>
      <c r="I60" s="27">
        <f>Model!J151</f>
        <v>9836</v>
      </c>
      <c r="J60" s="73">
        <f t="shared" ref="J60:O60" si="17">I55*J57</f>
        <v>1524.6</v>
      </c>
      <c r="K60" s="73">
        <f t="shared" si="17"/>
        <v>1781.4572819399998</v>
      </c>
      <c r="L60" s="73">
        <f t="shared" si="17"/>
        <v>1842.7244160077996</v>
      </c>
      <c r="M60" s="73">
        <f t="shared" si="17"/>
        <v>1783.9373274062639</v>
      </c>
      <c r="N60" s="73">
        <f t="shared" si="17"/>
        <v>1641.064994651053</v>
      </c>
      <c r="O60" s="73">
        <f t="shared" si="17"/>
        <v>1441.6773294994885</v>
      </c>
    </row>
    <row r="61" spans="2:15" ht="16">
      <c r="B61" s="3"/>
      <c r="C61" s="28" t="s">
        <v>161</v>
      </c>
      <c r="D61" s="3"/>
      <c r="E61" s="49" t="s">
        <v>155</v>
      </c>
      <c r="F61" s="3"/>
      <c r="G61" s="27"/>
      <c r="H61" s="27"/>
      <c r="I61" s="27"/>
      <c r="J61" s="27">
        <f>$J$52*J58</f>
        <v>720.9343889999999</v>
      </c>
      <c r="K61" s="27">
        <f t="shared" ref="K61:O61" si="18">$J$52*K58</f>
        <v>720.9343889999999</v>
      </c>
      <c r="L61" s="27">
        <f t="shared" si="18"/>
        <v>720.9343889999999</v>
      </c>
      <c r="M61" s="27">
        <f t="shared" si="18"/>
        <v>720.9343889999999</v>
      </c>
      <c r="N61" s="27">
        <f t="shared" si="18"/>
        <v>720.9343889999999</v>
      </c>
      <c r="O61" s="27">
        <f t="shared" si="18"/>
        <v>720.9343889999999</v>
      </c>
    </row>
    <row r="62" spans="2:15" ht="16">
      <c r="B62" s="3"/>
      <c r="C62" s="28" t="s">
        <v>162</v>
      </c>
      <c r="D62" s="3"/>
      <c r="E62" s="49" t="s">
        <v>155</v>
      </c>
      <c r="F62" s="3"/>
      <c r="G62" s="3"/>
      <c r="H62" s="3"/>
      <c r="I62" s="3"/>
      <c r="J62" s="3"/>
      <c r="K62" s="27">
        <f>$K$52*J58</f>
        <v>697.5</v>
      </c>
      <c r="L62" s="27">
        <f t="shared" ref="L62:O62" si="19">$K$52*K58</f>
        <v>697.5</v>
      </c>
      <c r="M62" s="27">
        <f t="shared" si="19"/>
        <v>697.5</v>
      </c>
      <c r="N62" s="27">
        <f t="shared" si="19"/>
        <v>697.5</v>
      </c>
      <c r="O62" s="27">
        <f t="shared" si="19"/>
        <v>697.5</v>
      </c>
    </row>
    <row r="63" spans="2:15" ht="16">
      <c r="B63" s="3"/>
      <c r="C63" s="28" t="s">
        <v>163</v>
      </c>
      <c r="D63" s="3"/>
      <c r="E63" s="49" t="s">
        <v>155</v>
      </c>
      <c r="F63" s="3"/>
      <c r="G63" s="3"/>
      <c r="H63" s="3"/>
      <c r="I63" s="3"/>
      <c r="J63" s="3"/>
      <c r="K63" s="27"/>
      <c r="L63" s="27">
        <f>$L$52*J58</f>
        <v>697.5</v>
      </c>
      <c r="M63" s="27">
        <f t="shared" ref="M63:O63" si="20">$L$52*K58</f>
        <v>697.5</v>
      </c>
      <c r="N63" s="27">
        <f t="shared" si="20"/>
        <v>697.5</v>
      </c>
      <c r="O63" s="27">
        <f t="shared" si="20"/>
        <v>697.5</v>
      </c>
    </row>
    <row r="64" spans="2:15" ht="16">
      <c r="B64" s="3"/>
      <c r="C64" s="28" t="s">
        <v>164</v>
      </c>
      <c r="D64" s="3"/>
      <c r="E64" s="49" t="s">
        <v>155</v>
      </c>
      <c r="F64" s="3"/>
      <c r="G64" s="3"/>
      <c r="H64" s="3"/>
      <c r="I64" s="3"/>
      <c r="J64" s="3"/>
      <c r="K64" s="27"/>
      <c r="L64" s="27"/>
      <c r="M64" s="27">
        <f>$M$52*J58</f>
        <v>697.5</v>
      </c>
      <c r="N64" s="27">
        <f t="shared" ref="N64:O64" si="21">$M$52*K58</f>
        <v>697.5</v>
      </c>
      <c r="O64" s="27">
        <f t="shared" si="21"/>
        <v>697.5</v>
      </c>
    </row>
    <row r="65" spans="2:15" ht="16">
      <c r="B65" s="3"/>
      <c r="C65" s="28" t="s">
        <v>165</v>
      </c>
      <c r="D65" s="3"/>
      <c r="E65" s="49" t="s">
        <v>155</v>
      </c>
      <c r="F65" s="3"/>
      <c r="G65" s="3"/>
      <c r="H65" s="3"/>
      <c r="I65" s="3"/>
      <c r="J65" s="3"/>
      <c r="K65" s="27"/>
      <c r="L65" s="27"/>
      <c r="M65" s="27"/>
      <c r="N65" s="27">
        <f>$N$52*J58</f>
        <v>697.5</v>
      </c>
      <c r="O65" s="27">
        <f>$N$52*K58</f>
        <v>697.5</v>
      </c>
    </row>
    <row r="66" spans="2:15" ht="16">
      <c r="B66" s="3"/>
      <c r="C66" s="28" t="s">
        <v>166</v>
      </c>
      <c r="D66" s="3"/>
      <c r="E66" s="49" t="s">
        <v>155</v>
      </c>
      <c r="F66" s="74"/>
      <c r="G66" s="74"/>
      <c r="H66" s="74"/>
      <c r="I66" s="74"/>
      <c r="J66" s="74"/>
      <c r="K66" s="35"/>
      <c r="L66" s="35"/>
      <c r="M66" s="35"/>
      <c r="N66" s="35"/>
      <c r="O66" s="35">
        <f>$O$52*J58</f>
        <v>697.5</v>
      </c>
    </row>
    <row r="67" spans="2:15" ht="16">
      <c r="B67" s="3"/>
      <c r="C67" s="75" t="s">
        <v>167</v>
      </c>
      <c r="D67" s="3"/>
      <c r="E67" s="76" t="s">
        <v>155</v>
      </c>
      <c r="F67" s="32">
        <f>SUM(F60:F66)</f>
        <v>5477</v>
      </c>
      <c r="G67" s="32">
        <f t="shared" ref="G67:O67" si="22">SUM(G60:G66)</f>
        <v>9456</v>
      </c>
      <c r="H67" s="32">
        <f t="shared" si="22"/>
        <v>17148</v>
      </c>
      <c r="I67" s="32">
        <f t="shared" si="22"/>
        <v>9836</v>
      </c>
      <c r="J67" s="32">
        <f t="shared" si="22"/>
        <v>2245.5343889999999</v>
      </c>
      <c r="K67" s="32">
        <f t="shared" si="22"/>
        <v>3199.8916709399996</v>
      </c>
      <c r="L67" s="32">
        <f t="shared" si="22"/>
        <v>3958.6588050077994</v>
      </c>
      <c r="M67" s="32">
        <f t="shared" si="22"/>
        <v>4597.3717164062637</v>
      </c>
      <c r="N67" s="32">
        <f t="shared" si="22"/>
        <v>5151.999383651053</v>
      </c>
      <c r="O67" s="32">
        <f t="shared" si="22"/>
        <v>5650.1117184994882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3340-439F-4869-8056-D90A2E7B9F42}">
  <dimension ref="B1:T177"/>
  <sheetViews>
    <sheetView showGridLines="0" topLeftCell="A33" zoomScale="53" workbookViewId="0">
      <selection activeCell="N36" sqref="N36"/>
    </sheetView>
  </sheetViews>
  <sheetFormatPr defaultRowHeight="16"/>
  <cols>
    <col min="2" max="2" width="8.7265625" style="3"/>
    <col min="3" max="3" width="35.6328125" style="3" customWidth="1"/>
    <col min="4" max="4" width="10.26953125" style="3" customWidth="1"/>
    <col min="5" max="5" width="9.6328125" style="3" customWidth="1"/>
    <col min="6" max="6" width="10.90625" style="3" bestFit="1" customWidth="1"/>
    <col min="7" max="7" width="11.81640625" style="3" bestFit="1" customWidth="1"/>
    <col min="8" max="15" width="12.08984375" style="3" bestFit="1" customWidth="1"/>
    <col min="16" max="16" width="13.1796875" style="3" bestFit="1" customWidth="1"/>
    <col min="17" max="17" width="13.81640625" style="3" bestFit="1" customWidth="1"/>
    <col min="18" max="19" width="8.7265625" style="3"/>
  </cols>
  <sheetData>
    <row r="1" spans="2:20" ht="14.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2:20">
      <c r="B2" s="4"/>
      <c r="C2" s="4"/>
      <c r="D2" s="4"/>
      <c r="E2" s="4"/>
      <c r="F2" s="4"/>
      <c r="G2" s="4"/>
      <c r="H2" s="5"/>
      <c r="I2" s="6" t="s">
        <v>110</v>
      </c>
      <c r="J2" s="5"/>
      <c r="K2" s="7"/>
      <c r="L2" s="5"/>
      <c r="M2" s="6" t="s">
        <v>111</v>
      </c>
      <c r="N2" s="5"/>
      <c r="O2" s="5"/>
      <c r="P2" s="5"/>
      <c r="Q2" s="87"/>
      <c r="S2"/>
    </row>
    <row r="3" spans="2:20">
      <c r="B3" s="8" t="str">
        <f>Company_Name&amp;" - Discounted Cash Flow Analysis"</f>
        <v>Ouster, Inc. - Discounted Cash Flow Analysis</v>
      </c>
      <c r="C3" s="4"/>
      <c r="D3" s="4"/>
      <c r="E3" s="9" t="s">
        <v>112</v>
      </c>
      <c r="F3" s="10"/>
      <c r="G3" s="10"/>
      <c r="H3" s="11">
        <v>44926</v>
      </c>
      <c r="I3" s="11">
        <v>45291</v>
      </c>
      <c r="J3" s="11">
        <v>45657</v>
      </c>
      <c r="K3" s="88">
        <v>46022</v>
      </c>
      <c r="L3" s="11">
        <v>46387</v>
      </c>
      <c r="M3" s="42">
        <v>46752</v>
      </c>
      <c r="N3" s="11">
        <v>47118</v>
      </c>
      <c r="O3" s="11">
        <v>47483</v>
      </c>
      <c r="P3" s="11">
        <v>47848</v>
      </c>
      <c r="Q3" s="54"/>
      <c r="R3" s="54"/>
      <c r="S3"/>
    </row>
    <row r="4" spans="2:20">
      <c r="B4" s="87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</row>
    <row r="5" spans="2:20">
      <c r="B5" s="87"/>
      <c r="E5" s="90" t="s">
        <v>185</v>
      </c>
      <c r="F5" s="91" t="s">
        <v>186</v>
      </c>
      <c r="H5" s="93" t="s">
        <v>187</v>
      </c>
      <c r="I5" s="93"/>
      <c r="J5" s="93"/>
      <c r="K5" s="93"/>
      <c r="M5" s="93" t="s">
        <v>188</v>
      </c>
      <c r="N5" s="93"/>
      <c r="O5" s="93"/>
      <c r="P5" s="93"/>
    </row>
    <row r="6" spans="2:20">
      <c r="B6" s="87"/>
      <c r="C6" s="89"/>
      <c r="D6" s="87"/>
      <c r="E6" s="31" t="s">
        <v>350</v>
      </c>
      <c r="F6" s="91" t="s">
        <v>351</v>
      </c>
      <c r="H6" s="21"/>
      <c r="I6" s="21"/>
      <c r="J6" s="21"/>
      <c r="K6" s="21"/>
      <c r="M6" s="21"/>
      <c r="N6" s="21"/>
      <c r="O6" s="21"/>
      <c r="P6" s="21"/>
    </row>
    <row r="7" spans="2:20">
      <c r="B7" s="87"/>
      <c r="C7" s="89"/>
      <c r="D7" s="87"/>
      <c r="E7" s="31" t="s">
        <v>495</v>
      </c>
      <c r="F7" s="91" t="s">
        <v>186</v>
      </c>
      <c r="H7" s="21" t="s">
        <v>408</v>
      </c>
      <c r="I7" s="21"/>
      <c r="J7" s="21"/>
      <c r="K7" s="95">
        <f>PubComps!Q36</f>
        <v>17.45986655283436</v>
      </c>
      <c r="M7" s="21" t="s">
        <v>189</v>
      </c>
      <c r="N7" s="21"/>
      <c r="O7" s="21"/>
      <c r="P7" s="96">
        <v>1.4999999999999999E-2</v>
      </c>
    </row>
    <row r="8" spans="2:20">
      <c r="B8" s="87"/>
      <c r="C8" s="89"/>
      <c r="D8" s="87"/>
      <c r="E8" s="90"/>
      <c r="F8" s="92"/>
      <c r="H8" s="21" t="s">
        <v>409</v>
      </c>
      <c r="I8" s="21"/>
      <c r="J8" s="21"/>
      <c r="K8" s="95" t="str">
        <f>[2]PubComps!S40</f>
        <v>NM</v>
      </c>
      <c r="M8" s="21"/>
      <c r="N8" s="21"/>
      <c r="O8" s="21"/>
      <c r="P8" s="21"/>
    </row>
    <row r="9" spans="2:20">
      <c r="B9" s="87"/>
      <c r="C9" s="3" t="s">
        <v>113</v>
      </c>
      <c r="E9" s="13" t="s">
        <v>114</v>
      </c>
      <c r="F9" s="14" t="str">
        <f>Company_Name</f>
        <v>Ouster, Inc.</v>
      </c>
      <c r="H9" s="21"/>
      <c r="I9" s="21"/>
      <c r="J9" s="21"/>
      <c r="K9" s="97"/>
      <c r="M9" s="21"/>
      <c r="N9" s="21"/>
      <c r="O9" s="21"/>
      <c r="P9" s="21"/>
    </row>
    <row r="10" spans="2:20">
      <c r="B10" s="87"/>
      <c r="C10" s="3" t="s">
        <v>116</v>
      </c>
      <c r="E10" s="13" t="s">
        <v>114</v>
      </c>
      <c r="F10" s="19" t="str">
        <f>Ticker</f>
        <v>OUST</v>
      </c>
      <c r="H10" s="21" t="s">
        <v>190</v>
      </c>
      <c r="I10" s="21"/>
      <c r="J10" s="99"/>
      <c r="K10" s="100">
        <f>INDEX(K11:K13,MATCH(Scenario,H11:H13,0),1)</f>
        <v>15.5</v>
      </c>
      <c r="M10" s="21" t="s">
        <v>191</v>
      </c>
      <c r="N10" s="21"/>
      <c r="O10" s="21"/>
      <c r="P10" s="23">
        <f>INDEX(P11:P13,MATCH(Scenario,M11:M13,0),1)</f>
        <v>0.02</v>
      </c>
    </row>
    <row r="11" spans="2:20">
      <c r="B11" s="87"/>
      <c r="C11" s="3" t="s">
        <v>118</v>
      </c>
      <c r="E11" s="13" t="s">
        <v>119</v>
      </c>
      <c r="F11" s="20">
        <f>Share_Price</f>
        <v>21.06</v>
      </c>
      <c r="H11" s="3" t="s">
        <v>192</v>
      </c>
      <c r="I11" s="21"/>
      <c r="J11" s="99"/>
      <c r="K11" s="102">
        <v>16.5</v>
      </c>
      <c r="M11" s="3" t="s">
        <v>192</v>
      </c>
      <c r="N11" s="21"/>
      <c r="O11" s="21"/>
      <c r="P11" s="96">
        <v>0.03</v>
      </c>
    </row>
    <row r="12" spans="2:20">
      <c r="B12" s="87"/>
      <c r="C12" s="21" t="s">
        <v>121</v>
      </c>
      <c r="E12" s="13" t="s">
        <v>122</v>
      </c>
      <c r="F12" s="94">
        <f>Diluted</f>
        <v>52.56</v>
      </c>
      <c r="H12" s="3" t="s">
        <v>186</v>
      </c>
      <c r="I12" s="21"/>
      <c r="J12" s="99"/>
      <c r="K12" s="102">
        <v>15.5</v>
      </c>
      <c r="M12" s="3" t="s">
        <v>186</v>
      </c>
      <c r="N12" s="21"/>
      <c r="O12" s="21"/>
      <c r="P12" s="96">
        <v>0.02</v>
      </c>
      <c r="T12" s="46"/>
    </row>
    <row r="13" spans="2:20">
      <c r="B13" s="87"/>
      <c r="C13" s="21"/>
      <c r="E13" s="21"/>
      <c r="F13" s="21"/>
      <c r="H13" s="3" t="s">
        <v>193</v>
      </c>
      <c r="I13" s="21"/>
      <c r="J13" s="99"/>
      <c r="K13" s="102">
        <v>14.5</v>
      </c>
      <c r="M13" s="3" t="s">
        <v>193</v>
      </c>
      <c r="N13" s="21"/>
      <c r="O13" s="21"/>
      <c r="P13" s="96">
        <v>0.01</v>
      </c>
    </row>
    <row r="14" spans="2:20">
      <c r="B14" s="87"/>
      <c r="C14" s="21" t="s">
        <v>124</v>
      </c>
      <c r="E14" s="13" t="s">
        <v>125</v>
      </c>
      <c r="F14" s="23">
        <f>Tax_Rate</f>
        <v>0.21</v>
      </c>
      <c r="H14" s="21"/>
      <c r="I14" s="21"/>
      <c r="J14" s="99"/>
      <c r="K14" s="103"/>
      <c r="M14" s="21"/>
      <c r="N14" s="21"/>
      <c r="O14" s="21"/>
      <c r="P14" s="70"/>
    </row>
    <row r="15" spans="2:20">
      <c r="B15" s="87"/>
      <c r="C15" s="21" t="s">
        <v>126</v>
      </c>
      <c r="E15" s="13" t="s">
        <v>125</v>
      </c>
      <c r="F15" s="98">
        <f>WACC!L40</f>
        <v>0.10836181248027099</v>
      </c>
      <c r="H15" s="21"/>
      <c r="I15" s="21"/>
      <c r="J15" s="99"/>
      <c r="K15" s="103"/>
      <c r="M15" s="21"/>
      <c r="N15" s="21"/>
      <c r="O15" s="21"/>
      <c r="P15" s="70"/>
    </row>
    <row r="16" spans="2:20">
      <c r="B16" s="87"/>
      <c r="C16" s="21"/>
      <c r="E16" s="13"/>
      <c r="F16" s="101"/>
      <c r="H16" s="21" t="s">
        <v>194</v>
      </c>
      <c r="I16" s="21"/>
      <c r="J16" s="21"/>
      <c r="K16" s="105">
        <f>K10*(P63/Units)</f>
        <v>3345.1232027649153</v>
      </c>
      <c r="M16" s="21" t="s">
        <v>194</v>
      </c>
      <c r="N16" s="21"/>
      <c r="O16" s="21"/>
      <c r="P16" s="106">
        <f>(+P61*(1+Terminal_Growth_Rate)/(Discount_Rate-P10)*(1+Discount_Rate)^0.5)/Units</f>
        <v>2939.0093007436558</v>
      </c>
    </row>
    <row r="17" spans="2:16">
      <c r="B17" s="87"/>
      <c r="C17" s="21"/>
      <c r="E17" s="13"/>
      <c r="F17" s="101"/>
      <c r="H17" s="21" t="s">
        <v>196</v>
      </c>
      <c r="I17" s="21"/>
      <c r="J17" s="21"/>
      <c r="K17" s="111">
        <f>(N63*(1+Discount_Rate)^0.5*Discount_Rate - O16) / (N63*(1+Discount_Rate)^0.5 + O16)</f>
        <v>0.10836181248027099</v>
      </c>
      <c r="M17" s="21" t="s">
        <v>197</v>
      </c>
      <c r="N17" s="21"/>
      <c r="O17" s="21"/>
      <c r="P17" s="112">
        <f>P16/(P63/Units)</f>
        <v>13.618226116118361</v>
      </c>
    </row>
    <row r="18" spans="2:16">
      <c r="B18" s="87"/>
      <c r="C18" s="21"/>
      <c r="E18" s="13"/>
      <c r="F18" s="101"/>
      <c r="H18" s="21"/>
      <c r="I18" s="21"/>
      <c r="J18" s="21"/>
      <c r="K18" s="21"/>
      <c r="M18" s="21"/>
      <c r="N18" s="21"/>
      <c r="O18" s="21"/>
      <c r="P18" s="21"/>
    </row>
    <row r="19" spans="2:16">
      <c r="B19" s="87"/>
      <c r="C19" s="21"/>
      <c r="E19" s="13"/>
      <c r="F19" s="101"/>
      <c r="H19" s="113" t="s">
        <v>200</v>
      </c>
      <c r="I19" s="21"/>
      <c r="J19" s="99"/>
      <c r="K19" s="115">
        <f>K16/((1+Discount_Rate)^5)</f>
        <v>1999.8818862022554</v>
      </c>
      <c r="M19" s="113" t="s">
        <v>200</v>
      </c>
      <c r="N19" s="21"/>
      <c r="O19" s="99"/>
      <c r="P19" s="116">
        <f>P16/((1+Discount_Rate)^5)</f>
        <v>1757.0866923762323</v>
      </c>
    </row>
    <row r="20" spans="2:16">
      <c r="B20" s="87"/>
      <c r="C20" s="21"/>
      <c r="E20" s="13"/>
      <c r="F20" s="101"/>
      <c r="H20" s="117" t="s">
        <v>202</v>
      </c>
      <c r="I20" s="118"/>
      <c r="J20" s="118"/>
      <c r="K20" s="119">
        <f>NPV(Discount_Rate,L61:P61)/Units</f>
        <v>325.44823718066823</v>
      </c>
      <c r="M20" s="117" t="s">
        <v>202</v>
      </c>
      <c r="N20" s="118"/>
      <c r="O20" s="118"/>
      <c r="P20" s="119">
        <f>NPV(Discount_Rate,L61:P61)/Units</f>
        <v>325.44823718066823</v>
      </c>
    </row>
    <row r="21" spans="2:16">
      <c r="B21" s="87"/>
      <c r="C21" s="21"/>
      <c r="E21" s="13"/>
      <c r="F21" s="104"/>
      <c r="H21" s="120" t="s">
        <v>204</v>
      </c>
      <c r="I21" s="121"/>
      <c r="J21" s="121"/>
      <c r="K21" s="122">
        <f>SUM(K19:K20)</f>
        <v>2325.3301233829234</v>
      </c>
      <c r="M21" s="120" t="s">
        <v>204</v>
      </c>
      <c r="N21" s="121"/>
      <c r="O21" s="121"/>
      <c r="P21" s="122">
        <f>SUM(P19:P20)</f>
        <v>2082.5349295569004</v>
      </c>
    </row>
    <row r="22" spans="2:16">
      <c r="B22" s="87"/>
      <c r="C22" s="107" t="s">
        <v>195</v>
      </c>
      <c r="D22" s="108"/>
      <c r="E22" s="109"/>
      <c r="F22" s="110">
        <f>$F$11*$F$12</f>
        <v>1106.9136000000001</v>
      </c>
      <c r="H22" s="113"/>
      <c r="I22" s="21"/>
      <c r="J22" s="21"/>
      <c r="K22" s="61"/>
      <c r="M22" s="113"/>
      <c r="N22" s="21"/>
      <c r="O22" s="21"/>
      <c r="P22" s="61"/>
    </row>
    <row r="23" spans="2:16">
      <c r="B23" s="87"/>
      <c r="C23" s="113" t="s">
        <v>198</v>
      </c>
      <c r="E23" s="13"/>
      <c r="F23" s="114">
        <f>-SUM(Model!K106:K108)/Units</f>
        <v>-210.56568958861294</v>
      </c>
      <c r="H23" s="123" t="s">
        <v>207</v>
      </c>
      <c r="I23" s="21"/>
      <c r="J23" s="21"/>
      <c r="K23" s="124">
        <f>K19/K21</f>
        <v>0.86004213599263002</v>
      </c>
      <c r="M23" s="123" t="s">
        <v>207</v>
      </c>
      <c r="N23" s="21"/>
      <c r="O23" s="21"/>
      <c r="P23" s="124">
        <f>P19/P21</f>
        <v>0.8437249562724437</v>
      </c>
    </row>
    <row r="24" spans="2:16">
      <c r="B24" s="87"/>
      <c r="C24" s="113" t="s">
        <v>199</v>
      </c>
      <c r="E24" s="13"/>
      <c r="F24" s="114">
        <v>0</v>
      </c>
      <c r="H24" s="21"/>
      <c r="I24" s="21"/>
      <c r="J24" s="21"/>
      <c r="K24" s="21"/>
      <c r="M24" s="21"/>
      <c r="N24" s="21"/>
      <c r="O24" s="21"/>
      <c r="P24" s="21"/>
    </row>
    <row r="25" spans="2:16">
      <c r="B25" s="87"/>
      <c r="C25" s="113" t="s">
        <v>201</v>
      </c>
      <c r="E25" s="13"/>
      <c r="F25" s="114">
        <v>0</v>
      </c>
      <c r="H25" s="21" t="s">
        <v>210</v>
      </c>
      <c r="I25" s="21"/>
      <c r="J25" s="21"/>
      <c r="K25" s="127">
        <f t="shared" ref="K25:K31" si="0">-F23</f>
        <v>210.56568958861294</v>
      </c>
      <c r="M25" s="21" t="s">
        <v>210</v>
      </c>
      <c r="N25" s="21"/>
      <c r="O25" s="21"/>
      <c r="P25" s="127">
        <f>K25</f>
        <v>210.56568958861294</v>
      </c>
    </row>
    <row r="26" spans="2:16">
      <c r="B26" s="87"/>
      <c r="C26" s="113" t="s">
        <v>203</v>
      </c>
      <c r="E26" s="13"/>
      <c r="F26" s="114">
        <v>0</v>
      </c>
      <c r="H26" s="128" t="s">
        <v>211</v>
      </c>
      <c r="I26" s="21"/>
      <c r="J26" s="21"/>
      <c r="K26" s="127">
        <f t="shared" si="0"/>
        <v>0</v>
      </c>
      <c r="M26" s="128" t="s">
        <v>211</v>
      </c>
      <c r="N26" s="21"/>
      <c r="O26" s="21"/>
      <c r="P26" s="127">
        <f t="shared" ref="P26:P31" si="1">K26</f>
        <v>0</v>
      </c>
    </row>
    <row r="27" spans="2:16">
      <c r="B27" s="87"/>
      <c r="C27" s="113" t="s">
        <v>205</v>
      </c>
      <c r="E27" s="13"/>
      <c r="F27" s="114">
        <v>0</v>
      </c>
      <c r="H27" s="128" t="s">
        <v>212</v>
      </c>
      <c r="I27" s="21"/>
      <c r="J27" s="21"/>
      <c r="K27" s="127">
        <f t="shared" si="0"/>
        <v>0</v>
      </c>
      <c r="M27" s="128" t="s">
        <v>212</v>
      </c>
      <c r="N27" s="21"/>
      <c r="O27" s="21"/>
      <c r="P27" s="127">
        <f t="shared" si="1"/>
        <v>0</v>
      </c>
    </row>
    <row r="28" spans="2:16">
      <c r="B28" s="87"/>
      <c r="C28" s="113" t="s">
        <v>206</v>
      </c>
      <c r="E28" s="13"/>
      <c r="F28" s="114">
        <v>0</v>
      </c>
      <c r="H28" s="128" t="s">
        <v>213</v>
      </c>
      <c r="I28" s="21"/>
      <c r="J28" s="21"/>
      <c r="K28" s="127">
        <f t="shared" si="0"/>
        <v>0</v>
      </c>
      <c r="M28" s="128" t="s">
        <v>213</v>
      </c>
      <c r="N28" s="21"/>
      <c r="O28" s="21"/>
      <c r="P28" s="127">
        <f t="shared" si="1"/>
        <v>0</v>
      </c>
    </row>
    <row r="29" spans="2:16">
      <c r="B29" s="87"/>
      <c r="C29" s="113" t="s">
        <v>208</v>
      </c>
      <c r="E29" s="13"/>
      <c r="F29" s="114">
        <v>0</v>
      </c>
      <c r="H29" s="128" t="s">
        <v>214</v>
      </c>
      <c r="I29" s="21"/>
      <c r="J29" s="21"/>
      <c r="K29" s="127">
        <f t="shared" si="0"/>
        <v>0</v>
      </c>
      <c r="M29" s="128" t="s">
        <v>214</v>
      </c>
      <c r="N29" s="21"/>
      <c r="O29" s="21"/>
      <c r="P29" s="127">
        <f t="shared" si="1"/>
        <v>0</v>
      </c>
    </row>
    <row r="30" spans="2:16">
      <c r="B30" s="87"/>
      <c r="C30" s="125" t="s">
        <v>209</v>
      </c>
      <c r="D30" s="125"/>
      <c r="E30" s="125"/>
      <c r="F30" s="126">
        <f>SUM($F$22:$F$29)</f>
        <v>896.34791041138715</v>
      </c>
      <c r="H30" s="128" t="s">
        <v>215</v>
      </c>
      <c r="I30" s="21"/>
      <c r="J30" s="21"/>
      <c r="K30" s="127">
        <f t="shared" si="0"/>
        <v>0</v>
      </c>
      <c r="M30" s="128" t="s">
        <v>215</v>
      </c>
      <c r="N30" s="21"/>
      <c r="O30" s="21"/>
      <c r="P30" s="127">
        <f t="shared" si="1"/>
        <v>0</v>
      </c>
    </row>
    <row r="31" spans="2:16">
      <c r="B31" s="87"/>
      <c r="C31" s="21"/>
      <c r="E31" s="13"/>
      <c r="G31" s="104"/>
      <c r="H31" s="128" t="s">
        <v>216</v>
      </c>
      <c r="I31" s="21"/>
      <c r="J31" s="21"/>
      <c r="K31" s="127">
        <f t="shared" si="0"/>
        <v>0</v>
      </c>
      <c r="M31" s="128" t="s">
        <v>216</v>
      </c>
      <c r="N31" s="21"/>
      <c r="O31" s="21"/>
      <c r="P31" s="127">
        <f t="shared" si="1"/>
        <v>0</v>
      </c>
    </row>
    <row r="32" spans="2:16">
      <c r="B32" s="87"/>
      <c r="C32" s="21"/>
      <c r="E32" s="13"/>
      <c r="G32" s="104"/>
      <c r="H32" s="113"/>
      <c r="I32" s="21"/>
      <c r="J32" s="21"/>
      <c r="K32" s="129"/>
      <c r="M32" s="113"/>
      <c r="N32" s="21"/>
      <c r="O32" s="21"/>
      <c r="P32" s="61"/>
    </row>
    <row r="33" spans="2:19">
      <c r="B33" s="87"/>
      <c r="C33" s="21"/>
      <c r="E33" s="13"/>
      <c r="G33" s="104"/>
      <c r="H33" s="130" t="s">
        <v>217</v>
      </c>
      <c r="I33" s="131"/>
      <c r="J33" s="131"/>
      <c r="K33" s="132">
        <f>K21+SUM(K25:K31)</f>
        <v>2535.8958129715365</v>
      </c>
      <c r="M33" s="130" t="s">
        <v>217</v>
      </c>
      <c r="N33" s="131"/>
      <c r="O33" s="131"/>
      <c r="P33" s="132">
        <f>SUM(P21:P32)</f>
        <v>2293.9443441017856</v>
      </c>
    </row>
    <row r="34" spans="2:19">
      <c r="B34" s="87"/>
      <c r="C34" s="21"/>
      <c r="E34" s="13"/>
      <c r="G34" s="104"/>
      <c r="H34" s="133"/>
      <c r="I34" s="21"/>
      <c r="J34" s="21"/>
      <c r="K34" s="134"/>
      <c r="M34" s="133"/>
      <c r="N34" s="21"/>
      <c r="O34" s="21"/>
      <c r="P34" s="134"/>
    </row>
    <row r="35" spans="2:19">
      <c r="B35" s="87"/>
      <c r="C35" s="21"/>
      <c r="E35" s="13"/>
      <c r="G35" s="104"/>
      <c r="H35" s="21" t="s">
        <v>121</v>
      </c>
      <c r="I35" s="21"/>
      <c r="J35" s="21"/>
      <c r="K35" s="135">
        <f>_xlfn.SINGLE(Diluted)</f>
        <v>52.56</v>
      </c>
      <c r="M35" s="21" t="s">
        <v>121</v>
      </c>
      <c r="N35" s="21"/>
      <c r="O35" s="21"/>
      <c r="P35" s="135">
        <f>_xlfn.SINGLE(Diluted)</f>
        <v>52.56</v>
      </c>
    </row>
    <row r="36" spans="2:19">
      <c r="B36" s="87"/>
      <c r="C36" s="21"/>
      <c r="E36" s="13"/>
      <c r="G36" s="104"/>
      <c r="H36" s="21"/>
      <c r="I36" s="21"/>
      <c r="J36" s="21"/>
      <c r="K36" s="27"/>
      <c r="M36" s="21"/>
      <c r="N36" s="21"/>
      <c r="O36" s="21"/>
      <c r="P36" s="27"/>
    </row>
    <row r="37" spans="2:19">
      <c r="B37" s="87"/>
      <c r="C37" s="21"/>
      <c r="E37" s="13"/>
      <c r="G37" s="104"/>
      <c r="H37" s="136" t="s">
        <v>218</v>
      </c>
      <c r="I37" s="137"/>
      <c r="J37" s="137"/>
      <c r="K37" s="138">
        <f>K33/K35</f>
        <v>48.247637233096206</v>
      </c>
      <c r="M37" s="136" t="s">
        <v>218</v>
      </c>
      <c r="N37" s="137"/>
      <c r="O37" s="137"/>
      <c r="P37" s="138">
        <f>P33/P35</f>
        <v>43.644298784280544</v>
      </c>
    </row>
    <row r="38" spans="2:19">
      <c r="B38" s="87"/>
      <c r="C38" s="21"/>
      <c r="E38" s="13"/>
      <c r="G38" s="104"/>
      <c r="H38" s="139" t="s">
        <v>219</v>
      </c>
      <c r="I38" s="140"/>
      <c r="J38" s="140"/>
      <c r="K38" s="141">
        <f>K37/F11-1</f>
        <v>1.2909609322457838</v>
      </c>
      <c r="M38" s="139" t="s">
        <v>219</v>
      </c>
      <c r="N38" s="140"/>
      <c r="O38" s="140"/>
      <c r="P38" s="141">
        <f>P37/F11-1</f>
        <v>1.0723788596524475</v>
      </c>
    </row>
    <row r="39" spans="2:19">
      <c r="B39" s="87"/>
      <c r="C39" s="21"/>
      <c r="E39" s="13"/>
      <c r="G39" s="104"/>
    </row>
    <row r="40" spans="2:19">
      <c r="B40" s="4"/>
      <c r="C40" s="4"/>
      <c r="D40" s="4"/>
      <c r="E40" s="4"/>
      <c r="F40" s="4"/>
      <c r="G40" s="4"/>
      <c r="H40" s="5"/>
      <c r="I40" s="6" t="s">
        <v>110</v>
      </c>
      <c r="J40" s="5"/>
      <c r="K40" s="7"/>
      <c r="L40" s="5"/>
      <c r="M40" s="6" t="s">
        <v>111</v>
      </c>
      <c r="N40" s="5"/>
      <c r="O40" s="5"/>
      <c r="P40" s="5"/>
      <c r="Q40" s="87"/>
      <c r="R40" s="464"/>
      <c r="S40" s="464"/>
    </row>
    <row r="41" spans="2:19">
      <c r="B41" s="8" t="str">
        <f>Company_Name&amp;" - Free Cash Flow Calculation"</f>
        <v>Ouster, Inc. - Free Cash Flow Calculation</v>
      </c>
      <c r="C41" s="4"/>
      <c r="D41" s="4"/>
      <c r="E41" s="9" t="s">
        <v>112</v>
      </c>
      <c r="F41" s="10"/>
      <c r="G41" s="10"/>
      <c r="H41" s="11">
        <v>44926</v>
      </c>
      <c r="I41" s="11">
        <v>45291</v>
      </c>
      <c r="J41" s="11">
        <v>45657</v>
      </c>
      <c r="K41" s="88">
        <v>46022</v>
      </c>
      <c r="L41" s="11">
        <v>46387</v>
      </c>
      <c r="M41" s="42">
        <v>46752</v>
      </c>
      <c r="N41" s="11">
        <v>47118</v>
      </c>
      <c r="O41" s="11">
        <v>47483</v>
      </c>
      <c r="P41" s="11">
        <v>47848</v>
      </c>
      <c r="Q41" s="54"/>
      <c r="R41" s="54"/>
      <c r="S41"/>
    </row>
    <row r="42" spans="2:19">
      <c r="S42"/>
    </row>
    <row r="43" spans="2:19">
      <c r="C43" s="31" t="s">
        <v>0</v>
      </c>
      <c r="E43" s="76" t="s">
        <v>155</v>
      </c>
      <c r="G43" s="32">
        <f>Drivers!F6</f>
        <v>33578</v>
      </c>
      <c r="H43" s="32">
        <f>Drivers!G6</f>
        <v>41029</v>
      </c>
      <c r="I43" s="32">
        <f>Drivers!H6</f>
        <v>83279</v>
      </c>
      <c r="J43" s="32">
        <f>Drivers!I6</f>
        <v>111101</v>
      </c>
      <c r="K43" s="32">
        <f>Drivers!J6</f>
        <v>169000</v>
      </c>
      <c r="L43" s="32">
        <f>Drivers!K6</f>
        <v>254788</v>
      </c>
      <c r="M43" s="32">
        <f>Drivers!L6</f>
        <v>365254.16399999999</v>
      </c>
      <c r="N43" s="32">
        <f>Drivers!M6</f>
        <v>535307.84317800007</v>
      </c>
      <c r="O43" s="32">
        <f>Drivers!N6</f>
        <v>712266.90027449396</v>
      </c>
      <c r="P43" s="32">
        <f>Drivers!O6</f>
        <v>912910.72114970523</v>
      </c>
      <c r="Q43" s="32"/>
      <c r="R43" s="32"/>
      <c r="S43"/>
    </row>
    <row r="44" spans="2:19">
      <c r="C44" s="142" t="s">
        <v>220</v>
      </c>
      <c r="E44" s="49"/>
      <c r="G44" s="50">
        <v>0</v>
      </c>
      <c r="H44" s="50">
        <f t="shared" ref="H44:N44" si="2">H43/G43-1</f>
        <v>0.22190124486270779</v>
      </c>
      <c r="I44" s="50">
        <f t="shared" si="2"/>
        <v>1.0297594384459772</v>
      </c>
      <c r="J44" s="50">
        <f t="shared" si="2"/>
        <v>0.33408182134751851</v>
      </c>
      <c r="K44" s="50">
        <f t="shared" si="2"/>
        <v>0.52113842359654727</v>
      </c>
      <c r="L44" s="50">
        <f t="shared" si="2"/>
        <v>0.50762130177514786</v>
      </c>
      <c r="M44" s="50">
        <f t="shared" si="2"/>
        <v>0.43356109392907038</v>
      </c>
      <c r="N44" s="50">
        <f t="shared" si="2"/>
        <v>0.4655762916312709</v>
      </c>
      <c r="O44" s="50">
        <f t="shared" ref="O44" si="3">O43/N43-1</f>
        <v>0.33057437762527164</v>
      </c>
      <c r="P44" s="50">
        <f t="shared" ref="P44" si="4">P43/O43-1</f>
        <v>0.28169752209163024</v>
      </c>
      <c r="Q44" s="143"/>
      <c r="R44" s="143"/>
      <c r="S44"/>
    </row>
    <row r="45" spans="2:19">
      <c r="E45" s="49"/>
      <c r="S45"/>
    </row>
    <row r="46" spans="2:19">
      <c r="C46" s="144" t="s">
        <v>221</v>
      </c>
      <c r="E46" s="49" t="s">
        <v>155</v>
      </c>
      <c r="G46" s="63">
        <f>Model!G79</f>
        <v>-108796</v>
      </c>
      <c r="H46" s="63">
        <f>Model!H79</f>
        <v>-156353</v>
      </c>
      <c r="I46" s="63">
        <f>Model!I79</f>
        <v>-381506</v>
      </c>
      <c r="J46" s="63">
        <f>Model!J79</f>
        <v>-144637</v>
      </c>
      <c r="K46" s="63">
        <f>Model!K79</f>
        <v>-160207.64199999999</v>
      </c>
      <c r="L46" s="63">
        <f>Model!L79</f>
        <v>-155000</v>
      </c>
      <c r="M46" s="63">
        <f>Model!M79</f>
        <v>-155000</v>
      </c>
      <c r="N46" s="63">
        <f>Model!N79</f>
        <v>-155000</v>
      </c>
      <c r="O46" s="63">
        <f>Model!O79</f>
        <v>-155000</v>
      </c>
      <c r="P46" s="63">
        <f>Model!P79</f>
        <v>-155000</v>
      </c>
      <c r="Q46" s="63"/>
      <c r="R46" s="63"/>
      <c r="S46"/>
    </row>
    <row r="47" spans="2:19">
      <c r="E47" s="49"/>
      <c r="S47"/>
    </row>
    <row r="48" spans="2:19">
      <c r="C48" s="31" t="s">
        <v>222</v>
      </c>
      <c r="E48" s="76" t="s">
        <v>155</v>
      </c>
      <c r="G48" s="32">
        <f>Model!G81</f>
        <v>-99710</v>
      </c>
      <c r="H48" s="32">
        <f>Model!H81</f>
        <v>-145423</v>
      </c>
      <c r="I48" s="32">
        <f>Model!I81</f>
        <v>-373192</v>
      </c>
      <c r="J48" s="32">
        <f>Model!J81</f>
        <v>-104177</v>
      </c>
      <c r="K48" s="32">
        <f>Model!K81</f>
        <v>-77397.641999999993</v>
      </c>
      <c r="L48" s="32">
        <f>Model!L81</f>
        <v>-53084.799999999988</v>
      </c>
      <c r="M48" s="32">
        <f>Model!M81</f>
        <v>-8898.3343999999925</v>
      </c>
      <c r="N48" s="32">
        <f>Model!N81</f>
        <v>59123.137271200016</v>
      </c>
      <c r="O48" s="32">
        <f>Model!O81</f>
        <v>129906.76010979759</v>
      </c>
      <c r="P48" s="32">
        <f>Model!P81</f>
        <v>210164.28845988214</v>
      </c>
      <c r="Q48" s="32"/>
      <c r="R48" s="32"/>
      <c r="S48"/>
    </row>
    <row r="49" spans="3:19">
      <c r="E49" s="49"/>
      <c r="S49"/>
    </row>
    <row r="50" spans="3:19">
      <c r="C50" s="21" t="s">
        <v>223</v>
      </c>
      <c r="E50" s="49" t="s">
        <v>155</v>
      </c>
      <c r="G50" s="27">
        <v>0</v>
      </c>
      <c r="H50" s="27">
        <v>0</v>
      </c>
      <c r="I50" s="27">
        <v>0</v>
      </c>
      <c r="J50" s="27">
        <v>0</v>
      </c>
      <c r="K50" s="27">
        <f>Model!K39</f>
        <v>0</v>
      </c>
      <c r="L50" s="27">
        <f>Model!L39</f>
        <v>0</v>
      </c>
      <c r="M50" s="27">
        <f>Model!M39</f>
        <v>0</v>
      </c>
      <c r="N50" s="27">
        <f>Model!N39</f>
        <v>10471.262467301442</v>
      </c>
      <c r="O50" s="27">
        <f>Model!O39</f>
        <v>22558.921033177601</v>
      </c>
      <c r="P50" s="27">
        <f>Model!P39</f>
        <v>36587.769131624395</v>
      </c>
      <c r="Q50" s="27"/>
      <c r="R50" s="27"/>
      <c r="S50"/>
    </row>
    <row r="51" spans="3:19">
      <c r="E51" s="49"/>
      <c r="S51"/>
    </row>
    <row r="52" spans="3:19">
      <c r="C52" s="145" t="s">
        <v>224</v>
      </c>
      <c r="E52" s="76" t="s">
        <v>155</v>
      </c>
      <c r="G52" s="32">
        <f>Model!G88</f>
        <v>-96775</v>
      </c>
      <c r="H52" s="32">
        <f>Model!H88</f>
        <v>-138255</v>
      </c>
      <c r="I52" s="32">
        <f>Model!I88</f>
        <v>-373587</v>
      </c>
      <c r="J52" s="32">
        <f>Model!J88</f>
        <v>-96508</v>
      </c>
      <c r="K52" s="32">
        <f>Model!K88</f>
        <v>-66950.191999999995</v>
      </c>
      <c r="L52" s="32">
        <f>Model!L88</f>
        <v>-41035.703020569345</v>
      </c>
      <c r="M52" s="32">
        <f>Model!M88</f>
        <v>-3596.8136911351812</v>
      </c>
      <c r="N52" s="32">
        <f>Model!N88</f>
        <v>64139.519429621672</v>
      </c>
      <c r="O52" s="32">
        <f>Model!O88</f>
        <v>135969.07457899614</v>
      </c>
      <c r="P52" s="32">
        <f>Model!P88</f>
        <v>219502.0372127475</v>
      </c>
      <c r="Q52" s="32"/>
      <c r="R52" s="32"/>
      <c r="S52"/>
    </row>
    <row r="53" spans="3:19">
      <c r="E53" s="49"/>
      <c r="S53"/>
    </row>
    <row r="54" spans="3:19">
      <c r="C54" s="66" t="s">
        <v>225</v>
      </c>
      <c r="E54" s="49" t="s">
        <v>155</v>
      </c>
      <c r="G54" s="27">
        <f>Model!G151</f>
        <v>5477</v>
      </c>
      <c r="H54" s="27">
        <f>Model!H151</f>
        <v>9456</v>
      </c>
      <c r="I54" s="27">
        <f>Model!I151</f>
        <v>17148</v>
      </c>
      <c r="J54" s="27">
        <f>Model!J151</f>
        <v>9836</v>
      </c>
      <c r="K54" s="27">
        <f>Model!K151</f>
        <v>2245.5343889999999</v>
      </c>
      <c r="L54" s="27">
        <f>Model!L151</f>
        <v>3199.8916709399996</v>
      </c>
      <c r="M54" s="27">
        <f>Model!M151</f>
        <v>3958.6588050077994</v>
      </c>
      <c r="N54" s="27">
        <f>Model!N151</f>
        <v>4597.3717164062637</v>
      </c>
      <c r="O54" s="27">
        <f>Model!O151</f>
        <v>5151.999383651053</v>
      </c>
      <c r="P54" s="27">
        <f>Model!P151</f>
        <v>5650.1117184994882</v>
      </c>
      <c r="Q54" s="27"/>
      <c r="R54" s="27"/>
      <c r="S54"/>
    </row>
    <row r="55" spans="3:19">
      <c r="E55" s="49"/>
      <c r="S55"/>
    </row>
    <row r="56" spans="3:19">
      <c r="C56" s="38" t="s">
        <v>226</v>
      </c>
      <c r="E56" s="49" t="s">
        <v>155</v>
      </c>
      <c r="G56" s="27">
        <f>SUM(Model!G109:G111)-SUM(Model!G123:G124)</f>
        <v>4701</v>
      </c>
      <c r="H56" s="27">
        <f>SUM(Model!H109:H111)-SUM(Model!H123:H124)</f>
        <v>13038</v>
      </c>
      <c r="I56" s="27">
        <f>SUM(Model!I109:I111)-SUM(Model!I123:I124)</f>
        <v>10745</v>
      </c>
      <c r="J56" s="27">
        <f>SUM(Model!J109:J111)-SUM(Model!J123:J124)</f>
        <v>10229</v>
      </c>
      <c r="K56" s="27">
        <f>SUM(Model!K109:K111)-SUM(Model!K123:K124)</f>
        <v>30660.129827671233</v>
      </c>
      <c r="L56" s="27">
        <f>SUM(Model!L109:L111)-SUM(Model!L123:L124)</f>
        <v>52286.907945205472</v>
      </c>
      <c r="M56" s="27">
        <f>SUM(Model!M109:M111)-SUM(Model!M123:M124)</f>
        <v>78566.535260821911</v>
      </c>
      <c r="N56" s="27">
        <f>SUM(Model!N109:N111)-SUM(Model!N123:N124)</f>
        <v>110224.21366005704</v>
      </c>
      <c r="O56" s="27">
        <f>SUM(Model!O109:O111)-SUM(Model!O123:O124)</f>
        <v>141968.1515943344</v>
      </c>
      <c r="P56" s="27">
        <f>SUM(Model!P109:P111)-SUM(Model!P123:P124)</f>
        <v>163304.04975552546</v>
      </c>
      <c r="S56"/>
    </row>
    <row r="57" spans="3:19">
      <c r="C57" s="38" t="s">
        <v>227</v>
      </c>
      <c r="E57" s="49" t="s">
        <v>155</v>
      </c>
      <c r="G57" s="27">
        <v>0</v>
      </c>
      <c r="H57" s="27">
        <f t="shared" ref="H57" si="5">H56-G56</f>
        <v>8337</v>
      </c>
      <c r="I57" s="27">
        <f t="shared" ref="I57" si="6">I56-H56</f>
        <v>-2293</v>
      </c>
      <c r="J57" s="27">
        <f t="shared" ref="J57" si="7">J56-I56</f>
        <v>-516</v>
      </c>
      <c r="K57" s="27">
        <f t="shared" ref="K57" si="8">K56-J56</f>
        <v>20431.129827671233</v>
      </c>
      <c r="L57" s="27">
        <f t="shared" ref="L57" si="9">L56-K56</f>
        <v>21626.778117534239</v>
      </c>
      <c r="M57" s="27">
        <f t="shared" ref="M57" si="10">M56-L56</f>
        <v>26279.627315616439</v>
      </c>
      <c r="N57" s="27">
        <f t="shared" ref="N57" si="11">N56-M56</f>
        <v>31657.678399235127</v>
      </c>
      <c r="O57" s="27">
        <f t="shared" ref="O57" si="12">O56-N56</f>
        <v>31743.937934277361</v>
      </c>
      <c r="P57" s="27">
        <f t="shared" ref="P57" si="13">P56-O56</f>
        <v>21335.898161191057</v>
      </c>
      <c r="Q57" s="27"/>
      <c r="R57" s="27"/>
      <c r="S57"/>
    </row>
    <row r="58" spans="3:19">
      <c r="C58" s="38"/>
      <c r="E58" s="49"/>
      <c r="S58"/>
    </row>
    <row r="59" spans="3:19">
      <c r="C59" s="38" t="s">
        <v>228</v>
      </c>
      <c r="E59" s="49" t="s">
        <v>155</v>
      </c>
      <c r="G59" s="27">
        <f>-Drivers!F52</f>
        <v>-4283</v>
      </c>
      <c r="H59" s="27">
        <f>-Drivers!G52</f>
        <v>-5422</v>
      </c>
      <c r="I59" s="27">
        <f>-Drivers!H52</f>
        <v>-3006</v>
      </c>
      <c r="J59" s="27">
        <f>-Drivers!I52</f>
        <v>-3756</v>
      </c>
      <c r="K59" s="27">
        <f>-Drivers!J52</f>
        <v>-4806.2292599999992</v>
      </c>
      <c r="L59" s="27">
        <f>-Drivers!K52</f>
        <v>-4650</v>
      </c>
      <c r="M59" s="27">
        <f>-Drivers!L52</f>
        <v>-4650</v>
      </c>
      <c r="N59" s="27">
        <f>-Drivers!M52</f>
        <v>-4650</v>
      </c>
      <c r="O59" s="27">
        <f>-Drivers!N52</f>
        <v>-4650</v>
      </c>
      <c r="P59" s="27">
        <f>-Drivers!O52</f>
        <v>-4650</v>
      </c>
      <c r="Q59" s="27"/>
      <c r="R59" s="27"/>
      <c r="S59"/>
    </row>
    <row r="60" spans="3:19">
      <c r="E60" s="49"/>
      <c r="S60"/>
    </row>
    <row r="61" spans="3:19">
      <c r="C61" s="31" t="s">
        <v>229</v>
      </c>
      <c r="E61" s="76" t="s">
        <v>155</v>
      </c>
      <c r="G61" s="32">
        <f t="shared" ref="G61:N61" si="14">SUM(G52,G54,G57,G59)</f>
        <v>-95581</v>
      </c>
      <c r="H61" s="32">
        <f t="shared" si="14"/>
        <v>-125884</v>
      </c>
      <c r="I61" s="32">
        <f t="shared" si="14"/>
        <v>-361738</v>
      </c>
      <c r="J61" s="32">
        <f t="shared" si="14"/>
        <v>-90944</v>
      </c>
      <c r="K61" s="32">
        <f t="shared" si="14"/>
        <v>-49079.757043328762</v>
      </c>
      <c r="L61" s="32">
        <f t="shared" si="14"/>
        <v>-20859.033232095106</v>
      </c>
      <c r="M61" s="32">
        <f t="shared" si="14"/>
        <v>21991.472429489058</v>
      </c>
      <c r="N61" s="32">
        <f t="shared" si="14"/>
        <v>95744.569545263061</v>
      </c>
      <c r="O61" s="32">
        <f t="shared" ref="O61:P61" si="15">SUM(O52,O54,O57,O59)</f>
        <v>168215.01189692452</v>
      </c>
      <c r="P61" s="32">
        <f t="shared" si="15"/>
        <v>241838.04709243804</v>
      </c>
      <c r="Q61" s="32"/>
      <c r="R61" s="32"/>
      <c r="S61"/>
    </row>
    <row r="62" spans="3:19">
      <c r="E62" s="49"/>
      <c r="S62"/>
    </row>
    <row r="63" spans="3:19">
      <c r="C63" s="31" t="s">
        <v>230</v>
      </c>
      <c r="E63" s="76" t="s">
        <v>155</v>
      </c>
      <c r="G63" s="32">
        <f>Model!G97</f>
        <v>-94233</v>
      </c>
      <c r="H63" s="32">
        <f>Model!H97</f>
        <v>-135967</v>
      </c>
      <c r="I63" s="32">
        <f>Model!I97</f>
        <v>-356044</v>
      </c>
      <c r="J63" s="32">
        <f>Model!J97</f>
        <v>-94341</v>
      </c>
      <c r="K63" s="32">
        <f>Model!K97</f>
        <v>-75152.107610999999</v>
      </c>
      <c r="L63" s="32">
        <f>Model!L97</f>
        <v>-49884.908329059988</v>
      </c>
      <c r="M63" s="32">
        <f>Model!M97</f>
        <v>-4939.6755949921935</v>
      </c>
      <c r="N63" s="32">
        <f>Model!N97</f>
        <v>63720.508987606278</v>
      </c>
      <c r="O63" s="32">
        <f>Model!O97</f>
        <v>135058.75949344863</v>
      </c>
      <c r="P63" s="32">
        <f>Model!P97</f>
        <v>215814.40017838162</v>
      </c>
      <c r="Q63" s="32"/>
      <c r="R63" s="32"/>
      <c r="S63"/>
    </row>
    <row r="64" spans="3:19">
      <c r="C64" s="28" t="s">
        <v>231</v>
      </c>
      <c r="E64" s="76" t="s">
        <v>125</v>
      </c>
      <c r="G64" s="51">
        <f>G63/G43</f>
        <v>-2.8063910894037765</v>
      </c>
      <c r="H64" s="51">
        <f>H63/H43</f>
        <v>-3.3139242974481466</v>
      </c>
      <c r="I64" s="51">
        <f t="shared" ref="I64:P64" si="16">I63/I43</f>
        <v>-4.275315505709723</v>
      </c>
      <c r="J64" s="51">
        <f t="shared" si="16"/>
        <v>-0.84914627231078033</v>
      </c>
      <c r="K64" s="51">
        <f t="shared" si="16"/>
        <v>-0.44468702728402365</v>
      </c>
      <c r="L64" s="51">
        <f t="shared" si="16"/>
        <v>-0.19578986580631735</v>
      </c>
      <c r="M64" s="51">
        <f t="shared" si="16"/>
        <v>-1.3523940537450502E-2</v>
      </c>
      <c r="N64" s="51">
        <f t="shared" si="16"/>
        <v>0.11903526129808263</v>
      </c>
      <c r="O64" s="51">
        <f t="shared" si="16"/>
        <v>0.18961818868937974</v>
      </c>
      <c r="P64" s="51">
        <f t="shared" si="16"/>
        <v>0.23640252565616537</v>
      </c>
      <c r="Q64" s="146"/>
      <c r="R64" s="32"/>
      <c r="S64"/>
    </row>
    <row r="65" spans="2:19">
      <c r="S65"/>
    </row>
    <row r="66" spans="2:19">
      <c r="B66" s="8" t="s">
        <v>232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S66"/>
    </row>
    <row r="67" spans="2:19">
      <c r="B67" s="87"/>
      <c r="S67"/>
    </row>
    <row r="68" spans="2:19">
      <c r="D68" s="30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2:19">
      <c r="D69" s="301"/>
      <c r="E69" s="473"/>
      <c r="F69" s="473"/>
      <c r="G69" s="473"/>
      <c r="H69" s="473"/>
      <c r="I69" s="473"/>
      <c r="J69" s="474"/>
      <c r="K69" s="475" t="s">
        <v>233</v>
      </c>
      <c r="L69" s="473"/>
      <c r="M69" s="473"/>
      <c r="N69" s="473"/>
      <c r="O69" s="473"/>
      <c r="P69" s="473"/>
    </row>
    <row r="70" spans="2:19">
      <c r="D70" s="301"/>
      <c r="E70" s="476">
        <f>K37</f>
        <v>48.247637233096206</v>
      </c>
      <c r="F70" s="477">
        <v>0.10299999999999999</v>
      </c>
      <c r="G70" s="478">
        <f>F70+0.001</f>
        <v>0.104</v>
      </c>
      <c r="H70" s="478">
        <f t="shared" ref="H70:P70" si="17">G70+0.001</f>
        <v>0.105</v>
      </c>
      <c r="I70" s="478">
        <f t="shared" si="17"/>
        <v>0.106</v>
      </c>
      <c r="J70" s="478">
        <f t="shared" si="17"/>
        <v>0.107</v>
      </c>
      <c r="K70" s="478">
        <f t="shared" si="17"/>
        <v>0.108</v>
      </c>
      <c r="L70" s="478">
        <f t="shared" si="17"/>
        <v>0.109</v>
      </c>
      <c r="M70" s="478">
        <f t="shared" si="17"/>
        <v>0.11</v>
      </c>
      <c r="N70" s="478">
        <f t="shared" si="17"/>
        <v>0.111</v>
      </c>
      <c r="O70" s="478">
        <f t="shared" si="17"/>
        <v>0.112</v>
      </c>
      <c r="P70" s="478">
        <f t="shared" si="17"/>
        <v>0.113</v>
      </c>
    </row>
    <row r="71" spans="2:19">
      <c r="D71" s="301"/>
      <c r="E71" s="479">
        <v>19</v>
      </c>
      <c r="F71" s="60">
        <f t="dataTable" ref="F71:P81" dt2D="1" dtr="1" r1="F15" r2="K10" ca="1"/>
        <v>58.114416351812366</v>
      </c>
      <c r="G71" s="60">
        <v>57.873838763423606</v>
      </c>
      <c r="H71" s="60">
        <v>57.63455090950923</v>
      </c>
      <c r="I71" s="60">
        <v>57.396544700211116</v>
      </c>
      <c r="J71" s="60">
        <v>57.159812103737806</v>
      </c>
      <c r="K71" s="480">
        <v>56.924345145895117</v>
      </c>
      <c r="L71" s="60">
        <v>56.690135909621731</v>
      </c>
      <c r="M71" s="60">
        <v>56.457176534527925</v>
      </c>
      <c r="N71" s="60">
        <v>56.225459216439525</v>
      </c>
      <c r="O71" s="60">
        <v>55.994976206945047</v>
      </c>
      <c r="P71" s="60">
        <v>55.765719812947502</v>
      </c>
    </row>
    <row r="72" spans="2:19">
      <c r="D72" s="301"/>
      <c r="E72" s="481">
        <f>E71-0.2</f>
        <v>18.8</v>
      </c>
      <c r="F72" s="60">
        <v>57.61140533559351</v>
      </c>
      <c r="G72" s="60">
        <v>57.373101753497359</v>
      </c>
      <c r="H72" s="60">
        <v>57.136075580661803</v>
      </c>
      <c r="I72" s="60">
        <v>56.900318805095388</v>
      </c>
      <c r="J72" s="60">
        <v>56.665823472311629</v>
      </c>
      <c r="K72" s="480">
        <v>56.432581684864225</v>
      </c>
      <c r="L72" s="60">
        <v>56.200585601887049</v>
      </c>
      <c r="M72" s="60">
        <v>55.969827438637438</v>
      </c>
      <c r="N72" s="60">
        <v>55.740299466044512</v>
      </c>
      <c r="O72" s="60">
        <v>55.511994010260764</v>
      </c>
      <c r="P72" s="60">
        <v>55.284903452218188</v>
      </c>
    </row>
    <row r="73" spans="2:19">
      <c r="D73" s="8" t="s">
        <v>473</v>
      </c>
      <c r="E73" s="481">
        <f t="shared" ref="E73:E81" si="18">E72-0.2</f>
        <v>18.600000000000001</v>
      </c>
      <c r="F73" s="60">
        <v>57.108394319374646</v>
      </c>
      <c r="G73" s="60">
        <v>56.87236474357114</v>
      </c>
      <c r="H73" s="60">
        <v>56.637600251814384</v>
      </c>
      <c r="I73" s="60">
        <v>56.404092909979646</v>
      </c>
      <c r="J73" s="60">
        <v>56.171834840885445</v>
      </c>
      <c r="K73" s="480">
        <v>55.940818223833332</v>
      </c>
      <c r="L73" s="60">
        <v>55.711035294152353</v>
      </c>
      <c r="M73" s="60">
        <v>55.48247834274693</v>
      </c>
      <c r="N73" s="60">
        <v>55.255139715649491</v>
      </c>
      <c r="O73" s="60">
        <v>55.02901181357646</v>
      </c>
      <c r="P73" s="60">
        <v>54.804087091488853</v>
      </c>
    </row>
    <row r="74" spans="2:19">
      <c r="D74" s="8" t="s">
        <v>230</v>
      </c>
      <c r="E74" s="481">
        <f t="shared" si="18"/>
        <v>18.400000000000002</v>
      </c>
      <c r="F74" s="60">
        <v>56.605383303155769</v>
      </c>
      <c r="G74" s="60">
        <v>56.371627733644893</v>
      </c>
      <c r="H74" s="60">
        <v>56.139124922966957</v>
      </c>
      <c r="I74" s="60">
        <v>55.907867014863896</v>
      </c>
      <c r="J74" s="60">
        <v>55.677846209459247</v>
      </c>
      <c r="K74" s="480">
        <v>55.449054762802419</v>
      </c>
      <c r="L74" s="60">
        <v>55.221484986417678</v>
      </c>
      <c r="M74" s="60">
        <v>54.995129246856443</v>
      </c>
      <c r="N74" s="60">
        <v>54.769979965254478</v>
      </c>
      <c r="O74" s="60">
        <v>54.546029616892177</v>
      </c>
      <c r="P74" s="60">
        <v>54.323270730759539</v>
      </c>
    </row>
    <row r="75" spans="2:19" ht="18.5">
      <c r="C75" s="147"/>
      <c r="D75" s="8" t="s">
        <v>474</v>
      </c>
      <c r="E75" s="481">
        <f t="shared" si="18"/>
        <v>18.200000000000003</v>
      </c>
      <c r="F75" s="60">
        <v>56.102372286936891</v>
      </c>
      <c r="G75" s="60">
        <v>55.870890723718652</v>
      </c>
      <c r="H75" s="60">
        <v>55.640649594119516</v>
      </c>
      <c r="I75" s="60">
        <v>55.411641119748154</v>
      </c>
      <c r="J75" s="60">
        <v>55.18385757803307</v>
      </c>
      <c r="K75" s="480">
        <v>54.957291301771534</v>
      </c>
      <c r="L75" s="60">
        <v>54.731934678682983</v>
      </c>
      <c r="M75" s="60">
        <v>54.507780150965949</v>
      </c>
      <c r="N75" s="60">
        <v>54.284820214859458</v>
      </c>
      <c r="O75" s="60">
        <v>54.063047420207894</v>
      </c>
      <c r="P75" s="60">
        <v>53.842454370030204</v>
      </c>
    </row>
    <row r="76" spans="2:19">
      <c r="D76" s="8"/>
      <c r="E76" s="481">
        <f t="shared" si="18"/>
        <v>18.000000000000004</v>
      </c>
      <c r="F76" s="480">
        <v>55.599361270718035</v>
      </c>
      <c r="G76" s="480">
        <v>55.370153713792426</v>
      </c>
      <c r="H76" s="480">
        <v>55.142174265272097</v>
      </c>
      <c r="I76" s="480">
        <v>54.915415224632412</v>
      </c>
      <c r="J76" s="480">
        <v>54.689868946606893</v>
      </c>
      <c r="K76" s="480">
        <v>54.46552784074062</v>
      </c>
      <c r="L76" s="480">
        <v>54.242384370948308</v>
      </c>
      <c r="M76" s="480">
        <v>54.020431055075463</v>
      </c>
      <c r="N76" s="480">
        <v>53.799660464464445</v>
      </c>
      <c r="O76" s="480">
        <v>53.58006522352359</v>
      </c>
      <c r="P76" s="480">
        <v>53.361638009300869</v>
      </c>
    </row>
    <row r="77" spans="2:19">
      <c r="D77" s="301"/>
      <c r="E77" s="481">
        <f t="shared" si="18"/>
        <v>17.800000000000004</v>
      </c>
      <c r="F77" s="60">
        <v>55.096350254499157</v>
      </c>
      <c r="G77" s="60">
        <v>54.869416703866186</v>
      </c>
      <c r="H77" s="60">
        <v>54.64369893642467</v>
      </c>
      <c r="I77" s="60">
        <v>54.419189329516669</v>
      </c>
      <c r="J77" s="60">
        <v>54.195880315180695</v>
      </c>
      <c r="K77" s="480">
        <v>53.973764379709728</v>
      </c>
      <c r="L77" s="60">
        <v>53.752834063213626</v>
      </c>
      <c r="M77" s="60">
        <v>53.533081959184955</v>
      </c>
      <c r="N77" s="60">
        <v>53.314500714069425</v>
      </c>
      <c r="O77" s="60">
        <v>53.097083026839307</v>
      </c>
      <c r="P77" s="60">
        <v>52.880821648571555</v>
      </c>
    </row>
    <row r="78" spans="2:19">
      <c r="D78" s="301"/>
      <c r="E78" s="481">
        <f t="shared" si="18"/>
        <v>17.600000000000005</v>
      </c>
      <c r="F78" s="60">
        <v>54.593339238280294</v>
      </c>
      <c r="G78" s="60">
        <v>54.368679693939946</v>
      </c>
      <c r="H78" s="60">
        <v>54.145223607577229</v>
      </c>
      <c r="I78" s="60">
        <v>53.92296343440092</v>
      </c>
      <c r="J78" s="60">
        <v>53.701891683754511</v>
      </c>
      <c r="K78" s="480">
        <v>53.482000918678835</v>
      </c>
      <c r="L78" s="60">
        <v>53.263283755478952</v>
      </c>
      <c r="M78" s="60">
        <v>53.045732863294468</v>
      </c>
      <c r="N78" s="60">
        <v>52.829340963674412</v>
      </c>
      <c r="O78" s="60">
        <v>52.614100830155017</v>
      </c>
      <c r="P78" s="60">
        <v>52.40000528784222</v>
      </c>
    </row>
    <row r="79" spans="2:19">
      <c r="D79" s="301"/>
      <c r="E79" s="481">
        <f t="shared" si="18"/>
        <v>17.400000000000006</v>
      </c>
      <c r="F79" s="60">
        <v>54.090328222061416</v>
      </c>
      <c r="G79" s="60">
        <v>53.86794268401372</v>
      </c>
      <c r="H79" s="60">
        <v>53.64674827872981</v>
      </c>
      <c r="I79" s="60">
        <v>53.426737539285178</v>
      </c>
      <c r="J79" s="60">
        <v>53.207903052328334</v>
      </c>
      <c r="K79" s="480">
        <v>52.990237457647929</v>
      </c>
      <c r="L79" s="60">
        <v>52.773733447744256</v>
      </c>
      <c r="M79" s="60">
        <v>52.558383767403981</v>
      </c>
      <c r="N79" s="60">
        <v>52.344181213279391</v>
      </c>
      <c r="O79" s="60">
        <v>52.13111863347072</v>
      </c>
      <c r="P79" s="60">
        <v>51.919188927112906</v>
      </c>
    </row>
    <row r="80" spans="2:19">
      <c r="D80" s="301"/>
      <c r="E80" s="481">
        <f t="shared" si="18"/>
        <v>17.200000000000006</v>
      </c>
      <c r="F80" s="60">
        <v>53.58731720584256</v>
      </c>
      <c r="G80" s="60">
        <v>53.367205674087479</v>
      </c>
      <c r="H80" s="60">
        <v>53.148272949882383</v>
      </c>
      <c r="I80" s="60">
        <v>52.930511644169435</v>
      </c>
      <c r="J80" s="60">
        <v>52.713914420902157</v>
      </c>
      <c r="K80" s="480">
        <v>52.498473996617037</v>
      </c>
      <c r="L80" s="60">
        <v>52.284183140009574</v>
      </c>
      <c r="M80" s="60">
        <v>52.071034671513495</v>
      </c>
      <c r="N80" s="60">
        <v>51.859021462884378</v>
      </c>
      <c r="O80" s="60">
        <v>51.648136436786437</v>
      </c>
      <c r="P80" s="60">
        <v>51.43837256638357</v>
      </c>
    </row>
    <row r="81" spans="3:16">
      <c r="D81" s="301"/>
      <c r="E81" s="481">
        <f t="shared" si="18"/>
        <v>17.000000000000007</v>
      </c>
      <c r="F81" s="60">
        <v>53.084306189623682</v>
      </c>
      <c r="G81" s="60">
        <v>52.866468664161253</v>
      </c>
      <c r="H81" s="60">
        <v>52.649797621034942</v>
      </c>
      <c r="I81" s="60">
        <v>52.434285749053693</v>
      </c>
      <c r="J81" s="60">
        <v>52.219925789475973</v>
      </c>
      <c r="K81" s="480">
        <v>52.006710535586144</v>
      </c>
      <c r="L81" s="60">
        <v>51.7946328322749</v>
      </c>
      <c r="M81" s="60">
        <v>51.583685575623001</v>
      </c>
      <c r="N81" s="60">
        <v>51.373861712489358</v>
      </c>
      <c r="O81" s="60">
        <v>51.165154240102147</v>
      </c>
      <c r="P81" s="60">
        <v>50.957556205654242</v>
      </c>
    </row>
    <row r="83" spans="3:16">
      <c r="D83" s="30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3:16">
      <c r="D84" s="301"/>
      <c r="E84" s="473"/>
      <c r="F84" s="473"/>
      <c r="G84" s="473"/>
      <c r="H84" s="473"/>
      <c r="I84" s="473"/>
      <c r="J84" s="474"/>
      <c r="K84" s="475" t="s">
        <v>233</v>
      </c>
      <c r="L84" s="473"/>
      <c r="M84" s="473"/>
      <c r="N84" s="473"/>
      <c r="O84" s="473"/>
      <c r="P84" s="473"/>
    </row>
    <row r="85" spans="3:16">
      <c r="D85" s="301"/>
      <c r="E85" s="476">
        <f>P37</f>
        <v>43.644298784280544</v>
      </c>
      <c r="F85" s="477">
        <v>0.10299999999999999</v>
      </c>
      <c r="G85" s="478">
        <f>F85+0.001</f>
        <v>0.104</v>
      </c>
      <c r="H85" s="478">
        <f t="shared" ref="H85:P85" si="19">G85+0.001</f>
        <v>0.105</v>
      </c>
      <c r="I85" s="478">
        <f t="shared" si="19"/>
        <v>0.106</v>
      </c>
      <c r="J85" s="478">
        <f t="shared" si="19"/>
        <v>0.107</v>
      </c>
      <c r="K85" s="478">
        <f t="shared" si="19"/>
        <v>0.108</v>
      </c>
      <c r="L85" s="478">
        <f t="shared" si="19"/>
        <v>0.109</v>
      </c>
      <c r="M85" s="478">
        <f t="shared" si="19"/>
        <v>0.11</v>
      </c>
      <c r="N85" s="478">
        <f t="shared" si="19"/>
        <v>0.111</v>
      </c>
      <c r="O85" s="478">
        <f t="shared" si="19"/>
        <v>0.112</v>
      </c>
      <c r="P85" s="478">
        <f t="shared" si="19"/>
        <v>0.113</v>
      </c>
    </row>
    <row r="86" spans="3:16">
      <c r="D86" s="301"/>
      <c r="E86" s="479">
        <v>3.5000000000000003E-2</v>
      </c>
      <c r="F86" s="60">
        <f t="dataTable" ref="F86:P96" dt2D="1" dtr="1" r1="F15" r2="P10"/>
        <v>55.396725091029417</v>
      </c>
      <c r="G86" s="60">
        <v>54.538538300573478</v>
      </c>
      <c r="H86" s="60">
        <v>53.705172950780195</v>
      </c>
      <c r="I86" s="60">
        <v>52.895579460620027</v>
      </c>
      <c r="J86" s="60">
        <v>52.108766559482696</v>
      </c>
      <c r="K86" s="480">
        <v>51.343797293340629</v>
      </c>
      <c r="L86" s="60">
        <v>50.599785354736959</v>
      </c>
      <c r="M86" s="60">
        <v>49.875891706373636</v>
      </c>
      <c r="N86" s="60">
        <v>49.171321471258231</v>
      </c>
      <c r="O86" s="60">
        <v>48.485321065176286</v>
      </c>
      <c r="P86" s="60">
        <v>47.817175549742579</v>
      </c>
    </row>
    <row r="87" spans="3:16">
      <c r="D87" s="8" t="s">
        <v>472</v>
      </c>
      <c r="E87" s="481">
        <f>E86-0.2%</f>
        <v>3.3000000000000002E-2</v>
      </c>
      <c r="F87" s="60">
        <v>54.024901220710319</v>
      </c>
      <c r="G87" s="60">
        <v>53.209856421805931</v>
      </c>
      <c r="H87" s="60">
        <v>52.417746835358209</v>
      </c>
      <c r="I87" s="60">
        <v>51.647629142821721</v>
      </c>
      <c r="J87" s="60">
        <v>50.898611016258144</v>
      </c>
      <c r="K87" s="480">
        <v>50.169847718989089</v>
      </c>
      <c r="L87" s="60">
        <v>49.460538974618302</v>
      </c>
      <c r="M87" s="60">
        <v>48.7699260800253</v>
      </c>
      <c r="N87" s="60">
        <v>48.097289240436432</v>
      </c>
      <c r="O87" s="60">
        <v>47.441945106894842</v>
      </c>
      <c r="P87" s="60">
        <v>46.803244498420142</v>
      </c>
    </row>
    <row r="88" spans="3:16">
      <c r="D88" s="8" t="s">
        <v>469</v>
      </c>
      <c r="E88" s="481">
        <f t="shared" ref="E88:E96" si="20">E87-0.2%</f>
        <v>3.1E-2</v>
      </c>
      <c r="F88" s="60">
        <v>52.729286465462799</v>
      </c>
      <c r="G88" s="60">
        <v>51.953975764289154</v>
      </c>
      <c r="H88" s="60">
        <v>51.199908110826399</v>
      </c>
      <c r="I88" s="60">
        <v>50.466233019142699</v>
      </c>
      <c r="J88" s="60">
        <v>49.752144766189872</v>
      </c>
      <c r="K88" s="480">
        <v>49.05687948514786</v>
      </c>
      <c r="L88" s="60">
        <v>48.379712482358485</v>
      </c>
      <c r="M88" s="60">
        <v>47.719955758034914</v>
      </c>
      <c r="N88" s="60">
        <v>47.076955712918647</v>
      </c>
      <c r="O88" s="60">
        <v>46.450091024812352</v>
      </c>
      <c r="P88" s="60">
        <v>45.8387706804888</v>
      </c>
    </row>
    <row r="89" spans="3:16">
      <c r="D89" s="8" t="s">
        <v>470</v>
      </c>
      <c r="E89" s="481">
        <f t="shared" si="20"/>
        <v>2.8999999999999998E-2</v>
      </c>
      <c r="F89" s="60">
        <v>51.503701726407556</v>
      </c>
      <c r="G89" s="60">
        <v>50.765072248544001</v>
      </c>
      <c r="H89" s="60">
        <v>50.046163053691103</v>
      </c>
      <c r="I89" s="60">
        <v>49.346205066055887</v>
      </c>
      <c r="J89" s="60">
        <v>48.664468650143739</v>
      </c>
      <c r="K89" s="480">
        <v>48.000261114561368</v>
      </c>
      <c r="L89" s="60">
        <v>47.352924403034365</v>
      </c>
      <c r="M89" s="60">
        <v>46.72183295645975</v>
      </c>
      <c r="N89" s="60">
        <v>46.1063917313937</v>
      </c>
      <c r="O89" s="60">
        <v>45.506034361780372</v>
      </c>
      <c r="P89" s="60">
        <v>44.920221451985846</v>
      </c>
    </row>
    <row r="90" spans="3:16" ht="18.5">
      <c r="C90" s="147"/>
      <c r="D90" s="8" t="s">
        <v>471</v>
      </c>
      <c r="E90" s="481">
        <f t="shared" si="20"/>
        <v>2.6999999999999996E-2</v>
      </c>
      <c r="F90" s="60">
        <v>50.342618335988149</v>
      </c>
      <c r="G90" s="60">
        <v>49.637926894122621</v>
      </c>
      <c r="H90" s="60">
        <v>48.951581399145823</v>
      </c>
      <c r="I90" s="60">
        <v>48.282884426843331</v>
      </c>
      <c r="J90" s="60">
        <v>47.63117342477122</v>
      </c>
      <c r="K90" s="480">
        <v>46.995818559700872</v>
      </c>
      <c r="L90" s="60">
        <v>46.37622072256783</v>
      </c>
      <c r="M90" s="60">
        <v>45.771809677640221</v>
      </c>
      <c r="N90" s="60">
        <v>45.182042343889897</v>
      </c>
      <c r="O90" s="60">
        <v>44.606401197677293</v>
      </c>
      <c r="P90" s="60">
        <v>44.044392786877239</v>
      </c>
    </row>
    <row r="91" spans="3:16">
      <c r="D91" s="8"/>
      <c r="E91" s="481">
        <f t="shared" si="20"/>
        <v>2.4999999999999994E-2</v>
      </c>
      <c r="F91" s="480">
        <v>49.24107466934128</v>
      </c>
      <c r="G91" s="480">
        <v>48.567849224795609</v>
      </c>
      <c r="H91" s="480">
        <v>47.911725908736351</v>
      </c>
      <c r="I91" s="480">
        <v>47.272070576188895</v>
      </c>
      <c r="J91" s="480">
        <v>46.648280016682961</v>
      </c>
      <c r="K91" s="480">
        <v>46.039780090750511</v>
      </c>
      <c r="L91" s="480">
        <v>45.446023999530937</v>
      </c>
      <c r="M91" s="480">
        <v>44.866490676520762</v>
      </c>
      <c r="N91" s="480">
        <v>44.300683291527378</v>
      </c>
      <c r="O91" s="480">
        <v>43.748127857797073</v>
      </c>
      <c r="P91" s="480">
        <v>43.208371934111995</v>
      </c>
    </row>
    <row r="92" spans="3:16">
      <c r="D92" s="301"/>
      <c r="E92" s="481">
        <f t="shared" si="20"/>
        <v>2.2999999999999993E-2</v>
      </c>
      <c r="F92" s="60">
        <v>48.194605263961208</v>
      </c>
      <c r="G92" s="60">
        <v>47.550612021118766</v>
      </c>
      <c r="H92" s="60">
        <v>46.922592245197208</v>
      </c>
      <c r="I92" s="60">
        <v>46.309967858564804</v>
      </c>
      <c r="J92" s="60">
        <v>45.712188311740604</v>
      </c>
      <c r="K92" s="480">
        <v>45.128728964112696</v>
      </c>
      <c r="L92" s="60">
        <v>44.559089577629685</v>
      </c>
      <c r="M92" s="60">
        <v>44.002792914374496</v>
      </c>
      <c r="N92" s="60">
        <v>43.459383429758724</v>
      </c>
      <c r="O92" s="60">
        <v>42.928426053814896</v>
      </c>
      <c r="P92" s="60">
        <v>42.409505053736382</v>
      </c>
    </row>
    <row r="93" spans="3:16">
      <c r="D93" s="301"/>
      <c r="E93" s="481">
        <f t="shared" si="20"/>
        <v>2.0999999999999991E-2</v>
      </c>
      <c r="F93" s="60">
        <v>47.199180312096502</v>
      </c>
      <c r="G93" s="60">
        <v>46.582395506363859</v>
      </c>
      <c r="H93" s="60">
        <v>45.980557436596833</v>
      </c>
      <c r="I93" s="60">
        <v>45.393137856492828</v>
      </c>
      <c r="J93" s="60">
        <v>44.81963309002861</v>
      </c>
      <c r="K93" s="480">
        <v>44.259562619395638</v>
      </c>
      <c r="L93" s="60">
        <v>43.712467769212509</v>
      </c>
      <c r="M93" s="60">
        <v>43.177910479441522</v>
      </c>
      <c r="N93" s="60">
        <v>42.655472160110797</v>
      </c>
      <c r="O93" s="60">
        <v>42.144752621548427</v>
      </c>
      <c r="P93" s="60">
        <v>41.64536907438422</v>
      </c>
    </row>
    <row r="94" spans="3:16">
      <c r="D94" s="301"/>
      <c r="E94" s="481">
        <f t="shared" si="20"/>
        <v>1.8999999999999989E-2</v>
      </c>
      <c r="F94" s="60">
        <v>46.25115379708987</v>
      </c>
      <c r="G94" s="60">
        <v>45.659739412082516</v>
      </c>
      <c r="H94" s="60">
        <v>45.082335531532571</v>
      </c>
      <c r="I94" s="60">
        <v>44.518458328700753</v>
      </c>
      <c r="J94" s="60">
        <v>43.967645969693727</v>
      </c>
      <c r="K94" s="480">
        <v>43.429457377930518</v>
      </c>
      <c r="L94" s="60">
        <v>42.903471080977788</v>
      </c>
      <c r="M94" s="60">
        <v>42.3892841334171</v>
      </c>
      <c r="N94" s="60">
        <v>41.886511109960281</v>
      </c>
      <c r="O94" s="60">
        <v>41.39478316352411</v>
      </c>
      <c r="P94" s="60">
        <v>40.913747143428132</v>
      </c>
    </row>
    <row r="95" spans="3:16">
      <c r="D95" s="301"/>
      <c r="E95" s="481">
        <f t="shared" si="20"/>
        <v>1.6999999999999987E-2</v>
      </c>
      <c r="F95" s="60">
        <v>45.347218866507944</v>
      </c>
      <c r="G95" s="60">
        <v>44.779501655316544</v>
      </c>
      <c r="H95" s="60">
        <v>44.224939301344264</v>
      </c>
      <c r="I95" s="60">
        <v>43.683087684706877</v>
      </c>
      <c r="J95" s="60">
        <v>43.153522424938984</v>
      </c>
      <c r="K95" s="480">
        <v>42.635837796429428</v>
      </c>
      <c r="L95" s="60">
        <v>42.129645714588825</v>
      </c>
      <c r="M95" s="60">
        <v>41.634574787425123</v>
      </c>
      <c r="N95" s="60">
        <v>41.150269427657022</v>
      </c>
      <c r="O95" s="60">
        <v>40.676389020903521</v>
      </c>
      <c r="P95" s="60">
        <v>40.212607145861867</v>
      </c>
    </row>
    <row r="96" spans="3:16">
      <c r="D96" s="301"/>
      <c r="E96" s="481">
        <f t="shared" si="20"/>
        <v>1.4999999999999987E-2</v>
      </c>
      <c r="F96" s="60">
        <v>44.484369290753207</v>
      </c>
      <c r="G96" s="60">
        <v>43.938822587420312</v>
      </c>
      <c r="H96" s="60">
        <v>43.405647048699528</v>
      </c>
      <c r="I96" s="60">
        <v>42.88443414407493</v>
      </c>
      <c r="J96" s="60">
        <v>42.374793106018757</v>
      </c>
      <c r="K96" s="480">
        <v>41.876349975009845</v>
      </c>
      <c r="L96" s="60">
        <v>41.38874670550846</v>
      </c>
      <c r="M96" s="60">
        <v>40.911640328395045</v>
      </c>
      <c r="N96" s="60">
        <v>40.444702165756837</v>
      </c>
      <c r="O96" s="60">
        <v>39.98761709424349</v>
      </c>
      <c r="P96" s="60">
        <v>39.540082853523494</v>
      </c>
    </row>
    <row r="98" spans="4:16">
      <c r="D98" s="30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4:16">
      <c r="D99" s="301"/>
      <c r="E99" s="473"/>
      <c r="F99" s="473"/>
      <c r="G99" s="473"/>
      <c r="H99" s="473"/>
      <c r="I99" s="473"/>
      <c r="J99" s="474"/>
      <c r="K99" s="475" t="s">
        <v>233</v>
      </c>
      <c r="L99" s="473"/>
      <c r="M99" s="473"/>
      <c r="N99" s="473"/>
      <c r="O99" s="473"/>
      <c r="P99" s="473"/>
    </row>
    <row r="100" spans="4:16">
      <c r="D100" s="301"/>
      <c r="E100" s="476">
        <f>F176</f>
        <v>36.426273712443589</v>
      </c>
      <c r="F100" s="477">
        <v>0.10299999999999999</v>
      </c>
      <c r="G100" s="478">
        <f>F100+0.001</f>
        <v>0.104</v>
      </c>
      <c r="H100" s="478">
        <f t="shared" ref="H100" si="21">G100+0.001</f>
        <v>0.105</v>
      </c>
      <c r="I100" s="478">
        <f t="shared" ref="I100" si="22">H100+0.001</f>
        <v>0.106</v>
      </c>
      <c r="J100" s="478">
        <f t="shared" ref="J100" si="23">I100+0.001</f>
        <v>0.107</v>
      </c>
      <c r="K100" s="478">
        <f t="shared" ref="K100" si="24">J100+0.001</f>
        <v>0.108</v>
      </c>
      <c r="L100" s="478">
        <f t="shared" ref="L100" si="25">K100+0.001</f>
        <v>0.109</v>
      </c>
      <c r="M100" s="478">
        <f t="shared" ref="M100" si="26">L100+0.001</f>
        <v>0.11</v>
      </c>
      <c r="N100" s="478">
        <f t="shared" ref="N100" si="27">M100+0.001</f>
        <v>0.111</v>
      </c>
      <c r="O100" s="478">
        <f t="shared" ref="O100" si="28">N100+0.001</f>
        <v>0.112</v>
      </c>
      <c r="P100" s="478">
        <f t="shared" ref="P100" si="29">O100+0.001</f>
        <v>0.113</v>
      </c>
    </row>
    <row r="101" spans="4:16">
      <c r="D101" s="301"/>
      <c r="E101" s="479">
        <v>0.55000000000000004</v>
      </c>
      <c r="F101" s="60">
        <f t="dataTable" ref="F101:P111" dt2D="1" dtr="1" r1="F15" r2="E121" ca="1"/>
        <v>45.871788218330956</v>
      </c>
      <c r="G101" s="60">
        <v>45.68437632193335</v>
      </c>
      <c r="H101" s="60">
        <v>45.497969366817905</v>
      </c>
      <c r="I101" s="60">
        <v>45.312561052875495</v>
      </c>
      <c r="J101" s="60">
        <v>45.128145125190478</v>
      </c>
      <c r="K101" s="480">
        <v>44.944715373675677</v>
      </c>
      <c r="L101" s="60">
        <v>44.762265632710914</v>
      </c>
      <c r="M101" s="60">
        <v>44.580789780784407</v>
      </c>
      <c r="N101" s="60">
        <v>44.400281740137892</v>
      </c>
      <c r="O101" s="60">
        <v>44.220735476414319</v>
      </c>
      <c r="P101" s="60">
        <v>44.042144998309311</v>
      </c>
    </row>
    <row r="102" spans="4:16">
      <c r="D102" s="301"/>
      <c r="E102" s="481">
        <f>E101+1%</f>
        <v>0.56000000000000005</v>
      </c>
      <c r="F102" s="60">
        <v>44.142331355637815</v>
      </c>
      <c r="G102" s="60">
        <v>43.962276246974923</v>
      </c>
      <c r="H102" s="60">
        <v>43.783187146303987</v>
      </c>
      <c r="I102" s="60">
        <v>43.605057996302534</v>
      </c>
      <c r="J102" s="60">
        <v>43.427882783104621</v>
      </c>
      <c r="K102" s="480">
        <v>43.251655535949709</v>
      </c>
      <c r="L102" s="60">
        <v>43.07637032683521</v>
      </c>
      <c r="M102" s="60">
        <v>42.902021270171495</v>
      </c>
      <c r="N102" s="60">
        <v>42.728602522440781</v>
      </c>
      <c r="O102" s="60">
        <v>42.556108281858194</v>
      </c>
      <c r="P102" s="60">
        <v>42.384532788036772</v>
      </c>
    </row>
    <row r="103" spans="4:16">
      <c r="D103" s="301"/>
      <c r="E103" s="481">
        <f t="shared" ref="E103:E111" si="30">E102+1%</f>
        <v>0.57000000000000006</v>
      </c>
      <c r="F103" s="60">
        <v>42.41287449294466</v>
      </c>
      <c r="G103" s="60">
        <v>42.24017617201649</v>
      </c>
      <c r="H103" s="60">
        <v>42.068404925790063</v>
      </c>
      <c r="I103" s="60">
        <v>41.897554939729574</v>
      </c>
      <c r="J103" s="60">
        <v>41.727620441018743</v>
      </c>
      <c r="K103" s="480">
        <v>41.558595698223726</v>
      </c>
      <c r="L103" s="60">
        <v>41.390475020959478</v>
      </c>
      <c r="M103" s="60">
        <v>41.223252759558584</v>
      </c>
      <c r="N103" s="60">
        <v>41.056923304743648</v>
      </c>
      <c r="O103" s="60">
        <v>40.891481087302054</v>
      </c>
      <c r="P103" s="60">
        <v>40.726920577764211</v>
      </c>
    </row>
    <row r="104" spans="4:16">
      <c r="D104" s="301"/>
      <c r="E104" s="481">
        <f t="shared" si="30"/>
        <v>0.58000000000000007</v>
      </c>
      <c r="F104" s="60">
        <v>40.683417630251526</v>
      </c>
      <c r="G104" s="60">
        <v>40.518076097058071</v>
      </c>
      <c r="H104" s="60">
        <v>40.353622705276138</v>
      </c>
      <c r="I104" s="60">
        <v>40.190051883156613</v>
      </c>
      <c r="J104" s="60">
        <v>40.027358098932886</v>
      </c>
      <c r="K104" s="480">
        <v>39.865535860497765</v>
      </c>
      <c r="L104" s="60">
        <v>39.704579715083781</v>
      </c>
      <c r="M104" s="60">
        <v>39.544484248945686</v>
      </c>
      <c r="N104" s="60">
        <v>39.38524408704653</v>
      </c>
      <c r="O104" s="60">
        <v>39.226853892745943</v>
      </c>
      <c r="P104" s="60">
        <v>39.069308367491672</v>
      </c>
    </row>
    <row r="105" spans="4:16">
      <c r="D105" s="301"/>
      <c r="E105" s="481">
        <f t="shared" si="30"/>
        <v>0.59000000000000008</v>
      </c>
      <c r="F105" s="60">
        <v>38.953960767558392</v>
      </c>
      <c r="G105" s="60">
        <v>38.795976022099659</v>
      </c>
      <c r="H105" s="60">
        <v>38.638840484762234</v>
      </c>
      <c r="I105" s="60">
        <v>38.482548826583667</v>
      </c>
      <c r="J105" s="60">
        <v>38.327095756847029</v>
      </c>
      <c r="K105" s="480">
        <v>38.172476022771818</v>
      </c>
      <c r="L105" s="60">
        <v>38.018684409208085</v>
      </c>
      <c r="M105" s="60">
        <v>37.865715738332781</v>
      </c>
      <c r="N105" s="60">
        <v>37.713564869349419</v>
      </c>
      <c r="O105" s="60">
        <v>37.562226698189832</v>
      </c>
      <c r="P105" s="60">
        <v>37.41169615721914</v>
      </c>
    </row>
    <row r="106" spans="4:16">
      <c r="D106" s="8" t="s">
        <v>467</v>
      </c>
      <c r="E106" s="481">
        <f t="shared" si="30"/>
        <v>0.60000000000000009</v>
      </c>
      <c r="F106" s="480">
        <v>37.224503904865244</v>
      </c>
      <c r="G106" s="480">
        <v>37.073875947141232</v>
      </c>
      <c r="H106" s="480">
        <v>36.924058264248302</v>
      </c>
      <c r="I106" s="480">
        <v>36.775045770010699</v>
      </c>
      <c r="J106" s="480">
        <v>36.626833414761151</v>
      </c>
      <c r="K106" s="480">
        <v>36.479416185045842</v>
      </c>
      <c r="L106" s="480">
        <v>36.332789103332367</v>
      </c>
      <c r="M106" s="480">
        <v>36.18694722771987</v>
      </c>
      <c r="N106" s="480">
        <v>36.041885651652287</v>
      </c>
      <c r="O106" s="480">
        <v>35.897599503633693</v>
      </c>
      <c r="P106" s="480">
        <v>35.754083946946594</v>
      </c>
    </row>
    <row r="107" spans="4:16">
      <c r="D107" s="301"/>
      <c r="E107" s="481">
        <f t="shared" si="30"/>
        <v>0.6100000000000001</v>
      </c>
      <c r="F107" s="60">
        <v>35.495047042172104</v>
      </c>
      <c r="G107" s="60">
        <v>35.351775872182813</v>
      </c>
      <c r="H107" s="60">
        <v>35.209276043734384</v>
      </c>
      <c r="I107" s="60">
        <v>35.067542713437739</v>
      </c>
      <c r="J107" s="60">
        <v>34.926571072675287</v>
      </c>
      <c r="K107" s="480">
        <v>34.786356347319881</v>
      </c>
      <c r="L107" s="60">
        <v>34.646893797456663</v>
      </c>
      <c r="M107" s="60">
        <v>34.508178717106958</v>
      </c>
      <c r="N107" s="60">
        <v>34.370206433955168</v>
      </c>
      <c r="O107" s="60">
        <v>34.232972309077581</v>
      </c>
      <c r="P107" s="60">
        <v>34.096471736674047</v>
      </c>
    </row>
    <row r="108" spans="4:16">
      <c r="D108" s="301"/>
      <c r="E108" s="481">
        <f t="shared" si="30"/>
        <v>0.62000000000000011</v>
      </c>
      <c r="F108" s="60">
        <v>33.765590179478956</v>
      </c>
      <c r="G108" s="60">
        <v>33.62967579722438</v>
      </c>
      <c r="H108" s="60">
        <v>33.494493823220452</v>
      </c>
      <c r="I108" s="60">
        <v>33.360039656864771</v>
      </c>
      <c r="J108" s="60">
        <v>33.226308730589409</v>
      </c>
      <c r="K108" s="480">
        <v>33.093296509593898</v>
      </c>
      <c r="L108" s="60">
        <v>32.960998491580938</v>
      </c>
      <c r="M108" s="60">
        <v>32.829410206494039</v>
      </c>
      <c r="N108" s="60">
        <v>32.698527216258043</v>
      </c>
      <c r="O108" s="60">
        <v>32.568345114521449</v>
      </c>
      <c r="P108" s="60">
        <v>32.438859526401494</v>
      </c>
    </row>
    <row r="109" spans="4:16">
      <c r="D109" s="301"/>
      <c r="E109" s="481">
        <f t="shared" si="30"/>
        <v>0.63000000000000012</v>
      </c>
      <c r="F109" s="60">
        <v>32.036133316785815</v>
      </c>
      <c r="G109" s="60">
        <v>31.907575722265964</v>
      </c>
      <c r="H109" s="60">
        <v>31.779711602706534</v>
      </c>
      <c r="I109" s="60">
        <v>31.652536600291814</v>
      </c>
      <c r="J109" s="60">
        <v>31.526046388503548</v>
      </c>
      <c r="K109" s="480">
        <v>31.400236671867944</v>
      </c>
      <c r="L109" s="60">
        <v>31.275103185705234</v>
      </c>
      <c r="M109" s="60">
        <v>31.150641695881138</v>
      </c>
      <c r="N109" s="60">
        <v>31.026847998560928</v>
      </c>
      <c r="O109" s="60">
        <v>30.903717919965327</v>
      </c>
      <c r="P109" s="60">
        <v>30.781247316128962</v>
      </c>
    </row>
    <row r="110" spans="4:16">
      <c r="D110" s="301"/>
      <c r="E110" s="481">
        <f t="shared" si="30"/>
        <v>0.64000000000000012</v>
      </c>
      <c r="F110" s="60">
        <v>30.306676454092681</v>
      </c>
      <c r="G110" s="60">
        <v>30.185475647307541</v>
      </c>
      <c r="H110" s="60">
        <v>30.06492938219262</v>
      </c>
      <c r="I110" s="60">
        <v>29.945033543718857</v>
      </c>
      <c r="J110" s="60">
        <v>29.825784046417688</v>
      </c>
      <c r="K110" s="480">
        <v>29.707176834141983</v>
      </c>
      <c r="L110" s="60">
        <v>29.589207879829534</v>
      </c>
      <c r="M110" s="60">
        <v>29.471873185268233</v>
      </c>
      <c r="N110" s="60">
        <v>29.355168780863814</v>
      </c>
      <c r="O110" s="60">
        <v>29.239090725409206</v>
      </c>
      <c r="P110" s="60">
        <v>29.123635105856419</v>
      </c>
    </row>
    <row r="111" spans="4:16">
      <c r="D111" s="301"/>
      <c r="E111" s="481">
        <f t="shared" si="30"/>
        <v>0.65000000000000013</v>
      </c>
      <c r="F111" s="60">
        <v>28.577219591399537</v>
      </c>
      <c r="G111" s="60">
        <v>28.463375572349118</v>
      </c>
      <c r="H111" s="60">
        <v>28.350147161678695</v>
      </c>
      <c r="I111" s="60">
        <v>28.237530487145897</v>
      </c>
      <c r="J111" s="60">
        <v>28.12552170433182</v>
      </c>
      <c r="K111" s="480">
        <v>28.014116996416014</v>
      </c>
      <c r="L111" s="60">
        <v>27.903312573953823</v>
      </c>
      <c r="M111" s="60">
        <v>27.793104674655325</v>
      </c>
      <c r="N111" s="60">
        <v>27.683489563166692</v>
      </c>
      <c r="O111" s="60">
        <v>27.574463530853084</v>
      </c>
      <c r="P111" s="60">
        <v>27.466022895583873</v>
      </c>
    </row>
    <row r="115" spans="2:16">
      <c r="B115" s="4"/>
      <c r="C115" s="4"/>
      <c r="D115" s="4"/>
      <c r="E115" s="4"/>
      <c r="F115" s="4"/>
      <c r="G115" s="4"/>
      <c r="H115" s="5"/>
      <c r="I115" s="6" t="s">
        <v>110</v>
      </c>
      <c r="J115" s="5"/>
      <c r="K115" s="7"/>
      <c r="L115" s="5"/>
      <c r="M115" s="6" t="s">
        <v>111</v>
      </c>
      <c r="N115" s="5"/>
      <c r="O115" s="5"/>
      <c r="P115" s="5"/>
    </row>
    <row r="116" spans="2:16">
      <c r="B116" s="8" t="s">
        <v>468</v>
      </c>
      <c r="C116" s="4"/>
      <c r="D116" s="4"/>
      <c r="E116" s="9" t="s">
        <v>112</v>
      </c>
      <c r="F116" s="10"/>
      <c r="G116" s="10"/>
      <c r="H116" s="11">
        <v>44926</v>
      </c>
      <c r="I116" s="11">
        <v>45291</v>
      </c>
      <c r="J116" s="11">
        <v>45657</v>
      </c>
      <c r="K116" s="88">
        <v>46022</v>
      </c>
      <c r="L116" s="11">
        <v>46387</v>
      </c>
      <c r="M116" s="42">
        <v>46752</v>
      </c>
      <c r="N116" s="11">
        <v>47118</v>
      </c>
      <c r="O116" s="11">
        <v>47483</v>
      </c>
      <c r="P116" s="11">
        <v>47848</v>
      </c>
    </row>
    <row r="118" spans="2:16">
      <c r="C118" s="31" t="s">
        <v>0</v>
      </c>
      <c r="E118" s="76" t="s">
        <v>155</v>
      </c>
      <c r="G118" s="32">
        <v>33578</v>
      </c>
      <c r="H118" s="32">
        <v>41029</v>
      </c>
      <c r="I118" s="32">
        <v>83279</v>
      </c>
      <c r="J118" s="32">
        <v>111101</v>
      </c>
      <c r="K118" s="32">
        <v>161096.44999999998</v>
      </c>
      <c r="L118" s="32">
        <v>226251.22374999995</v>
      </c>
      <c r="M118" s="32">
        <v>313168.85985374992</v>
      </c>
      <c r="N118" s="32">
        <v>458122.67105581675</v>
      </c>
      <c r="O118" s="32">
        <v>608749.07105997053</v>
      </c>
      <c r="P118" s="32">
        <v>779173.47173090244</v>
      </c>
    </row>
    <row r="119" spans="2:16">
      <c r="C119" s="142" t="s">
        <v>220</v>
      </c>
      <c r="E119" s="49"/>
      <c r="G119" s="50">
        <v>0</v>
      </c>
      <c r="H119" s="50">
        <v>0.22190124486270779</v>
      </c>
      <c r="I119" s="50">
        <v>1.0297594384459772</v>
      </c>
      <c r="J119" s="50">
        <v>0.33408182134751851</v>
      </c>
      <c r="K119" s="50">
        <v>0.44999999999999973</v>
      </c>
      <c r="L119" s="50">
        <v>0.40444574508004338</v>
      </c>
      <c r="M119" s="50">
        <v>0.38416426953690674</v>
      </c>
      <c r="N119" s="50">
        <v>0.46286150950563987</v>
      </c>
      <c r="O119" s="50">
        <v>0.32879053913007894</v>
      </c>
      <c r="P119" s="50">
        <v>0.27995837492480158</v>
      </c>
    </row>
    <row r="120" spans="2:16">
      <c r="E120" s="49"/>
    </row>
    <row r="121" spans="2:16">
      <c r="C121" s="31" t="s">
        <v>467</v>
      </c>
      <c r="D121" s="31" t="s">
        <v>467</v>
      </c>
      <c r="E121" s="472">
        <v>0.6</v>
      </c>
      <c r="G121" s="32">
        <f>Model!G71</f>
        <v>-24492</v>
      </c>
      <c r="H121" s="32">
        <f>Model!H71</f>
        <v>-30099</v>
      </c>
      <c r="I121" s="32">
        <f>Model!I71</f>
        <v>-74965</v>
      </c>
      <c r="J121" s="32">
        <f>Model!J71</f>
        <v>-70641</v>
      </c>
      <c r="K121" s="32">
        <f t="shared" ref="K121:P121" si="31">-K118*COGS</f>
        <v>-96657.869999999981</v>
      </c>
      <c r="L121" s="32">
        <f t="shared" si="31"/>
        <v>-135750.73424999995</v>
      </c>
      <c r="M121" s="32">
        <f t="shared" si="31"/>
        <v>-187901.31591224993</v>
      </c>
      <c r="N121" s="32">
        <f t="shared" si="31"/>
        <v>-274873.60263349005</v>
      </c>
      <c r="O121" s="32">
        <f t="shared" si="31"/>
        <v>-365249.4426359823</v>
      </c>
      <c r="P121" s="32">
        <f t="shared" si="31"/>
        <v>-467504.08303854143</v>
      </c>
    </row>
    <row r="122" spans="2:16">
      <c r="E122" s="49"/>
    </row>
    <row r="123" spans="2:16">
      <c r="C123" s="144" t="s">
        <v>221</v>
      </c>
      <c r="E123" s="49" t="s">
        <v>155</v>
      </c>
      <c r="G123" s="63">
        <f>Model!G79</f>
        <v>-108796</v>
      </c>
      <c r="H123" s="63">
        <f>Model!H79</f>
        <v>-156353</v>
      </c>
      <c r="I123" s="63">
        <f>Model!I79</f>
        <v>-381506</v>
      </c>
      <c r="J123" s="63">
        <f>Model!J79</f>
        <v>-144637</v>
      </c>
      <c r="K123" s="63">
        <f>Model!K79</f>
        <v>-160207.64199999999</v>
      </c>
      <c r="L123" s="63">
        <f>Model!L79</f>
        <v>-155000</v>
      </c>
      <c r="M123" s="63">
        <f>Model!M79</f>
        <v>-155000</v>
      </c>
      <c r="N123" s="63">
        <f>Model!N79</f>
        <v>-155000</v>
      </c>
      <c r="O123" s="63">
        <f>Model!O79</f>
        <v>-155000</v>
      </c>
      <c r="P123" s="63">
        <f>Model!P79</f>
        <v>-155000</v>
      </c>
    </row>
    <row r="124" spans="2:16">
      <c r="E124" s="49"/>
    </row>
    <row r="125" spans="2:16">
      <c r="C125" s="31" t="s">
        <v>222</v>
      </c>
      <c r="E125" s="76" t="s">
        <v>155</v>
      </c>
      <c r="G125" s="32">
        <f>SUM(G118,G121,G123)</f>
        <v>-99710</v>
      </c>
      <c r="H125" s="32">
        <f t="shared" ref="H125:P125" si="32">SUM(H118,H121,H123)</f>
        <v>-145423</v>
      </c>
      <c r="I125" s="32">
        <f t="shared" si="32"/>
        <v>-373192</v>
      </c>
      <c r="J125" s="32">
        <f t="shared" si="32"/>
        <v>-104177</v>
      </c>
      <c r="K125" s="32">
        <f t="shared" si="32"/>
        <v>-95769.061999999991</v>
      </c>
      <c r="L125" s="32">
        <f t="shared" si="32"/>
        <v>-64499.510500000004</v>
      </c>
      <c r="M125" s="32">
        <f t="shared" si="32"/>
        <v>-29732.456058500014</v>
      </c>
      <c r="N125" s="32">
        <f t="shared" si="32"/>
        <v>28249.068422326702</v>
      </c>
      <c r="O125" s="32">
        <f t="shared" si="32"/>
        <v>88499.628423988237</v>
      </c>
      <c r="P125" s="32">
        <f t="shared" si="32"/>
        <v>156669.38869236101</v>
      </c>
    </row>
    <row r="126" spans="2:16">
      <c r="E126" s="49"/>
    </row>
    <row r="127" spans="2:16">
      <c r="C127" s="21" t="s">
        <v>223</v>
      </c>
      <c r="E127" s="49" t="s">
        <v>155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4996.6514330677728</v>
      </c>
      <c r="O127" s="27">
        <v>15267.229563353567</v>
      </c>
      <c r="P127" s="27">
        <v>27092.853694100049</v>
      </c>
    </row>
    <row r="128" spans="2:16">
      <c r="E128" s="49"/>
    </row>
    <row r="129" spans="3:16">
      <c r="C129" s="145" t="s">
        <v>224</v>
      </c>
      <c r="E129" s="76" t="s">
        <v>155</v>
      </c>
      <c r="G129" s="32">
        <f>SUM(G125,G127)</f>
        <v>-99710</v>
      </c>
      <c r="H129" s="32">
        <f t="shared" ref="H129:P129" si="33">SUM(H125,H127)</f>
        <v>-145423</v>
      </c>
      <c r="I129" s="32">
        <f t="shared" si="33"/>
        <v>-373192</v>
      </c>
      <c r="J129" s="32">
        <f t="shared" si="33"/>
        <v>-104177</v>
      </c>
      <c r="K129" s="32">
        <f t="shared" si="33"/>
        <v>-95769.061999999991</v>
      </c>
      <c r="L129" s="32">
        <f t="shared" si="33"/>
        <v>-64499.510500000004</v>
      </c>
      <c r="M129" s="32">
        <f t="shared" si="33"/>
        <v>-29732.456058500014</v>
      </c>
      <c r="N129" s="32">
        <f t="shared" si="33"/>
        <v>33245.719855394476</v>
      </c>
      <c r="O129" s="32">
        <f t="shared" si="33"/>
        <v>103766.85798734181</v>
      </c>
      <c r="P129" s="32">
        <f t="shared" si="33"/>
        <v>183762.24238646106</v>
      </c>
    </row>
    <row r="130" spans="3:16">
      <c r="E130" s="49"/>
    </row>
    <row r="131" spans="3:16">
      <c r="C131" s="66" t="s">
        <v>225</v>
      </c>
      <c r="E131" s="49" t="s">
        <v>155</v>
      </c>
      <c r="G131" s="27">
        <v>5477</v>
      </c>
      <c r="H131" s="27">
        <v>9456</v>
      </c>
      <c r="I131" s="27">
        <v>17148</v>
      </c>
      <c r="J131" s="27">
        <v>9836</v>
      </c>
      <c r="K131" s="27">
        <v>2245.5343889999999</v>
      </c>
      <c r="L131" s="27">
        <v>3199.8916709399996</v>
      </c>
      <c r="M131" s="27">
        <v>3958.6588050077994</v>
      </c>
      <c r="N131" s="27">
        <v>4597.3717164062637</v>
      </c>
      <c r="O131" s="27">
        <v>5151.999383651053</v>
      </c>
      <c r="P131" s="27">
        <v>5650.1117184994882</v>
      </c>
    </row>
    <row r="132" spans="3:16">
      <c r="E132" s="49"/>
    </row>
    <row r="133" spans="3:16">
      <c r="C133" s="38" t="s">
        <v>227</v>
      </c>
      <c r="E133" s="49" t="s">
        <v>155</v>
      </c>
      <c r="G133" s="27">
        <v>0</v>
      </c>
      <c r="H133" s="27">
        <v>8337</v>
      </c>
      <c r="I133" s="27">
        <v>-2293</v>
      </c>
      <c r="J133" s="27">
        <v>-516</v>
      </c>
      <c r="K133" s="27">
        <v>18023.253772876709</v>
      </c>
      <c r="L133" s="27">
        <v>16095.175738938338</v>
      </c>
      <c r="M133" s="27">
        <v>20584.172019762511</v>
      </c>
      <c r="N133" s="27">
        <v>27164.641102187481</v>
      </c>
      <c r="O133" s="27">
        <v>27211.430729773696</v>
      </c>
      <c r="P133" s="27">
        <v>18256.535921655493</v>
      </c>
    </row>
    <row r="134" spans="3:16">
      <c r="C134" s="38"/>
      <c r="E134" s="49"/>
    </row>
    <row r="135" spans="3:16">
      <c r="C135" s="38" t="s">
        <v>228</v>
      </c>
      <c r="E135" s="49" t="s">
        <v>155</v>
      </c>
      <c r="G135" s="27">
        <v>-4283</v>
      </c>
      <c r="H135" s="27">
        <v>-5422</v>
      </c>
      <c r="I135" s="27">
        <v>-3006</v>
      </c>
      <c r="J135" s="27">
        <v>-3756</v>
      </c>
      <c r="K135" s="27">
        <v>-4806.2292599999992</v>
      </c>
      <c r="L135" s="27">
        <v>-4650</v>
      </c>
      <c r="M135" s="27">
        <v>-4650</v>
      </c>
      <c r="N135" s="27">
        <v>-4650</v>
      </c>
      <c r="O135" s="27">
        <v>-4650</v>
      </c>
      <c r="P135" s="27">
        <v>-4650</v>
      </c>
    </row>
    <row r="136" spans="3:16">
      <c r="E136" s="49"/>
    </row>
    <row r="137" spans="3:16">
      <c r="C137" s="31" t="s">
        <v>229</v>
      </c>
      <c r="E137" s="76" t="s">
        <v>155</v>
      </c>
      <c r="G137" s="32">
        <f t="shared" ref="G137:P137" si="34">SUM(G129,G131,G133,G135)</f>
        <v>-98516</v>
      </c>
      <c r="H137" s="32">
        <f t="shared" si="34"/>
        <v>-133052</v>
      </c>
      <c r="I137" s="32">
        <f t="shared" si="34"/>
        <v>-361343</v>
      </c>
      <c r="J137" s="32">
        <f t="shared" si="34"/>
        <v>-98613</v>
      </c>
      <c r="K137" s="32">
        <f t="shared" si="34"/>
        <v>-80306.503098123285</v>
      </c>
      <c r="L137" s="32">
        <f t="shared" si="34"/>
        <v>-49854.443090121669</v>
      </c>
      <c r="M137" s="32">
        <f t="shared" si="34"/>
        <v>-9839.6252337297046</v>
      </c>
      <c r="N137" s="32">
        <f t="shared" si="34"/>
        <v>60357.732673988219</v>
      </c>
      <c r="O137" s="32">
        <f t="shared" si="34"/>
        <v>131480.28810076654</v>
      </c>
      <c r="P137" s="32">
        <f t="shared" si="34"/>
        <v>203018.89002661605</v>
      </c>
    </row>
    <row r="138" spans="3:16">
      <c r="E138" s="49"/>
    </row>
    <row r="139" spans="3:16">
      <c r="C139" s="31" t="s">
        <v>230</v>
      </c>
      <c r="E139" s="76" t="s">
        <v>155</v>
      </c>
      <c r="G139" s="32">
        <f t="shared" ref="G139:P139" si="35">G125+G131</f>
        <v>-94233</v>
      </c>
      <c r="H139" s="32">
        <f t="shared" si="35"/>
        <v>-135967</v>
      </c>
      <c r="I139" s="32">
        <f t="shared" si="35"/>
        <v>-356044</v>
      </c>
      <c r="J139" s="32">
        <f t="shared" si="35"/>
        <v>-94341</v>
      </c>
      <c r="K139" s="32">
        <f t="shared" si="35"/>
        <v>-93523.527610999998</v>
      </c>
      <c r="L139" s="32">
        <f t="shared" si="35"/>
        <v>-61299.618829060004</v>
      </c>
      <c r="M139" s="32">
        <f t="shared" si="35"/>
        <v>-25773.797253492216</v>
      </c>
      <c r="N139" s="32">
        <f t="shared" si="35"/>
        <v>32846.440138732964</v>
      </c>
      <c r="O139" s="32">
        <f t="shared" si="35"/>
        <v>93651.627807639292</v>
      </c>
      <c r="P139" s="32">
        <f t="shared" si="35"/>
        <v>162319.50041086049</v>
      </c>
    </row>
    <row r="140" spans="3:16">
      <c r="C140" s="28" t="s">
        <v>231</v>
      </c>
      <c r="E140" s="76" t="s">
        <v>125</v>
      </c>
      <c r="H140" s="51">
        <v>-3.3139242974481466</v>
      </c>
      <c r="I140" s="51">
        <v>-4.275315505709723</v>
      </c>
      <c r="J140" s="51">
        <v>-0.84914627231078033</v>
      </c>
      <c r="K140" s="51">
        <v>-0.58054369050962951</v>
      </c>
      <c r="L140" s="51">
        <v>-0.27093607633607336</v>
      </c>
      <c r="M140" s="51">
        <v>-8.2300000279493302E-2</v>
      </c>
      <c r="N140" s="51">
        <v>7.169791458482748E-2</v>
      </c>
      <c r="O140" s="51">
        <v>0.15384274450648527</v>
      </c>
      <c r="P140" s="51">
        <v>0.20832267306312965</v>
      </c>
    </row>
    <row r="144" spans="3:16">
      <c r="C144" s="93" t="s">
        <v>187</v>
      </c>
      <c r="D144" s="93"/>
      <c r="E144" s="93"/>
      <c r="F144" s="93"/>
    </row>
    <row r="145" spans="3:6">
      <c r="C145" s="21"/>
      <c r="D145" s="21"/>
      <c r="E145" s="21"/>
      <c r="F145" s="21"/>
    </row>
    <row r="146" spans="3:6">
      <c r="C146" s="21" t="s">
        <v>408</v>
      </c>
      <c r="D146" s="21"/>
      <c r="E146" s="21"/>
      <c r="F146" s="95">
        <f>K7</f>
        <v>17.45986655283436</v>
      </c>
    </row>
    <row r="147" spans="3:6">
      <c r="C147" s="21" t="s">
        <v>409</v>
      </c>
      <c r="D147" s="21"/>
      <c r="E147" s="21"/>
      <c r="F147" s="95" t="str">
        <f>K8</f>
        <v>NM</v>
      </c>
    </row>
    <row r="148" spans="3:6">
      <c r="C148" s="21"/>
      <c r="D148" s="21"/>
      <c r="E148" s="21"/>
      <c r="F148" s="97"/>
    </row>
    <row r="149" spans="3:6">
      <c r="C149" s="21" t="s">
        <v>190</v>
      </c>
      <c r="D149" s="21"/>
      <c r="E149" s="99"/>
      <c r="F149" s="100">
        <f>INDEX(F150:F152,MATCH(Scenario,C150:C152,0),1)</f>
        <v>15.5</v>
      </c>
    </row>
    <row r="150" spans="3:6">
      <c r="C150" s="3" t="s">
        <v>192</v>
      </c>
      <c r="D150" s="21"/>
      <c r="E150" s="99"/>
      <c r="F150" s="102">
        <v>17.5</v>
      </c>
    </row>
    <row r="151" spans="3:6">
      <c r="C151" s="3" t="s">
        <v>186</v>
      </c>
      <c r="D151" s="21"/>
      <c r="E151" s="99"/>
      <c r="F151" s="102">
        <v>15.5</v>
      </c>
    </row>
    <row r="152" spans="3:6">
      <c r="C152" s="3" t="s">
        <v>193</v>
      </c>
      <c r="D152" s="21"/>
      <c r="E152" s="99"/>
      <c r="F152" s="102">
        <v>13.5</v>
      </c>
    </row>
    <row r="153" spans="3:6">
      <c r="C153" s="21"/>
      <c r="D153" s="21"/>
      <c r="E153" s="99"/>
      <c r="F153" s="103"/>
    </row>
    <row r="154" spans="3:6">
      <c r="C154" s="21"/>
      <c r="D154" s="21"/>
      <c r="E154" s="99"/>
      <c r="F154" s="103"/>
    </row>
    <row r="155" spans="3:6">
      <c r="C155" s="21" t="s">
        <v>194</v>
      </c>
      <c r="D155" s="21"/>
      <c r="E155" s="21"/>
      <c r="F155" s="105">
        <f>F149*(P139/Units)</f>
        <v>2515.9522563683377</v>
      </c>
    </row>
    <row r="156" spans="3:6">
      <c r="C156" s="21" t="s">
        <v>196</v>
      </c>
      <c r="D156" s="21"/>
      <c r="E156" s="21"/>
      <c r="F156" s="111"/>
    </row>
    <row r="157" spans="3:6">
      <c r="C157" s="21"/>
      <c r="D157" s="21"/>
      <c r="E157" s="21"/>
      <c r="F157" s="21"/>
    </row>
    <row r="158" spans="3:6">
      <c r="C158" s="113" t="s">
        <v>200</v>
      </c>
      <c r="D158" s="21"/>
      <c r="E158" s="99"/>
      <c r="F158" s="115">
        <f>F155/((1+Discount_Rate)^5)</f>
        <v>1504.1620409980269</v>
      </c>
    </row>
    <row r="159" spans="3:6">
      <c r="C159" s="117" t="s">
        <v>202</v>
      </c>
      <c r="D159" s="118"/>
      <c r="E159" s="118"/>
      <c r="F159" s="119">
        <f>NPV(Discount_Rate,L137:P137)/Units</f>
        <v>199.83721573939522</v>
      </c>
    </row>
    <row r="160" spans="3:6">
      <c r="C160" s="120" t="s">
        <v>204</v>
      </c>
      <c r="D160" s="121"/>
      <c r="E160" s="121"/>
      <c r="F160" s="122">
        <f>SUM(F158:F159)</f>
        <v>1703.999256737422</v>
      </c>
    </row>
    <row r="161" spans="3:6">
      <c r="C161" s="113"/>
      <c r="D161" s="21"/>
      <c r="E161" s="21"/>
      <c r="F161" s="61"/>
    </row>
    <row r="162" spans="3:6">
      <c r="C162" s="123" t="s">
        <v>207</v>
      </c>
      <c r="D162" s="21"/>
      <c r="E162" s="21"/>
      <c r="F162" s="124">
        <f>F158/F160</f>
        <v>0.88272458749658422</v>
      </c>
    </row>
    <row r="163" spans="3:6">
      <c r="C163" s="21"/>
      <c r="D163" s="21"/>
      <c r="E163" s="21"/>
      <c r="F163" s="21"/>
    </row>
    <row r="164" spans="3:6">
      <c r="C164" s="21" t="s">
        <v>210</v>
      </c>
      <c r="D164" s="21"/>
      <c r="E164" s="21"/>
      <c r="F164" s="127">
        <f>K25</f>
        <v>210.56568958861294</v>
      </c>
    </row>
    <row r="165" spans="3:6">
      <c r="C165" s="128" t="s">
        <v>211</v>
      </c>
      <c r="D165" s="21"/>
      <c r="E165" s="21"/>
      <c r="F165" s="127">
        <f t="shared" ref="F165:F170" si="36">-A158</f>
        <v>0</v>
      </c>
    </row>
    <row r="166" spans="3:6">
      <c r="C166" s="128" t="s">
        <v>212</v>
      </c>
      <c r="D166" s="21"/>
      <c r="E166" s="21"/>
      <c r="F166" s="127">
        <f t="shared" si="36"/>
        <v>0</v>
      </c>
    </row>
    <row r="167" spans="3:6">
      <c r="C167" s="128" t="s">
        <v>213</v>
      </c>
      <c r="D167" s="21"/>
      <c r="E167" s="21"/>
      <c r="F167" s="127">
        <f t="shared" si="36"/>
        <v>0</v>
      </c>
    </row>
    <row r="168" spans="3:6">
      <c r="C168" s="128" t="s">
        <v>214</v>
      </c>
      <c r="D168" s="21"/>
      <c r="E168" s="21"/>
      <c r="F168" s="127">
        <f t="shared" si="36"/>
        <v>0</v>
      </c>
    </row>
    <row r="169" spans="3:6">
      <c r="C169" s="128" t="s">
        <v>215</v>
      </c>
      <c r="D169" s="21"/>
      <c r="E169" s="21"/>
      <c r="F169" s="127">
        <f t="shared" si="36"/>
        <v>0</v>
      </c>
    </row>
    <row r="170" spans="3:6">
      <c r="C170" s="128" t="s">
        <v>216</v>
      </c>
      <c r="D170" s="21"/>
      <c r="E170" s="21"/>
      <c r="F170" s="127">
        <f t="shared" si="36"/>
        <v>0</v>
      </c>
    </row>
    <row r="171" spans="3:6">
      <c r="C171" s="113"/>
      <c r="D171" s="21"/>
      <c r="E171" s="21"/>
      <c r="F171" s="129"/>
    </row>
    <row r="172" spans="3:6">
      <c r="C172" s="130" t="s">
        <v>217</v>
      </c>
      <c r="D172" s="131"/>
      <c r="E172" s="131"/>
      <c r="F172" s="132">
        <f>F160+SUM(F164:F170)</f>
        <v>1914.5649463260349</v>
      </c>
    </row>
    <row r="173" spans="3:6">
      <c r="C173" s="133"/>
      <c r="D173" s="21"/>
      <c r="E173" s="21"/>
      <c r="F173" s="134"/>
    </row>
    <row r="174" spans="3:6">
      <c r="C174" s="21" t="s">
        <v>121</v>
      </c>
      <c r="D174" s="21"/>
      <c r="E174" s="21"/>
      <c r="F174" s="135">
        <f>_xlfn.SINGLE(Diluted)</f>
        <v>52.56</v>
      </c>
    </row>
    <row r="175" spans="3:6">
      <c r="C175" s="21"/>
      <c r="D175" s="21"/>
      <c r="E175" s="21"/>
      <c r="F175" s="27"/>
    </row>
    <row r="176" spans="3:6">
      <c r="C176" s="136" t="s">
        <v>218</v>
      </c>
      <c r="D176" s="137"/>
      <c r="E176" s="137"/>
      <c r="F176" s="138">
        <f>F172/F174</f>
        <v>36.426273712443589</v>
      </c>
    </row>
    <row r="177" spans="3:6">
      <c r="C177" s="139" t="s">
        <v>219</v>
      </c>
      <c r="D177" s="140"/>
      <c r="E177" s="140"/>
      <c r="F177" s="141">
        <f>F176/Share_Price-1</f>
        <v>0.72964262642182298</v>
      </c>
    </row>
  </sheetData>
  <dataValidations disablePrompts="1" count="3">
    <dataValidation type="list" allowBlank="1" showInputMessage="1" showErrorMessage="1" sqref="F6" xr:uid="{1A3EBF12-AF9D-4EDC-8695-A2FAB8E86BB9}">
      <formula1>"yes,no"</formula1>
    </dataValidation>
    <dataValidation type="list" allowBlank="1" showInputMessage="1" showErrorMessage="1" sqref="F7" xr:uid="{7171E49F-57FA-424F-89BD-7EBA012570A8}">
      <formula1>"Upside,Base,Downside"</formula1>
    </dataValidation>
    <dataValidation type="list" allowBlank="1" showInputMessage="1" showErrorMessage="1" sqref="F5" xr:uid="{12122332-4DD9-445F-BC81-0F6EB10F0BE1}">
      <formula1>$H$11:$H$13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0330-4D9C-4420-AA3A-40F63D5A870B}">
  <dimension ref="A1:V40"/>
  <sheetViews>
    <sheetView showGridLines="0" topLeftCell="A24" workbookViewId="0">
      <selection activeCell="C15" sqref="C15:C20"/>
    </sheetView>
  </sheetViews>
  <sheetFormatPr defaultRowHeight="14.5"/>
  <cols>
    <col min="2" max="2" width="25" bestFit="1" customWidth="1"/>
    <col min="3" max="3" width="7.6328125" bestFit="1" customWidth="1"/>
    <col min="4" max="4" width="8" bestFit="1" customWidth="1"/>
    <col min="5" max="5" width="12" bestFit="1" customWidth="1"/>
    <col min="6" max="6" width="10.36328125" bestFit="1" customWidth="1"/>
    <col min="7" max="7" width="6" bestFit="1" customWidth="1"/>
    <col min="8" max="8" width="11.26953125" bestFit="1" customWidth="1"/>
    <col min="9" max="9" width="15.453125" bestFit="1" customWidth="1"/>
    <col min="10" max="11" width="8.453125" bestFit="1" customWidth="1"/>
    <col min="12" max="12" width="9" bestFit="1" customWidth="1"/>
  </cols>
  <sheetData>
    <row r="1" spans="1:22">
      <c r="A1" s="407"/>
    </row>
    <row r="2" spans="1:22" ht="18.5">
      <c r="B2" s="408" t="str">
        <f>"WACC Analysis - "&amp;_xlfn.SINGLE(Company_Name)</f>
        <v>WACC Analysis - Ouster, Inc.</v>
      </c>
      <c r="C2" s="409"/>
      <c r="D2" s="3"/>
      <c r="E2" s="3"/>
      <c r="F2" s="3"/>
      <c r="G2" s="3"/>
      <c r="H2" s="3"/>
      <c r="I2" s="3"/>
      <c r="J2" s="3"/>
      <c r="K2" s="3"/>
      <c r="L2" s="3"/>
    </row>
    <row r="3" spans="1:22" ht="16">
      <c r="B3" s="21" t="s">
        <v>360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2" ht="16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22" ht="16">
      <c r="B5" s="410" t="s">
        <v>410</v>
      </c>
      <c r="C5" s="410"/>
      <c r="D5" s="411"/>
      <c r="E5" s="411"/>
      <c r="F5" s="411"/>
      <c r="G5" s="412"/>
      <c r="H5" s="412"/>
      <c r="I5" s="3"/>
      <c r="J5" s="3"/>
      <c r="K5" s="3"/>
      <c r="L5" s="3"/>
    </row>
    <row r="6" spans="1:22" ht="16">
      <c r="B6" s="21" t="s">
        <v>411</v>
      </c>
      <c r="C6" s="21"/>
      <c r="D6" s="3"/>
      <c r="E6" s="3"/>
      <c r="F6" s="413">
        <v>4.4999999999999998E-2</v>
      </c>
      <c r="G6" s="414"/>
      <c r="H6" s="414"/>
      <c r="I6" s="3"/>
      <c r="J6" s="3"/>
      <c r="K6" s="3"/>
      <c r="L6" s="3"/>
    </row>
    <row r="7" spans="1:22" ht="16">
      <c r="B7" s="21" t="s">
        <v>412</v>
      </c>
      <c r="C7" s="21"/>
      <c r="D7" s="3"/>
      <c r="E7" s="3"/>
      <c r="F7" s="413">
        <v>3.5000000000000003E-2</v>
      </c>
      <c r="G7" s="414"/>
      <c r="H7" s="414"/>
      <c r="I7" s="3"/>
      <c r="J7" s="3"/>
      <c r="K7" s="3"/>
      <c r="L7" s="3"/>
    </row>
    <row r="8" spans="1:22" ht="16">
      <c r="B8" s="21" t="s">
        <v>413</v>
      </c>
      <c r="C8" s="21"/>
      <c r="D8" s="3"/>
      <c r="E8" s="3"/>
      <c r="F8" s="415">
        <f>[1]Drivers!K76</f>
        <v>3.9336650082918742E-2</v>
      </c>
      <c r="G8" s="414"/>
      <c r="H8" s="414"/>
      <c r="I8" s="416"/>
      <c r="J8" s="416"/>
      <c r="K8" s="3"/>
      <c r="L8" s="3"/>
    </row>
    <row r="9" spans="1:22" ht="16">
      <c r="B9" s="21" t="s">
        <v>414</v>
      </c>
      <c r="C9" s="21"/>
      <c r="D9" s="3"/>
      <c r="E9" s="3"/>
      <c r="F9" s="413">
        <v>0</v>
      </c>
      <c r="G9" s="414"/>
      <c r="H9" s="414"/>
      <c r="I9" s="416"/>
      <c r="J9" s="416"/>
      <c r="K9" s="3"/>
      <c r="L9" s="3"/>
    </row>
    <row r="10" spans="1:22" ht="16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22" ht="16">
      <c r="B11" s="151" t="s">
        <v>113</v>
      </c>
      <c r="C11" s="417" t="s">
        <v>116</v>
      </c>
      <c r="D11" s="156" t="s">
        <v>270</v>
      </c>
      <c r="E11" s="172" t="s">
        <v>247</v>
      </c>
      <c r="F11" s="417"/>
      <c r="G11" s="172" t="s">
        <v>203</v>
      </c>
      <c r="H11" s="417"/>
      <c r="I11" s="156" t="s">
        <v>268</v>
      </c>
      <c r="J11" s="418"/>
      <c r="K11" s="151" t="s">
        <v>124</v>
      </c>
      <c r="L11" s="3"/>
    </row>
    <row r="12" spans="1:22" ht="16">
      <c r="B12" s="419" t="s">
        <v>415</v>
      </c>
      <c r="C12" s="419"/>
      <c r="D12" s="419"/>
      <c r="E12" s="419"/>
      <c r="F12" s="419"/>
      <c r="G12" s="419"/>
      <c r="H12" s="419"/>
      <c r="I12" s="419"/>
      <c r="J12" s="419"/>
      <c r="K12" s="419"/>
      <c r="L12" s="419"/>
    </row>
    <row r="13" spans="1:22" ht="16">
      <c r="B13" s="419"/>
      <c r="C13" s="419"/>
      <c r="D13" s="420" t="s">
        <v>416</v>
      </c>
      <c r="E13" s="420"/>
      <c r="F13" s="420"/>
      <c r="G13" s="420" t="s">
        <v>388</v>
      </c>
      <c r="H13" s="420"/>
      <c r="I13" s="420" t="s">
        <v>372</v>
      </c>
      <c r="J13" s="420"/>
      <c r="K13" s="420"/>
      <c r="L13" s="420" t="s">
        <v>417</v>
      </c>
    </row>
    <row r="14" spans="1:22" ht="16">
      <c r="B14" s="419" t="s">
        <v>114</v>
      </c>
      <c r="C14" s="419" t="s">
        <v>382</v>
      </c>
      <c r="D14" s="420" t="s">
        <v>385</v>
      </c>
      <c r="E14" s="420" t="s">
        <v>42</v>
      </c>
      <c r="F14" s="420" t="s">
        <v>418</v>
      </c>
      <c r="G14" s="420" t="s">
        <v>419</v>
      </c>
      <c r="H14" s="420" t="s">
        <v>420</v>
      </c>
      <c r="I14" s="420" t="s">
        <v>309</v>
      </c>
      <c r="J14" s="420" t="s">
        <v>421</v>
      </c>
      <c r="K14" s="420" t="s">
        <v>386</v>
      </c>
      <c r="L14" s="420" t="s">
        <v>385</v>
      </c>
    </row>
    <row r="15" spans="1:22" ht="16">
      <c r="B15" s="21" t="str">
        <f t="shared" ref="B15:B20" si="0">INDEX(Pub_Comps_Range,MATCH(B$11,Pub_Comps_Params,0),MATCH($C15,Pub_Comps_Tickers,0))</f>
        <v>Hesai Group</v>
      </c>
      <c r="C15" s="166" t="s">
        <v>279</v>
      </c>
      <c r="D15" s="21">
        <f t="shared" ref="D15:E20" si="1">INDEX(Pub_Comps_Range,MATCH(D$11,Pub_Comps_Params,0),MATCH($C15,Pub_Comps_Tickers,0))</f>
        <v>1.1499999999999999</v>
      </c>
      <c r="E15" s="21">
        <f t="shared" si="1"/>
        <v>120.1</v>
      </c>
      <c r="F15" s="421">
        <f>E15/(E15+G15+I15)</f>
        <v>2.9003356758192666E-2</v>
      </c>
      <c r="G15" s="21">
        <f t="shared" ref="G15:G20" si="2">INDEX(Pub_Comps_Range,MATCH(G$11,Pub_Comps_Params,0),MATCH($C15,Pub_Comps_Tickers,0))</f>
        <v>0</v>
      </c>
      <c r="H15" s="422">
        <f>G15/(E15+G15+I15)</f>
        <v>0</v>
      </c>
      <c r="I15" s="423">
        <f t="shared" ref="I15:I20" si="3">INDEX(Pub_Comps_Range,MATCH(I$11,Pub_Comps_Params,0),MATCH($C15,Pub_Comps_Tickers,0))</f>
        <v>4020.7999999999997</v>
      </c>
      <c r="J15" s="421">
        <f>$I15/($E15+$G15+$I15)</f>
        <v>0.97099664324180734</v>
      </c>
      <c r="K15" s="422">
        <f t="shared" ref="K15:K20" si="4">INDEX(Pub_Comps_Range,MATCH(K$11,Pub_Comps_Params,0),MATCH($C15,Pub_Comps_Tickers,0))</f>
        <v>6.0999999999999999E-2</v>
      </c>
      <c r="L15" s="424">
        <f t="shared" ref="L15:L20" si="5">IFERROR(D15/(1+(E15/I15)*(1-K15)+G15/I15),"N/A")</f>
        <v>1.1186252167887938</v>
      </c>
      <c r="T15" s="425"/>
      <c r="U15" s="425"/>
      <c r="V15" s="426"/>
    </row>
    <row r="16" spans="1:22" ht="16">
      <c r="B16" s="21" t="str">
        <f t="shared" si="0"/>
        <v>Innoviz Technologies, Ltd.</v>
      </c>
      <c r="C16" s="221" t="s">
        <v>280</v>
      </c>
      <c r="D16" s="21">
        <f t="shared" si="1"/>
        <v>1.34</v>
      </c>
      <c r="E16" s="21">
        <f t="shared" si="1"/>
        <v>34.9</v>
      </c>
      <c r="F16" s="421">
        <f t="shared" ref="F16:F20" si="6">E16/(E16+G16+I16)</f>
        <v>0.13861104897664533</v>
      </c>
      <c r="G16" s="21">
        <f t="shared" si="2"/>
        <v>0</v>
      </c>
      <c r="H16" s="422">
        <f t="shared" ref="H16:H20" si="7">G16/(E16+G16+I16)</f>
        <v>0</v>
      </c>
      <c r="I16" s="423">
        <f t="shared" si="3"/>
        <v>216.88368</v>
      </c>
      <c r="J16" s="421">
        <f t="shared" ref="J16:J20" si="8">$I16/($E16+$G16+$I16)</f>
        <v>0.86138895102335467</v>
      </c>
      <c r="K16" s="422">
        <f t="shared" si="4"/>
        <v>0</v>
      </c>
      <c r="L16" s="424">
        <f t="shared" si="5"/>
        <v>1.1542611943712953</v>
      </c>
    </row>
    <row r="17" spans="2:12" ht="16">
      <c r="B17" s="21" t="str">
        <f t="shared" si="0"/>
        <v>Aeva Technologies, Inc.</v>
      </c>
      <c r="C17" s="405" t="s">
        <v>281</v>
      </c>
      <c r="D17" s="21">
        <f t="shared" si="1"/>
        <v>2.08</v>
      </c>
      <c r="E17" s="21">
        <f t="shared" si="1"/>
        <v>6.1239999999999997</v>
      </c>
      <c r="F17" s="421">
        <f t="shared" si="6"/>
        <v>6.6345104526473837E-3</v>
      </c>
      <c r="G17" s="21">
        <f t="shared" si="2"/>
        <v>0</v>
      </c>
      <c r="H17" s="422">
        <f t="shared" si="7"/>
        <v>0</v>
      </c>
      <c r="I17" s="423">
        <f t="shared" si="3"/>
        <v>916.92827999999997</v>
      </c>
      <c r="J17" s="421">
        <f t="shared" si="8"/>
        <v>0.9933654895473526</v>
      </c>
      <c r="K17" s="422">
        <f t="shared" si="4"/>
        <v>0.2</v>
      </c>
      <c r="L17" s="424">
        <f t="shared" si="5"/>
        <v>2.0689455063760955</v>
      </c>
    </row>
    <row r="18" spans="2:12" ht="16">
      <c r="B18" s="21" t="str">
        <f t="shared" si="0"/>
        <v>Luminar Technologies, Inc.</v>
      </c>
      <c r="C18" s="406" t="s">
        <v>284</v>
      </c>
      <c r="D18" s="21">
        <f t="shared" si="1"/>
        <v>1.36</v>
      </c>
      <c r="E18" s="21">
        <f t="shared" si="1"/>
        <v>449</v>
      </c>
      <c r="F18" s="421">
        <f t="shared" si="6"/>
        <v>0.9756773650428564</v>
      </c>
      <c r="G18" s="21">
        <f t="shared" si="2"/>
        <v>0</v>
      </c>
      <c r="H18" s="422">
        <f t="shared" si="7"/>
        <v>0</v>
      </c>
      <c r="I18" s="423">
        <f t="shared" si="3"/>
        <v>11.193109</v>
      </c>
      <c r="J18" s="421">
        <f t="shared" si="8"/>
        <v>2.432263495714361E-2</v>
      </c>
      <c r="K18" s="422">
        <f t="shared" si="4"/>
        <v>0</v>
      </c>
      <c r="L18" s="424">
        <f t="shared" si="5"/>
        <v>3.3078783541715312E-2</v>
      </c>
    </row>
    <row r="19" spans="2:12" ht="16">
      <c r="B19" s="21" t="str">
        <f t="shared" si="0"/>
        <v>MicroVision, Inc.</v>
      </c>
      <c r="C19" s="406" t="s">
        <v>282</v>
      </c>
      <c r="D19" s="21">
        <f t="shared" si="1"/>
        <v>1.27</v>
      </c>
      <c r="E19" s="21">
        <f t="shared" si="1"/>
        <v>46</v>
      </c>
      <c r="F19" s="421">
        <f t="shared" si="6"/>
        <v>0.14267100372044109</v>
      </c>
      <c r="G19" s="21">
        <f t="shared" si="2"/>
        <v>0</v>
      </c>
      <c r="H19" s="422">
        <f t="shared" si="7"/>
        <v>0</v>
      </c>
      <c r="I19" s="423">
        <f t="shared" si="3"/>
        <v>276.42010499999998</v>
      </c>
      <c r="J19" s="421">
        <f t="shared" si="8"/>
        <v>0.85732899627955894</v>
      </c>
      <c r="K19" s="422">
        <f t="shared" si="4"/>
        <v>0</v>
      </c>
      <c r="L19" s="424">
        <f t="shared" si="5"/>
        <v>1.0888078252750399</v>
      </c>
    </row>
    <row r="20" spans="2:12" ht="16">
      <c r="B20" s="21" t="str">
        <f t="shared" si="0"/>
        <v>Aeye, Inc.</v>
      </c>
      <c r="C20" s="405" t="s">
        <v>283</v>
      </c>
      <c r="D20" s="21">
        <f t="shared" si="1"/>
        <v>2.98</v>
      </c>
      <c r="E20" s="21">
        <f t="shared" si="1"/>
        <v>0.82399999999999995</v>
      </c>
      <c r="F20" s="421">
        <f t="shared" si="6"/>
        <v>9.7890425686732799E-3</v>
      </c>
      <c r="G20" s="21">
        <f t="shared" si="2"/>
        <v>0</v>
      </c>
      <c r="H20" s="422">
        <f t="shared" si="7"/>
        <v>0</v>
      </c>
      <c r="I20" s="423">
        <f t="shared" si="3"/>
        <v>83.35175000000001</v>
      </c>
      <c r="J20" s="421">
        <f t="shared" si="8"/>
        <v>0.9902109574313267</v>
      </c>
      <c r="K20" s="422">
        <f t="shared" si="4"/>
        <v>0</v>
      </c>
      <c r="L20" s="424">
        <f t="shared" si="5"/>
        <v>2.9508286531453534</v>
      </c>
    </row>
    <row r="21" spans="2:12" ht="16">
      <c r="B21" s="3"/>
      <c r="C21" s="3"/>
      <c r="D21" s="3"/>
      <c r="E21" s="3"/>
      <c r="F21" s="3"/>
      <c r="G21" s="3"/>
      <c r="H21" s="3"/>
      <c r="I21" s="3"/>
      <c r="J21" s="3"/>
      <c r="K21" s="3"/>
      <c r="L21" s="427"/>
    </row>
    <row r="22" spans="2:12" ht="16">
      <c r="B22" s="428" t="s">
        <v>422</v>
      </c>
      <c r="C22" s="429"/>
      <c r="D22" s="430">
        <f>MEDIAN(D15:D19)</f>
        <v>1.34</v>
      </c>
      <c r="E22" s="431">
        <f t="shared" ref="E22:L22" si="9">MEDIAN(E15:E19)</f>
        <v>46</v>
      </c>
      <c r="F22" s="432">
        <f t="shared" si="9"/>
        <v>0.13861104897664533</v>
      </c>
      <c r="G22" s="430">
        <f t="shared" si="9"/>
        <v>0</v>
      </c>
      <c r="H22" s="433">
        <f t="shared" si="9"/>
        <v>0</v>
      </c>
      <c r="I22" s="434">
        <f t="shared" si="9"/>
        <v>276.42010499999998</v>
      </c>
      <c r="J22" s="432">
        <f t="shared" si="9"/>
        <v>0.86138895102335467</v>
      </c>
      <c r="K22" s="435">
        <f t="shared" si="9"/>
        <v>0</v>
      </c>
      <c r="L22" s="435">
        <f t="shared" si="9"/>
        <v>1.1186252167887938</v>
      </c>
    </row>
    <row r="23" spans="2:12" ht="16">
      <c r="B23" s="3"/>
      <c r="C23" s="3"/>
      <c r="D23" s="3"/>
      <c r="E23" s="3"/>
      <c r="F23" s="3"/>
      <c r="G23" s="3"/>
      <c r="H23" s="3"/>
      <c r="I23" s="3"/>
      <c r="J23" s="3"/>
      <c r="K23" s="3"/>
      <c r="L23" s="427"/>
    </row>
    <row r="24" spans="2:12" ht="16">
      <c r="B24" s="436" t="str">
        <f>Company_Name</f>
        <v>Ouster, Inc.</v>
      </c>
      <c r="C24" s="436" t="str">
        <f>Ticker</f>
        <v>OUST</v>
      </c>
      <c r="D24" s="436">
        <f>INDEX(Pub_Comps_Range,MATCH(D$11,Pub_Comps_Params,0),MATCH($C24,Pub_Comps_Tickers,0))</f>
        <v>2.2400000000000002</v>
      </c>
      <c r="E24" s="436">
        <f>INDEX(Pub_Comps_Range,MATCH(E$11,Pub_Comps_Params,0),MATCH($C24,Pub_Comps_Tickers,0))</f>
        <v>0</v>
      </c>
      <c r="F24" s="437">
        <f t="shared" ref="F24:J24" si="10">E24/($E24+$G24+$I24)</f>
        <v>0</v>
      </c>
      <c r="G24" s="438">
        <f>INDEX(Pub_Comps_Range,MATCH(G$11,Pub_Comps_Params,0),MATCH($C24,Pub_Comps_Tickers,0))</f>
        <v>0</v>
      </c>
      <c r="H24" s="439">
        <f t="shared" si="10"/>
        <v>0</v>
      </c>
      <c r="I24" s="436">
        <f>INDEX(Pub_Comps_Range,MATCH(I$11,Pub_Comps_Params,0),MATCH($C24,Pub_Comps_Tickers,0))</f>
        <v>1119.2968800000001</v>
      </c>
      <c r="J24" s="440">
        <f t="shared" si="10"/>
        <v>1</v>
      </c>
      <c r="K24" s="441">
        <v>0.13200000000000001</v>
      </c>
      <c r="L24" s="441">
        <f t="shared" ref="L24" si="11">IFERROR(D24/(1+(E24/I24)*(1-K24)+G24/I24),"N/A")</f>
        <v>2.2400000000000002</v>
      </c>
    </row>
    <row r="25" spans="2:12" ht="16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6">
      <c r="B26" s="419" t="str">
        <f>TEXT(Company_Name,"")&amp; " - Levered Beta &amp; WACC Calculation:"</f>
        <v>Ouster, Inc. - Levered Beta &amp; WACC Calculation:</v>
      </c>
      <c r="C26" s="419"/>
      <c r="D26" s="419"/>
      <c r="E26" s="419"/>
      <c r="F26" s="419"/>
      <c r="G26" s="419"/>
      <c r="H26" s="419"/>
      <c r="I26" s="419"/>
      <c r="J26" s="419"/>
      <c r="K26" s="419"/>
      <c r="L26" s="419"/>
    </row>
    <row r="27" spans="2:12" ht="16">
      <c r="B27" s="419"/>
      <c r="C27" s="419"/>
      <c r="D27" s="420" t="s">
        <v>417</v>
      </c>
      <c r="E27" s="420"/>
      <c r="F27" s="420"/>
      <c r="G27" s="420" t="s">
        <v>388</v>
      </c>
      <c r="H27" s="420"/>
      <c r="I27" s="420" t="s">
        <v>372</v>
      </c>
      <c r="J27" s="420"/>
      <c r="K27" s="420"/>
      <c r="L27" s="420" t="s">
        <v>416</v>
      </c>
    </row>
    <row r="28" spans="2:12" ht="16">
      <c r="B28" s="419"/>
      <c r="C28" s="419" t="s">
        <v>382</v>
      </c>
      <c r="D28" s="420" t="s">
        <v>385</v>
      </c>
      <c r="E28" s="420" t="s">
        <v>42</v>
      </c>
      <c r="F28" s="420" t="s">
        <v>418</v>
      </c>
      <c r="G28" s="420" t="s">
        <v>419</v>
      </c>
      <c r="H28" s="420" t="s">
        <v>420</v>
      </c>
      <c r="I28" s="420" t="s">
        <v>309</v>
      </c>
      <c r="J28" s="420" t="s">
        <v>421</v>
      </c>
      <c r="K28" s="420" t="s">
        <v>386</v>
      </c>
      <c r="L28" s="420" t="s">
        <v>385</v>
      </c>
    </row>
    <row r="29" spans="2:12" ht="16">
      <c r="B29" s="21" t="s">
        <v>423</v>
      </c>
      <c r="C29" s="21" t="str">
        <f>C24</f>
        <v>OUST</v>
      </c>
      <c r="D29" s="442">
        <f>L24</f>
        <v>2.2400000000000002</v>
      </c>
      <c r="E29" s="129">
        <v>5461</v>
      </c>
      <c r="F29" s="443">
        <v>3.3001557194883353E-2</v>
      </c>
      <c r="G29" s="129">
        <v>0</v>
      </c>
      <c r="H29" s="444">
        <v>0</v>
      </c>
      <c r="I29" s="129">
        <v>160016.03999999998</v>
      </c>
      <c r="J29" s="445">
        <v>0.9669984428051166</v>
      </c>
      <c r="K29" s="443">
        <v>0.13200000000000001</v>
      </c>
      <c r="L29" s="442">
        <f>D29*(1+E29/I29*(1-K29)+G29/I29)</f>
        <v>2.306355419869158</v>
      </c>
    </row>
    <row r="30" spans="2:12" ht="16">
      <c r="B30" s="21" t="s">
        <v>424</v>
      </c>
      <c r="C30" s="442"/>
      <c r="D30" s="442">
        <f>L22</f>
        <v>1.1186252167887938</v>
      </c>
      <c r="E30" s="129">
        <f>(E29+I29)*F30</f>
        <v>22936.946095950298</v>
      </c>
      <c r="F30" s="444">
        <f>F22</f>
        <v>0.13861104897664533</v>
      </c>
      <c r="G30" s="129">
        <v>0</v>
      </c>
      <c r="H30" s="444">
        <v>0</v>
      </c>
      <c r="I30" s="129">
        <f>(I29+E29)*J30</f>
        <v>142540.09390404969</v>
      </c>
      <c r="J30" s="446">
        <f>J22</f>
        <v>0.86138895102335467</v>
      </c>
      <c r="K30" s="443">
        <v>0.13200000000000001</v>
      </c>
      <c r="L30" s="442">
        <f>D30*(1+E30/I30*(1-K30)+G30/I30)</f>
        <v>1.2748690495069877</v>
      </c>
    </row>
    <row r="31" spans="2:12" ht="16">
      <c r="B31" s="3"/>
      <c r="C31" s="447"/>
      <c r="D31" s="3"/>
      <c r="E31" s="3"/>
      <c r="F31" s="3"/>
      <c r="G31" s="3"/>
      <c r="H31" s="3"/>
      <c r="I31" s="3"/>
      <c r="J31" s="3"/>
      <c r="K31" s="3"/>
      <c r="L31" s="3"/>
    </row>
    <row r="32" spans="2:12" ht="16">
      <c r="B32" s="448" t="s">
        <v>425</v>
      </c>
      <c r="C32" s="448"/>
      <c r="D32" s="448"/>
      <c r="E32" s="448"/>
      <c r="F32" s="448"/>
      <c r="G32" s="448"/>
      <c r="H32" s="448"/>
      <c r="I32" s="448"/>
      <c r="J32" s="448"/>
      <c r="K32" s="448"/>
      <c r="L32" s="449">
        <f>Risk_Free_Rate+Equity_Risk_Premium*L29</f>
        <v>0.12572243969542052</v>
      </c>
    </row>
    <row r="33" spans="2:12" ht="16">
      <c r="B33" s="448" t="s">
        <v>426</v>
      </c>
      <c r="C33" s="448"/>
      <c r="D33" s="448"/>
      <c r="E33" s="448"/>
      <c r="F33" s="448"/>
      <c r="G33" s="448"/>
      <c r="H33" s="448"/>
      <c r="I33" s="448"/>
      <c r="J33" s="448"/>
      <c r="K33" s="448"/>
      <c r="L33" s="449">
        <f>Risk_Free_Rate+Equity_Risk_Premium*L30</f>
        <v>8.9620416732744568E-2</v>
      </c>
    </row>
    <row r="34" spans="2:12" ht="16">
      <c r="B34" s="448" t="s">
        <v>427</v>
      </c>
      <c r="C34" s="448"/>
      <c r="D34" s="448"/>
      <c r="E34" s="448"/>
      <c r="F34" s="448"/>
      <c r="G34" s="448"/>
      <c r="H34" s="448"/>
      <c r="I34" s="448"/>
      <c r="J34" s="448"/>
      <c r="K34" s="448"/>
      <c r="L34" s="449">
        <f>Risk_Free_Rate+Equity_Risk_Premium*D24</f>
        <v>0.12340000000000001</v>
      </c>
    </row>
    <row r="35" spans="2:12" ht="16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 ht="16">
      <c r="B36" s="448" t="s">
        <v>428</v>
      </c>
      <c r="C36" s="448"/>
      <c r="D36" s="448"/>
      <c r="E36" s="448"/>
      <c r="F36" s="448"/>
      <c r="G36" s="448"/>
      <c r="H36" s="448"/>
      <c r="I36" s="448"/>
      <c r="J36" s="448"/>
      <c r="K36" s="448"/>
      <c r="L36" s="449">
        <f>L32*J29+Cost_of_Debt*(1-K29)*F29+Cost_of_Preferred*H29</f>
        <v>0.12270021558529959</v>
      </c>
    </row>
    <row r="37" spans="2:12" ht="16">
      <c r="B37" s="448" t="s">
        <v>429</v>
      </c>
      <c r="C37" s="448"/>
      <c r="D37" s="448"/>
      <c r="E37" s="448"/>
      <c r="F37" s="448"/>
      <c r="G37" s="448"/>
      <c r="H37" s="448"/>
      <c r="I37" s="448"/>
      <c r="J37" s="448"/>
      <c r="K37" s="448"/>
      <c r="L37" s="449">
        <f>L33*J30+Cost_of_Debt*(1-K30)*F30+Cost_of_Preferred*H30</f>
        <v>8.1930801839194239E-2</v>
      </c>
    </row>
    <row r="38" spans="2:12" ht="16">
      <c r="B38" s="448" t="s">
        <v>430</v>
      </c>
      <c r="C38" s="448"/>
      <c r="D38" s="448"/>
      <c r="E38" s="448"/>
      <c r="F38" s="448"/>
      <c r="G38" s="448"/>
      <c r="H38" s="448"/>
      <c r="I38" s="448"/>
      <c r="J38" s="448"/>
      <c r="K38" s="448"/>
      <c r="L38" s="449">
        <f>L34*J29+Cost_of_Debt*(1-K29)*F29+Cost_of_Preferred*H29</f>
        <v>0.12045442001631916</v>
      </c>
    </row>
    <row r="39" spans="2:12" ht="16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6">
      <c r="B40" s="448" t="s">
        <v>431</v>
      </c>
      <c r="C40" s="448"/>
      <c r="D40" s="448"/>
      <c r="E40" s="448"/>
      <c r="F40" s="448"/>
      <c r="G40" s="448"/>
      <c r="H40" s="448"/>
      <c r="I40" s="448"/>
      <c r="J40" s="448"/>
      <c r="K40" s="448"/>
      <c r="L40" s="450">
        <f>AVERAGE(L36:L38)</f>
        <v>0.10836181248027099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D63F-30B3-491C-AC55-9C07CD0856B1}">
  <dimension ref="A2:BO40"/>
  <sheetViews>
    <sheetView showGridLines="0" topLeftCell="B17" zoomScale="75" workbookViewId="0">
      <selection activeCell="I29" sqref="I29"/>
    </sheetView>
  </sheetViews>
  <sheetFormatPr defaultRowHeight="14.5"/>
  <cols>
    <col min="2" max="2" width="23.453125" bestFit="1" customWidth="1"/>
    <col min="3" max="3" width="7.6328125" bestFit="1" customWidth="1"/>
    <col min="4" max="4" width="10.453125" bestFit="1" customWidth="1"/>
    <col min="5" max="5" width="8.453125" bestFit="1" customWidth="1"/>
    <col min="6" max="6" width="13.7265625" bestFit="1" customWidth="1"/>
    <col min="7" max="8" width="8.453125" bestFit="1" customWidth="1"/>
    <col min="9" max="10" width="10.7265625" bestFit="1" customWidth="1"/>
    <col min="11" max="11" width="10.26953125" bestFit="1" customWidth="1"/>
    <col min="12" max="12" width="9" bestFit="1" customWidth="1"/>
    <col min="13" max="13" width="13.7265625" bestFit="1" customWidth="1"/>
    <col min="14" max="16" width="12.453125" bestFit="1" customWidth="1"/>
    <col min="17" max="17" width="12" bestFit="1" customWidth="1"/>
    <col min="18" max="19" width="12.453125" bestFit="1" customWidth="1"/>
    <col min="20" max="20" width="12" bestFit="1" customWidth="1"/>
    <col min="21" max="22" width="12.453125" bestFit="1" customWidth="1"/>
    <col min="23" max="27" width="8.81640625" bestFit="1" customWidth="1"/>
    <col min="28" max="33" width="10.1796875" bestFit="1" customWidth="1"/>
  </cols>
  <sheetData>
    <row r="2" spans="2:67" ht="16">
      <c r="B2" s="325" t="s">
        <v>359</v>
      </c>
      <c r="C2" s="145"/>
      <c r="D2" s="145"/>
      <c r="E2" s="145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2:67" ht="16">
      <c r="B3" s="21" t="s">
        <v>360</v>
      </c>
      <c r="C3" s="21"/>
      <c r="D3" s="145"/>
      <c r="E3" s="145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2:67" ht="16">
      <c r="B4" s="21"/>
      <c r="C4" s="21"/>
      <c r="D4" s="145"/>
      <c r="E4" s="145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2:67" ht="16">
      <c r="B5" s="238" t="s">
        <v>113</v>
      </c>
      <c r="C5" s="326" t="s">
        <v>116</v>
      </c>
      <c r="D5" s="327" t="s">
        <v>254</v>
      </c>
      <c r="E5" s="199" t="s">
        <v>266</v>
      </c>
      <c r="F5" s="156" t="s">
        <v>268</v>
      </c>
      <c r="G5" s="156" t="s">
        <v>270</v>
      </c>
      <c r="H5" s="151" t="s">
        <v>124</v>
      </c>
      <c r="I5" s="172" t="s">
        <v>244</v>
      </c>
      <c r="J5" s="172" t="s">
        <v>247</v>
      </c>
      <c r="K5" s="172" t="s">
        <v>203</v>
      </c>
      <c r="L5" s="172" t="s">
        <v>206</v>
      </c>
      <c r="M5" s="156" t="s">
        <v>269</v>
      </c>
      <c r="N5" s="156" t="s">
        <v>241</v>
      </c>
      <c r="O5" s="151" t="s">
        <v>361</v>
      </c>
      <c r="P5" s="156" t="s">
        <v>362</v>
      </c>
      <c r="Q5" s="156" t="s">
        <v>402</v>
      </c>
      <c r="R5" s="328" t="s">
        <v>403</v>
      </c>
      <c r="S5" s="156" t="s">
        <v>404</v>
      </c>
      <c r="T5" s="156" t="s">
        <v>242</v>
      </c>
      <c r="U5" s="172" t="s">
        <v>363</v>
      </c>
      <c r="V5" s="156" t="s">
        <v>364</v>
      </c>
      <c r="W5" s="156" t="s">
        <v>275</v>
      </c>
      <c r="X5" s="156" t="s">
        <v>276</v>
      </c>
      <c r="Y5" s="156" t="s">
        <v>277</v>
      </c>
      <c r="Z5" s="156" t="s">
        <v>365</v>
      </c>
      <c r="AA5" s="156" t="s">
        <v>366</v>
      </c>
      <c r="AB5" s="156"/>
      <c r="AC5" s="21"/>
    </row>
    <row r="6" spans="2:67" ht="16">
      <c r="B6" s="329" t="s">
        <v>367</v>
      </c>
      <c r="C6" s="330"/>
      <c r="D6" s="330"/>
      <c r="E6" s="330"/>
      <c r="F6" s="331" t="s">
        <v>368</v>
      </c>
      <c r="G6" s="331"/>
      <c r="H6" s="331"/>
      <c r="I6" s="331"/>
      <c r="J6" s="331"/>
      <c r="K6" s="331"/>
      <c r="L6" s="331"/>
      <c r="M6" s="332"/>
      <c r="N6" s="333"/>
      <c r="O6" s="333"/>
      <c r="P6" s="333"/>
      <c r="Q6" s="333"/>
      <c r="R6" s="333"/>
      <c r="S6" s="333"/>
      <c r="T6" s="333"/>
      <c r="U6" s="333"/>
      <c r="V6" s="333"/>
      <c r="W6" s="334" t="s">
        <v>369</v>
      </c>
      <c r="X6" s="334" t="s">
        <v>369</v>
      </c>
      <c r="Y6" s="331"/>
      <c r="Z6" s="331"/>
      <c r="AA6" s="335"/>
    </row>
    <row r="7" spans="2:67" ht="16">
      <c r="B7" s="333"/>
      <c r="C7" s="333"/>
      <c r="D7" s="334" t="s">
        <v>370</v>
      </c>
      <c r="E7" s="334" t="s">
        <v>371</v>
      </c>
      <c r="F7" s="334" t="s">
        <v>372</v>
      </c>
      <c r="G7" s="334"/>
      <c r="H7" s="334"/>
      <c r="I7" s="334"/>
      <c r="J7" s="334"/>
      <c r="K7" s="334"/>
      <c r="L7" s="334" t="s">
        <v>373</v>
      </c>
      <c r="M7" s="334" t="s">
        <v>301</v>
      </c>
      <c r="N7" s="331" t="s">
        <v>0</v>
      </c>
      <c r="O7" s="331"/>
      <c r="P7" s="331"/>
      <c r="Q7" s="331" t="s">
        <v>230</v>
      </c>
      <c r="R7" s="331"/>
      <c r="S7" s="331"/>
      <c r="T7" s="331" t="s">
        <v>374</v>
      </c>
      <c r="U7" s="331"/>
      <c r="V7" s="331"/>
      <c r="W7" s="334" t="s">
        <v>0</v>
      </c>
      <c r="X7" s="334" t="s">
        <v>230</v>
      </c>
      <c r="Y7" s="331" t="s">
        <v>231</v>
      </c>
      <c r="Z7" s="331"/>
      <c r="AA7" s="331"/>
      <c r="AF7" s="151" t="s">
        <v>116</v>
      </c>
      <c r="AG7" s="152"/>
      <c r="AH7" s="153"/>
      <c r="AI7" s="153"/>
      <c r="AJ7" s="154"/>
      <c r="AK7" s="155" t="str">
        <f>Ticker</f>
        <v>OUST</v>
      </c>
      <c r="AL7" s="156"/>
      <c r="AM7" s="153"/>
      <c r="AN7" s="153"/>
      <c r="AO7" s="154"/>
      <c r="AP7" s="155" t="s">
        <v>375</v>
      </c>
      <c r="AQ7" s="156"/>
      <c r="AR7" s="153"/>
      <c r="AS7" s="153"/>
      <c r="AT7" s="154"/>
      <c r="AU7" s="155" t="s">
        <v>376</v>
      </c>
      <c r="AV7" s="156"/>
      <c r="AW7" s="153"/>
      <c r="AX7" s="153"/>
      <c r="AY7" s="154"/>
      <c r="AZ7" s="155" t="s">
        <v>377</v>
      </c>
      <c r="BA7" s="156"/>
      <c r="BB7" s="153"/>
      <c r="BC7" s="153"/>
      <c r="BD7" s="154"/>
      <c r="BE7" s="155" t="s">
        <v>378</v>
      </c>
      <c r="BF7" s="156"/>
      <c r="BG7" s="153"/>
      <c r="BH7" s="153"/>
      <c r="BI7" s="154"/>
      <c r="BJ7" s="155" t="s">
        <v>379</v>
      </c>
      <c r="BK7" s="157"/>
      <c r="BL7" s="153"/>
      <c r="BM7" s="153"/>
      <c r="BN7" s="154"/>
      <c r="BO7" s="155" t="s">
        <v>380</v>
      </c>
    </row>
    <row r="8" spans="2:67" ht="16">
      <c r="B8" s="336" t="s">
        <v>381</v>
      </c>
      <c r="C8" s="336" t="s">
        <v>382</v>
      </c>
      <c r="D8" s="337" t="s">
        <v>310</v>
      </c>
      <c r="E8" s="337" t="s">
        <v>383</v>
      </c>
      <c r="F8" s="337" t="s">
        <v>384</v>
      </c>
      <c r="G8" s="337" t="s">
        <v>385</v>
      </c>
      <c r="H8" s="337" t="s">
        <v>386</v>
      </c>
      <c r="I8" s="337" t="s">
        <v>387</v>
      </c>
      <c r="J8" s="337" t="s">
        <v>42</v>
      </c>
      <c r="K8" s="337" t="s">
        <v>388</v>
      </c>
      <c r="L8" s="337" t="s">
        <v>389</v>
      </c>
      <c r="M8" s="337" t="s">
        <v>309</v>
      </c>
      <c r="N8" s="338" t="s">
        <v>240</v>
      </c>
      <c r="O8" s="339">
        <v>46022</v>
      </c>
      <c r="P8" s="339">
        <f>EOMONTH(O8,12)</f>
        <v>46387</v>
      </c>
      <c r="Q8" s="338" t="str">
        <f>$N$8</f>
        <v>LTM</v>
      </c>
      <c r="R8" s="339">
        <f>+$O$8</f>
        <v>46022</v>
      </c>
      <c r="S8" s="339">
        <f>+$P$8</f>
        <v>46387</v>
      </c>
      <c r="T8" s="338" t="str">
        <f>$N$8</f>
        <v>LTM</v>
      </c>
      <c r="U8" s="339">
        <f>+$O$8</f>
        <v>46022</v>
      </c>
      <c r="V8" s="339">
        <f>+$P$8</f>
        <v>46387</v>
      </c>
      <c r="W8" s="337" t="s">
        <v>390</v>
      </c>
      <c r="X8" s="337" t="s">
        <v>390</v>
      </c>
      <c r="Y8" s="338" t="str">
        <f>$N$8</f>
        <v>LTM</v>
      </c>
      <c r="Z8" s="339">
        <f>+$O$8</f>
        <v>46022</v>
      </c>
      <c r="AA8" s="339">
        <f>+$P$8</f>
        <v>46387</v>
      </c>
    </row>
    <row r="9" spans="2:67" ht="16">
      <c r="B9" s="238" t="str">
        <f t="shared" ref="B9:B14" si="0">INDEX(Pub_Comps_Range,MATCH(B$5,Pub_Comps_Params,0),MATCH($C9,Pub_Comps_Tickers,0))</f>
        <v>Hesai Group</v>
      </c>
      <c r="C9" s="166" t="s">
        <v>279</v>
      </c>
      <c r="D9" s="340">
        <f t="shared" ref="D9:M14" si="1">INDEX(Pub_Comps_Range,MATCH(D$5,Pub_Comps_Params,0),MATCH($C9,Pub_Comps_Tickers,0))</f>
        <v>25.13</v>
      </c>
      <c r="E9" s="340">
        <f t="shared" si="1"/>
        <v>160</v>
      </c>
      <c r="F9" s="340">
        <f t="shared" si="1"/>
        <v>4020.7999999999997</v>
      </c>
      <c r="G9" s="238">
        <f t="shared" si="1"/>
        <v>1.1499999999999999</v>
      </c>
      <c r="H9" s="341">
        <f t="shared" si="1"/>
        <v>6.0999999999999999E-2</v>
      </c>
      <c r="I9" s="340">
        <f t="shared" si="1"/>
        <v>-1059</v>
      </c>
      <c r="J9" s="340">
        <f t="shared" si="1"/>
        <v>120.1</v>
      </c>
      <c r="K9" s="340">
        <f t="shared" si="1"/>
        <v>0</v>
      </c>
      <c r="L9" s="340">
        <f t="shared" si="1"/>
        <v>0</v>
      </c>
      <c r="M9" s="340">
        <f t="shared" si="1"/>
        <v>3081.8999999999996</v>
      </c>
      <c r="N9" s="340">
        <f t="shared" ref="N9:AA14" si="2">INDEX(Pub_Comps_Range,MATCH(N$5,Pub_Comps_Params,0),MATCH($C9,Pub_Comps_Tickers,0))</f>
        <v>385</v>
      </c>
      <c r="O9" s="340">
        <f t="shared" si="2"/>
        <v>445</v>
      </c>
      <c r="P9" s="340">
        <f t="shared" si="2"/>
        <v>636</v>
      </c>
      <c r="Q9" s="340">
        <f t="shared" si="2"/>
        <v>187</v>
      </c>
      <c r="R9" s="340">
        <f t="shared" si="2"/>
        <v>260</v>
      </c>
      <c r="S9" s="340">
        <f t="shared" si="2"/>
        <v>346</v>
      </c>
      <c r="T9" s="340">
        <f t="shared" si="2"/>
        <v>60.4</v>
      </c>
      <c r="U9" s="340">
        <f t="shared" si="2"/>
        <v>57</v>
      </c>
      <c r="V9" s="340">
        <f t="shared" si="2"/>
        <v>90</v>
      </c>
      <c r="W9" s="341">
        <f t="shared" si="2"/>
        <v>0.42921348314606744</v>
      </c>
      <c r="X9" s="341">
        <f t="shared" si="2"/>
        <v>0.39037433155080214</v>
      </c>
      <c r="Y9" s="341">
        <f t="shared" si="2"/>
        <v>0.41428571428571431</v>
      </c>
      <c r="Z9" s="341">
        <f t="shared" si="2"/>
        <v>0.42022471910112358</v>
      </c>
      <c r="AA9" s="341">
        <f t="shared" si="2"/>
        <v>0.4088050314465409</v>
      </c>
      <c r="AE9" s="156"/>
    </row>
    <row r="10" spans="2:67" ht="16">
      <c r="B10" s="238" t="str">
        <f t="shared" si="0"/>
        <v>Innoviz Technologies, Ltd.</v>
      </c>
      <c r="C10" s="221" t="s">
        <v>280</v>
      </c>
      <c r="D10" s="340">
        <f t="shared" si="1"/>
        <v>1.04</v>
      </c>
      <c r="E10" s="340">
        <f t="shared" si="1"/>
        <v>208.542</v>
      </c>
      <c r="F10" s="340">
        <f t="shared" si="1"/>
        <v>216.88368</v>
      </c>
      <c r="G10" s="238">
        <f t="shared" si="1"/>
        <v>1.34</v>
      </c>
      <c r="H10" s="341">
        <f t="shared" si="1"/>
        <v>0</v>
      </c>
      <c r="I10" s="340">
        <f t="shared" si="1"/>
        <v>-74.3</v>
      </c>
      <c r="J10" s="340">
        <f t="shared" si="1"/>
        <v>34.9</v>
      </c>
      <c r="K10" s="340">
        <f t="shared" si="1"/>
        <v>0</v>
      </c>
      <c r="L10" s="340">
        <f t="shared" si="1"/>
        <v>0</v>
      </c>
      <c r="M10" s="340">
        <f t="shared" si="1"/>
        <v>177.48367999999999</v>
      </c>
      <c r="N10" s="340">
        <f t="shared" si="2"/>
        <v>48.441999999999993</v>
      </c>
      <c r="O10" s="340">
        <f t="shared" si="2"/>
        <v>58</v>
      </c>
      <c r="P10" s="340">
        <f t="shared" si="2"/>
        <v>83</v>
      </c>
      <c r="Q10" s="340">
        <f t="shared" si="2"/>
        <v>13</v>
      </c>
      <c r="R10" s="340">
        <f t="shared" si="2"/>
        <v>14</v>
      </c>
      <c r="S10" s="340">
        <f t="shared" si="2"/>
        <v>28</v>
      </c>
      <c r="T10" s="340">
        <f t="shared" si="2"/>
        <v>-65.135999999999996</v>
      </c>
      <c r="U10" s="340">
        <f t="shared" si="2"/>
        <v>-62</v>
      </c>
      <c r="V10" s="340">
        <f t="shared" si="2"/>
        <v>-67</v>
      </c>
      <c r="W10" s="341">
        <f t="shared" si="2"/>
        <v>0.43103448275862077</v>
      </c>
      <c r="X10" s="341">
        <f t="shared" si="2"/>
        <v>7.6923076923076872E-2</v>
      </c>
      <c r="Y10" s="341">
        <f t="shared" si="2"/>
        <v>0.23489946740431858</v>
      </c>
      <c r="Z10" s="341">
        <f t="shared" si="2"/>
        <v>0.22413793103448276</v>
      </c>
      <c r="AA10" s="341">
        <f t="shared" si="2"/>
        <v>0.16867469879518071</v>
      </c>
      <c r="AE10" s="156"/>
    </row>
    <row r="11" spans="2:67" ht="16">
      <c r="B11" s="238" t="str">
        <f t="shared" si="0"/>
        <v>Aeva Technologies, Inc.</v>
      </c>
      <c r="C11" s="405" t="s">
        <v>281</v>
      </c>
      <c r="D11" s="340">
        <f t="shared" si="1"/>
        <v>14.34</v>
      </c>
      <c r="E11" s="340">
        <f t="shared" si="1"/>
        <v>63.942</v>
      </c>
      <c r="F11" s="340">
        <f t="shared" si="1"/>
        <v>916.92827999999997</v>
      </c>
      <c r="G11" s="238">
        <f t="shared" si="1"/>
        <v>2.08</v>
      </c>
      <c r="H11" s="341">
        <f t="shared" si="1"/>
        <v>0.2</v>
      </c>
      <c r="I11" s="340">
        <f t="shared" si="1"/>
        <v>-48.8</v>
      </c>
      <c r="J11" s="340">
        <f t="shared" si="1"/>
        <v>6.1239999999999997</v>
      </c>
      <c r="K11" s="340">
        <f t="shared" si="1"/>
        <v>0</v>
      </c>
      <c r="L11" s="340">
        <f t="shared" si="1"/>
        <v>0</v>
      </c>
      <c r="M11" s="340">
        <f t="shared" si="1"/>
        <v>874.25227999999993</v>
      </c>
      <c r="N11" s="340">
        <f t="shared" si="2"/>
        <v>15.154</v>
      </c>
      <c r="O11" s="340">
        <f t="shared" si="2"/>
        <v>17</v>
      </c>
      <c r="P11" s="340">
        <f t="shared" si="2"/>
        <v>28</v>
      </c>
      <c r="Q11" s="340">
        <f t="shared" si="2"/>
        <v>-1</v>
      </c>
      <c r="R11" s="340">
        <f t="shared" si="2"/>
        <v>0</v>
      </c>
      <c r="S11" s="340">
        <f t="shared" si="2"/>
        <v>13</v>
      </c>
      <c r="T11" s="340">
        <f t="shared" si="2"/>
        <v>-156</v>
      </c>
      <c r="U11" s="340">
        <f t="shared" si="2"/>
        <v>-152</v>
      </c>
      <c r="V11" s="340">
        <f t="shared" si="2"/>
        <v>-137</v>
      </c>
      <c r="W11" s="341">
        <f t="shared" si="2"/>
        <v>0.64705882352941169</v>
      </c>
      <c r="X11" s="341">
        <f t="shared" si="2"/>
        <v>-1</v>
      </c>
      <c r="Y11" s="341">
        <f t="shared" si="2"/>
        <v>-0.13197835554968984</v>
      </c>
      <c r="Z11" s="341">
        <f t="shared" si="2"/>
        <v>-5.8823529411764705E-2</v>
      </c>
      <c r="AA11" s="341">
        <f t="shared" si="2"/>
        <v>0</v>
      </c>
      <c r="AE11" s="156"/>
    </row>
    <row r="12" spans="2:67" ht="16">
      <c r="B12" s="238" t="str">
        <f t="shared" si="0"/>
        <v>Luminar Technologies, Inc.</v>
      </c>
      <c r="C12" s="406" t="s">
        <v>284</v>
      </c>
      <c r="D12" s="340">
        <f t="shared" si="1"/>
        <v>0.08</v>
      </c>
      <c r="E12" s="340">
        <f t="shared" si="1"/>
        <v>139.91386249999999</v>
      </c>
      <c r="F12" s="340">
        <f t="shared" si="1"/>
        <v>11.193109</v>
      </c>
      <c r="G12" s="238">
        <f t="shared" si="1"/>
        <v>1.36</v>
      </c>
      <c r="H12" s="341">
        <f t="shared" si="1"/>
        <v>0</v>
      </c>
      <c r="I12" s="340">
        <f t="shared" si="1"/>
        <v>-6.3</v>
      </c>
      <c r="J12" s="340">
        <f t="shared" si="1"/>
        <v>449</v>
      </c>
      <c r="K12" s="340">
        <f t="shared" si="1"/>
        <v>0</v>
      </c>
      <c r="L12" s="340">
        <f t="shared" si="1"/>
        <v>0</v>
      </c>
      <c r="M12" s="340">
        <f t="shared" si="1"/>
        <v>453.89310899999998</v>
      </c>
      <c r="N12" s="340">
        <f t="shared" si="2"/>
        <v>75.77000000000001</v>
      </c>
      <c r="O12" s="340">
        <f t="shared" si="2"/>
        <v>0</v>
      </c>
      <c r="P12" s="340">
        <f t="shared" si="2"/>
        <v>0</v>
      </c>
      <c r="Q12" s="340">
        <f t="shared" si="2"/>
        <v>0</v>
      </c>
      <c r="R12" s="340">
        <f t="shared" si="2"/>
        <v>0</v>
      </c>
      <c r="S12" s="340">
        <f t="shared" si="2"/>
        <v>0</v>
      </c>
      <c r="T12" s="340">
        <f t="shared" si="2"/>
        <v>-234</v>
      </c>
      <c r="U12" s="340">
        <f t="shared" si="2"/>
        <v>0</v>
      </c>
      <c r="V12" s="340">
        <f t="shared" si="2"/>
        <v>0</v>
      </c>
      <c r="W12" s="341" t="str">
        <f t="shared" si="2"/>
        <v>N/A</v>
      </c>
      <c r="X12" s="341" t="str">
        <f t="shared" si="2"/>
        <v>N/A</v>
      </c>
      <c r="Y12" s="341">
        <f t="shared" si="2"/>
        <v>-0.14900356341559981</v>
      </c>
      <c r="Z12" s="341" t="str">
        <f t="shared" si="2"/>
        <v>N/A</v>
      </c>
      <c r="AA12" s="341" t="str">
        <f t="shared" si="2"/>
        <v>N/A</v>
      </c>
      <c r="AD12" s="156"/>
      <c r="AE12" s="156"/>
    </row>
    <row r="13" spans="2:67" ht="16">
      <c r="B13" s="238" t="str">
        <f t="shared" si="0"/>
        <v>MicroVision, Inc.</v>
      </c>
      <c r="C13" s="406" t="s">
        <v>282</v>
      </c>
      <c r="D13" s="340">
        <f t="shared" si="1"/>
        <v>0.85</v>
      </c>
      <c r="E13" s="340">
        <f t="shared" si="1"/>
        <v>325.20012352941177</v>
      </c>
      <c r="F13" s="340">
        <f t="shared" si="1"/>
        <v>276.42010499999998</v>
      </c>
      <c r="G13" s="238">
        <f t="shared" si="1"/>
        <v>1.27</v>
      </c>
      <c r="H13" s="341">
        <f t="shared" si="1"/>
        <v>0</v>
      </c>
      <c r="I13" s="340">
        <f t="shared" si="1"/>
        <v>-99</v>
      </c>
      <c r="J13" s="340">
        <f t="shared" si="1"/>
        <v>46</v>
      </c>
      <c r="K13" s="340">
        <f t="shared" si="1"/>
        <v>0</v>
      </c>
      <c r="L13" s="340">
        <f t="shared" si="1"/>
        <v>0</v>
      </c>
      <c r="M13" s="340">
        <f t="shared" si="1"/>
        <v>223.42010499999998</v>
      </c>
      <c r="N13" s="340">
        <f t="shared" si="2"/>
        <v>2.6360000000000001</v>
      </c>
      <c r="O13" s="340">
        <f t="shared" si="2"/>
        <v>3</v>
      </c>
      <c r="P13" s="340">
        <f t="shared" si="2"/>
        <v>15</v>
      </c>
      <c r="Q13" s="340">
        <f t="shared" si="2"/>
        <v>-1.8900000000000001</v>
      </c>
      <c r="R13" s="340">
        <f t="shared" si="2"/>
        <v>3.375</v>
      </c>
      <c r="S13" s="340">
        <f t="shared" si="2"/>
        <v>9.7200000000000006</v>
      </c>
      <c r="T13" s="340">
        <f t="shared" si="2"/>
        <v>-88</v>
      </c>
      <c r="U13" s="340">
        <f t="shared" si="2"/>
        <v>-73</v>
      </c>
      <c r="V13" s="340">
        <f t="shared" si="2"/>
        <v>-54</v>
      </c>
      <c r="W13" s="341">
        <f t="shared" si="2"/>
        <v>4</v>
      </c>
      <c r="X13" s="341">
        <f t="shared" si="2"/>
        <v>-2.7857142857142856</v>
      </c>
      <c r="Y13" s="341">
        <f t="shared" si="2"/>
        <v>-1.4036418816388467</v>
      </c>
      <c r="Z13" s="341">
        <f t="shared" si="2"/>
        <v>-0.63</v>
      </c>
      <c r="AA13" s="341">
        <f t="shared" si="2"/>
        <v>0.22500000000000001</v>
      </c>
      <c r="AE13" s="156"/>
      <c r="AF13" t="s">
        <v>391</v>
      </c>
    </row>
    <row r="14" spans="2:67" ht="16">
      <c r="B14" s="238" t="str">
        <f t="shared" si="0"/>
        <v>Aeye, Inc.</v>
      </c>
      <c r="C14" s="405" t="s">
        <v>283</v>
      </c>
      <c r="D14" s="340">
        <f t="shared" si="1"/>
        <v>1.85</v>
      </c>
      <c r="E14" s="340">
        <f t="shared" si="1"/>
        <v>45.055</v>
      </c>
      <c r="F14" s="340">
        <f t="shared" si="1"/>
        <v>83.35175000000001</v>
      </c>
      <c r="G14" s="238">
        <f t="shared" si="1"/>
        <v>2.98</v>
      </c>
      <c r="H14" s="341">
        <f t="shared" si="1"/>
        <v>0</v>
      </c>
      <c r="I14" s="340">
        <f t="shared" si="1"/>
        <v>-84.332999999999998</v>
      </c>
      <c r="J14" s="340">
        <f t="shared" si="1"/>
        <v>0.82399999999999995</v>
      </c>
      <c r="K14" s="340">
        <f t="shared" si="1"/>
        <v>0</v>
      </c>
      <c r="L14" s="340">
        <f t="shared" si="1"/>
        <v>0</v>
      </c>
      <c r="M14" s="340">
        <f t="shared" si="1"/>
        <v>-0.15724999999999056</v>
      </c>
      <c r="N14" s="340">
        <f t="shared" si="2"/>
        <v>0.18200000000000002</v>
      </c>
      <c r="O14" s="340">
        <f t="shared" si="2"/>
        <v>0</v>
      </c>
      <c r="P14" s="340">
        <f t="shared" si="2"/>
        <v>6</v>
      </c>
      <c r="Q14" s="340">
        <f t="shared" si="2"/>
        <v>30</v>
      </c>
      <c r="R14" s="340">
        <f t="shared" si="2"/>
        <v>0.94799999999999995</v>
      </c>
      <c r="S14" s="340">
        <f t="shared" si="2"/>
        <v>8.75</v>
      </c>
      <c r="T14" s="340">
        <f t="shared" si="2"/>
        <v>-34</v>
      </c>
      <c r="U14" s="340">
        <f t="shared" si="2"/>
        <v>-35</v>
      </c>
      <c r="V14" s="340">
        <f t="shared" si="2"/>
        <v>-33</v>
      </c>
      <c r="W14" s="341" t="str">
        <f t="shared" si="2"/>
        <v>N/A</v>
      </c>
      <c r="X14" s="341">
        <f t="shared" si="2"/>
        <v>-0.96840000000000004</v>
      </c>
      <c r="Y14" s="341">
        <f t="shared" si="2"/>
        <v>0.37912087912087938</v>
      </c>
      <c r="Z14" s="341" t="str">
        <f t="shared" si="2"/>
        <v>N/A</v>
      </c>
      <c r="AA14" s="341">
        <f t="shared" si="2"/>
        <v>0.158</v>
      </c>
      <c r="AE14" s="156"/>
    </row>
    <row r="15" spans="2:67" ht="16">
      <c r="B15" s="342" t="s">
        <v>312</v>
      </c>
      <c r="C15" s="343"/>
      <c r="D15" s="344">
        <f>MAX(D9:D13)</f>
        <v>25.13</v>
      </c>
      <c r="E15" s="344"/>
      <c r="F15" s="345">
        <f>MAX(F9:F13)</f>
        <v>4020.7999999999997</v>
      </c>
      <c r="G15" s="345"/>
      <c r="H15" s="345"/>
      <c r="I15" s="345"/>
      <c r="J15" s="345"/>
      <c r="K15" s="345"/>
      <c r="L15" s="345"/>
      <c r="M15" s="345">
        <f>MAX(M9:M13)</f>
        <v>3081.8999999999996</v>
      </c>
      <c r="N15" s="345">
        <f>MAX(N9:N13)</f>
        <v>385</v>
      </c>
      <c r="O15" s="345">
        <f>MAX(O9:O13)</f>
        <v>445</v>
      </c>
      <c r="P15" s="345">
        <f>MAX(P9:P13)</f>
        <v>636</v>
      </c>
      <c r="Q15" s="345">
        <f>MAX(Q9:Q13)</f>
        <v>187</v>
      </c>
      <c r="R15" s="345">
        <f t="shared" ref="R15:S15" si="3">MAX(R9:R13)</f>
        <v>260</v>
      </c>
      <c r="S15" s="345">
        <f t="shared" si="3"/>
        <v>346</v>
      </c>
      <c r="T15" s="345">
        <f>MAX(T9:T13)</f>
        <v>60.4</v>
      </c>
      <c r="U15" s="345">
        <f>MAX(U9:U13)</f>
        <v>57</v>
      </c>
      <c r="V15" s="345">
        <f t="shared" ref="V15:AA15" si="4">MAX(V9:V13)</f>
        <v>90</v>
      </c>
      <c r="W15" s="346">
        <f t="shared" si="4"/>
        <v>4</v>
      </c>
      <c r="X15" s="346">
        <f t="shared" si="4"/>
        <v>0.39037433155080214</v>
      </c>
      <c r="Y15" s="346">
        <f t="shared" si="4"/>
        <v>0.41428571428571431</v>
      </c>
      <c r="Z15" s="346">
        <f t="shared" si="4"/>
        <v>0.42022471910112358</v>
      </c>
      <c r="AA15" s="347">
        <f t="shared" si="4"/>
        <v>0.4088050314465409</v>
      </c>
      <c r="AE15" s="156"/>
    </row>
    <row r="16" spans="2:67" ht="16">
      <c r="B16" s="348" t="s">
        <v>313</v>
      </c>
      <c r="C16" s="21"/>
      <c r="D16" s="349">
        <f>QUARTILE(D9:D13,3)</f>
        <v>14.34</v>
      </c>
      <c r="E16" s="349"/>
      <c r="F16" s="350">
        <f>QUARTILE(F9:F13,3)</f>
        <v>916.92827999999997</v>
      </c>
      <c r="G16" s="350"/>
      <c r="H16" s="350"/>
      <c r="I16" s="350"/>
      <c r="J16" s="350"/>
      <c r="K16" s="350"/>
      <c r="L16" s="350"/>
      <c r="M16" s="350">
        <f>QUARTILE(M9:M13,3)</f>
        <v>874.25227999999993</v>
      </c>
      <c r="N16" s="350">
        <f>QUARTILE(N9:N13,3)</f>
        <v>75.77000000000001</v>
      </c>
      <c r="O16" s="350">
        <f>QUARTILE(O9:O13,3)</f>
        <v>58</v>
      </c>
      <c r="P16" s="350">
        <f>QUARTILE(P9:P13,3)</f>
        <v>83</v>
      </c>
      <c r="Q16" s="350">
        <f>QUARTILE(Q9:Q13,3)</f>
        <v>13</v>
      </c>
      <c r="R16" s="350">
        <f t="shared" ref="R16:S16" si="5">QUARTILE(R9:R13,3)</f>
        <v>14</v>
      </c>
      <c r="S16" s="350">
        <f t="shared" si="5"/>
        <v>28</v>
      </c>
      <c r="T16" s="350">
        <f>QUARTILE(T9:T13,3)</f>
        <v>-65.135999999999996</v>
      </c>
      <c r="U16" s="350">
        <f>QUARTILE(U9:U13,3)</f>
        <v>0</v>
      </c>
      <c r="V16" s="350">
        <f t="shared" ref="V16:AA16" si="6">QUARTILE(V9:V13,3)</f>
        <v>0</v>
      </c>
      <c r="W16" s="351">
        <f t="shared" si="6"/>
        <v>1.4852941176470589</v>
      </c>
      <c r="X16" s="351">
        <f t="shared" si="6"/>
        <v>0.15528589058000819</v>
      </c>
      <c r="Y16" s="351">
        <f t="shared" si="6"/>
        <v>0.23489946740431858</v>
      </c>
      <c r="Z16" s="351">
        <f t="shared" si="6"/>
        <v>0.27315962805114297</v>
      </c>
      <c r="AA16" s="352">
        <f t="shared" si="6"/>
        <v>0.27095125786163521</v>
      </c>
      <c r="AD16" s="156"/>
      <c r="AE16" s="156"/>
    </row>
    <row r="17" spans="1:33" ht="16">
      <c r="B17" s="353" t="s">
        <v>314</v>
      </c>
      <c r="C17" s="354"/>
      <c r="D17" s="355">
        <f>MEDIAN(D9:D13)</f>
        <v>1.04</v>
      </c>
      <c r="E17" s="355"/>
      <c r="F17" s="356">
        <f>MEDIAN(F9:F13)</f>
        <v>276.42010499999998</v>
      </c>
      <c r="G17" s="356"/>
      <c r="H17" s="356"/>
      <c r="I17" s="357"/>
      <c r="J17" s="357"/>
      <c r="K17" s="357"/>
      <c r="L17" s="357"/>
      <c r="M17" s="356">
        <f>MEDIAN(M9:M13)</f>
        <v>453.89310899999998</v>
      </c>
      <c r="N17" s="356">
        <f>MEDIAN(N9:N13)</f>
        <v>48.441999999999993</v>
      </c>
      <c r="O17" s="356">
        <f>MEDIAN(O9:O13)</f>
        <v>17</v>
      </c>
      <c r="P17" s="356">
        <f>MEDIAN(P9:P13)</f>
        <v>28</v>
      </c>
      <c r="Q17" s="356">
        <f>MEDIAN(Q9:Q13)</f>
        <v>0</v>
      </c>
      <c r="R17" s="356">
        <f t="shared" ref="R17:S17" si="7">MEDIAN(R9:R13)</f>
        <v>3.375</v>
      </c>
      <c r="S17" s="356">
        <f t="shared" si="7"/>
        <v>13</v>
      </c>
      <c r="T17" s="356">
        <f>MEDIAN(T9:T13)</f>
        <v>-88</v>
      </c>
      <c r="U17" s="356">
        <f>MEDIAN(U9:U13)</f>
        <v>-62</v>
      </c>
      <c r="V17" s="356">
        <f t="shared" ref="V17:AA17" si="8">MEDIAN(V9:V13)</f>
        <v>-54</v>
      </c>
      <c r="W17" s="358">
        <f t="shared" si="8"/>
        <v>0.53904665314401623</v>
      </c>
      <c r="X17" s="358">
        <f t="shared" si="8"/>
        <v>-0.46153846153846156</v>
      </c>
      <c r="Y17" s="358">
        <f t="shared" si="8"/>
        <v>-0.13197835554968984</v>
      </c>
      <c r="Z17" s="358">
        <f t="shared" si="8"/>
        <v>8.2657200811359036E-2</v>
      </c>
      <c r="AA17" s="359">
        <f t="shared" si="8"/>
        <v>0.19683734939759034</v>
      </c>
      <c r="AD17" s="156"/>
      <c r="AE17" s="156"/>
    </row>
    <row r="18" spans="1:33" ht="16">
      <c r="B18" s="348" t="s">
        <v>315</v>
      </c>
      <c r="C18" s="145"/>
      <c r="D18" s="349">
        <f>QUARTILE(D9:D13,1)</f>
        <v>0.85</v>
      </c>
      <c r="E18" s="349"/>
      <c r="F18" s="350">
        <f>QUARTILE(F9:F13,1)</f>
        <v>216.88368</v>
      </c>
      <c r="G18" s="350"/>
      <c r="H18" s="350"/>
      <c r="I18" s="350"/>
      <c r="J18" s="350"/>
      <c r="K18" s="350"/>
      <c r="L18" s="350"/>
      <c r="M18" s="350">
        <f>QUARTILE(M9:M13,1)</f>
        <v>223.42010499999998</v>
      </c>
      <c r="N18" s="350">
        <f>QUARTILE(N9:N13,1)</f>
        <v>15.154</v>
      </c>
      <c r="O18" s="350">
        <f>QUARTILE(O9:O13,1)</f>
        <v>3</v>
      </c>
      <c r="P18" s="350">
        <f>QUARTILE(P9:P13,1)</f>
        <v>15</v>
      </c>
      <c r="Q18" s="350">
        <f>QUARTILE(Q9:Q13,1)</f>
        <v>-1</v>
      </c>
      <c r="R18" s="350">
        <f t="shared" ref="R18:S18" si="9">QUARTILE(R9:R13,1)</f>
        <v>0</v>
      </c>
      <c r="S18" s="350">
        <f t="shared" si="9"/>
        <v>9.7200000000000006</v>
      </c>
      <c r="T18" s="350">
        <f>QUARTILE(T9:T13,1)</f>
        <v>-156</v>
      </c>
      <c r="U18" s="350">
        <f>QUARTILE(U9:U13,1)</f>
        <v>-73</v>
      </c>
      <c r="V18" s="350">
        <f t="shared" ref="V18:AA18" si="10">QUARTILE(V9:V13,1)</f>
        <v>-67</v>
      </c>
      <c r="W18" s="351">
        <f t="shared" si="10"/>
        <v>0.43057923285548244</v>
      </c>
      <c r="X18" s="351">
        <f t="shared" si="10"/>
        <v>-1.4464285714285714</v>
      </c>
      <c r="Y18" s="351">
        <f t="shared" si="10"/>
        <v>-0.14900356341559981</v>
      </c>
      <c r="Z18" s="351">
        <f t="shared" si="10"/>
        <v>-0.20161764705882357</v>
      </c>
      <c r="AA18" s="352">
        <f t="shared" si="10"/>
        <v>0.12650602409638553</v>
      </c>
      <c r="AD18" s="156"/>
      <c r="AE18" s="156"/>
    </row>
    <row r="19" spans="1:33" ht="16">
      <c r="B19" s="360" t="s">
        <v>316</v>
      </c>
      <c r="C19" s="361"/>
      <c r="D19" s="362">
        <f>MIN(D9:D13)</f>
        <v>0.08</v>
      </c>
      <c r="E19" s="362"/>
      <c r="F19" s="363">
        <f>MIN(F9:F13)</f>
        <v>11.193109</v>
      </c>
      <c r="G19" s="363"/>
      <c r="H19" s="363"/>
      <c r="I19" s="363"/>
      <c r="J19" s="363"/>
      <c r="K19" s="363"/>
      <c r="L19" s="363"/>
      <c r="M19" s="363">
        <f>MIN(M9:M13)</f>
        <v>177.48367999999999</v>
      </c>
      <c r="N19" s="363">
        <f>MIN(N9:N13)</f>
        <v>2.6360000000000001</v>
      </c>
      <c r="O19" s="363">
        <f>MIN(O9:O13)</f>
        <v>0</v>
      </c>
      <c r="P19" s="363">
        <f>MIN(P9:P13)</f>
        <v>0</v>
      </c>
      <c r="Q19" s="363">
        <f>MIN(Q9:Q13)</f>
        <v>-1.8900000000000001</v>
      </c>
      <c r="R19" s="363">
        <f t="shared" ref="R19:S19" si="11">MIN(R9:R13)</f>
        <v>0</v>
      </c>
      <c r="S19" s="363">
        <f t="shared" si="11"/>
        <v>0</v>
      </c>
      <c r="T19" s="363">
        <f>MIN(T9:T13)</f>
        <v>-234</v>
      </c>
      <c r="U19" s="363">
        <f>MIN(U9:U13)</f>
        <v>-152</v>
      </c>
      <c r="V19" s="363">
        <f t="shared" ref="V19:AA19" si="12">MIN(V9:V13)</f>
        <v>-137</v>
      </c>
      <c r="W19" s="364">
        <f t="shared" si="12"/>
        <v>0.42921348314606744</v>
      </c>
      <c r="X19" s="364">
        <f t="shared" si="12"/>
        <v>-2.7857142857142856</v>
      </c>
      <c r="Y19" s="364">
        <f t="shared" si="12"/>
        <v>-1.4036418816388467</v>
      </c>
      <c r="Z19" s="364">
        <f t="shared" si="12"/>
        <v>-0.63</v>
      </c>
      <c r="AA19" s="365">
        <f t="shared" si="12"/>
        <v>0</v>
      </c>
      <c r="AD19" s="156"/>
      <c r="AE19" s="156"/>
    </row>
    <row r="20" spans="1:33" ht="16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D20" s="156"/>
      <c r="AE20" s="156"/>
    </row>
    <row r="21" spans="1:33" ht="16">
      <c r="A21" s="366"/>
      <c r="B21" s="367" t="str">
        <f t="shared" ref="B21:L21" si="13">INDEX(Pub_Comps_Range,MATCH(B$5,Pub_Comps_Params,0),MATCH($C21,Pub_Comps_Tickers,0))</f>
        <v>Ouster, Inc.</v>
      </c>
      <c r="C21" s="368" t="str">
        <f>Ticker</f>
        <v>OUST</v>
      </c>
      <c r="D21" s="369">
        <f>Share_Price</f>
        <v>21.06</v>
      </c>
      <c r="E21" s="370">
        <f t="shared" si="13"/>
        <v>53.148000000000003</v>
      </c>
      <c r="F21" s="371">
        <f t="shared" si="13"/>
        <v>1119.2968800000001</v>
      </c>
      <c r="G21" s="372">
        <f t="shared" si="13"/>
        <v>2.2400000000000002</v>
      </c>
      <c r="H21" s="373">
        <f t="shared" si="13"/>
        <v>0.21</v>
      </c>
      <c r="I21" s="371">
        <f t="shared" si="13"/>
        <v>-210.56568958861294</v>
      </c>
      <c r="J21" s="371">
        <f t="shared" si="13"/>
        <v>0</v>
      </c>
      <c r="K21" s="371">
        <f t="shared" si="13"/>
        <v>0</v>
      </c>
      <c r="L21" s="371">
        <f t="shared" si="13"/>
        <v>773.03309999999999</v>
      </c>
      <c r="M21" s="371">
        <f t="shared" ref="M21:V21" si="14">INDEX(Pub_Comps_Range,MATCH(M$5,Pub_Comps_Params,0),MATCH($C21,Pub_Comps_Tickers,0))</f>
        <v>1681.7642904113873</v>
      </c>
      <c r="N21" s="371">
        <f t="shared" si="14"/>
        <v>111.101</v>
      </c>
      <c r="O21" s="371">
        <f t="shared" si="14"/>
        <v>169</v>
      </c>
      <c r="P21" s="371">
        <f t="shared" si="14"/>
        <v>254.78800000000001</v>
      </c>
      <c r="Q21" s="371">
        <f t="shared" si="14"/>
        <v>82.81</v>
      </c>
      <c r="R21" s="371">
        <f t="shared" si="14"/>
        <v>101.91520000000001</v>
      </c>
      <c r="S21" s="371">
        <f t="shared" si="14"/>
        <v>146.10166560000002</v>
      </c>
      <c r="T21" s="371">
        <f t="shared" si="14"/>
        <v>-97.045000000000002</v>
      </c>
      <c r="U21" s="371">
        <f t="shared" si="14"/>
        <v>-66.950192000000001</v>
      </c>
      <c r="V21" s="371">
        <f t="shared" si="14"/>
        <v>-41.035703020569343</v>
      </c>
      <c r="W21" s="374">
        <f t="shared" ref="W21:AA21" si="15">MIN(W10:W15)</f>
        <v>0.43103448275862077</v>
      </c>
      <c r="X21" s="374">
        <f t="shared" si="15"/>
        <v>-2.7857142857142856</v>
      </c>
      <c r="Y21" s="374">
        <f t="shared" si="15"/>
        <v>-1.4036418816388467</v>
      </c>
      <c r="Z21" s="374">
        <f t="shared" si="15"/>
        <v>-0.63</v>
      </c>
      <c r="AA21" s="375">
        <f t="shared" si="15"/>
        <v>0</v>
      </c>
      <c r="AE21" s="156"/>
    </row>
    <row r="22" spans="1:33" ht="16">
      <c r="B22" s="376"/>
      <c r="C22" s="376"/>
      <c r="D22" s="377"/>
      <c r="E22" s="378"/>
      <c r="F22" s="379"/>
      <c r="G22" s="380"/>
      <c r="H22" s="381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82"/>
      <c r="X22" s="382"/>
      <c r="Y22" s="382"/>
      <c r="Z22" s="382"/>
      <c r="AA22" s="382"/>
      <c r="AE22" s="156"/>
    </row>
    <row r="23" spans="1:33" ht="16">
      <c r="B23" s="238" t="s">
        <v>113</v>
      </c>
      <c r="C23" s="326" t="s">
        <v>116</v>
      </c>
      <c r="D23" s="327" t="s">
        <v>254</v>
      </c>
      <c r="F23" s="327" t="s">
        <v>268</v>
      </c>
      <c r="M23" s="327" t="s">
        <v>269</v>
      </c>
      <c r="N23" s="156" t="s">
        <v>392</v>
      </c>
      <c r="O23" s="156" t="s">
        <v>393</v>
      </c>
      <c r="P23" s="156" t="s">
        <v>394</v>
      </c>
      <c r="Q23" s="156" t="s">
        <v>405</v>
      </c>
      <c r="R23" s="156" t="s">
        <v>406</v>
      </c>
      <c r="S23" s="156" t="s">
        <v>407</v>
      </c>
      <c r="T23" s="156" t="s">
        <v>395</v>
      </c>
      <c r="U23" s="156" t="s">
        <v>396</v>
      </c>
      <c r="V23" s="156" t="s">
        <v>397</v>
      </c>
      <c r="W23" s="21"/>
      <c r="X23" s="21"/>
      <c r="Y23" s="21"/>
      <c r="Z23" s="21"/>
      <c r="AA23" s="21"/>
      <c r="AE23" s="156"/>
    </row>
    <row r="24" spans="1:33" ht="16">
      <c r="B24" s="330" t="s">
        <v>398</v>
      </c>
      <c r="C24" s="330"/>
      <c r="D24" s="330"/>
      <c r="E24" s="330"/>
      <c r="F24" s="331" t="s">
        <v>368</v>
      </c>
      <c r="G24" s="331"/>
      <c r="H24" s="331"/>
      <c r="I24" s="331"/>
      <c r="J24" s="331"/>
      <c r="K24" s="331"/>
      <c r="L24" s="331"/>
      <c r="M24" s="332"/>
      <c r="N24" s="331" t="s">
        <v>399</v>
      </c>
      <c r="O24" s="332"/>
      <c r="P24" s="332"/>
      <c r="Q24" s="331" t="s">
        <v>399</v>
      </c>
      <c r="R24" s="332"/>
      <c r="S24" s="332"/>
      <c r="T24" s="333"/>
      <c r="U24" s="333"/>
      <c r="V24" s="333"/>
      <c r="W24" s="21"/>
      <c r="X24" s="21"/>
      <c r="Y24" s="21"/>
      <c r="Z24" s="21"/>
      <c r="AA24" s="21"/>
      <c r="AD24" s="156"/>
      <c r="AE24" s="156"/>
    </row>
    <row r="25" spans="1:33" ht="16">
      <c r="B25" s="333"/>
      <c r="C25" s="333"/>
      <c r="D25" s="334"/>
      <c r="E25" s="334"/>
      <c r="F25" s="334" t="s">
        <v>372</v>
      </c>
      <c r="G25" s="334"/>
      <c r="H25" s="334"/>
      <c r="I25" s="334"/>
      <c r="J25" s="334"/>
      <c r="K25" s="334"/>
      <c r="L25" s="334"/>
      <c r="M25" s="334" t="s">
        <v>301</v>
      </c>
      <c r="N25" s="331" t="s">
        <v>0</v>
      </c>
      <c r="O25" s="332"/>
      <c r="P25" s="332"/>
      <c r="Q25" s="331" t="s">
        <v>230</v>
      </c>
      <c r="R25" s="335"/>
      <c r="S25" s="335"/>
      <c r="T25" s="331" t="s">
        <v>400</v>
      </c>
      <c r="U25" s="331"/>
      <c r="V25" s="331"/>
      <c r="W25" s="383"/>
      <c r="X25" s="383"/>
      <c r="Y25" s="384"/>
      <c r="Z25" s="384"/>
      <c r="AA25" s="384"/>
      <c r="AB25" s="384"/>
      <c r="AC25" s="384"/>
      <c r="AE25" s="156"/>
      <c r="AF25" s="384"/>
      <c r="AG25" s="384"/>
    </row>
    <row r="26" spans="1:33" ht="16">
      <c r="B26" s="336" t="s">
        <v>381</v>
      </c>
      <c r="C26" s="336" t="s">
        <v>382</v>
      </c>
      <c r="D26" s="336" t="s">
        <v>401</v>
      </c>
      <c r="E26" s="337"/>
      <c r="F26" s="337" t="s">
        <v>309</v>
      </c>
      <c r="G26" s="337"/>
      <c r="H26" s="337"/>
      <c r="I26" s="337"/>
      <c r="J26" s="337"/>
      <c r="K26" s="337"/>
      <c r="L26" s="337"/>
      <c r="M26" s="337" t="s">
        <v>309</v>
      </c>
      <c r="N26" s="385" t="str">
        <f>$N$8</f>
        <v>LTM</v>
      </c>
      <c r="O26" s="303">
        <f>+$O$8</f>
        <v>46022</v>
      </c>
      <c r="P26" s="303">
        <f>+$P$8</f>
        <v>46387</v>
      </c>
      <c r="Q26" s="385" t="str">
        <f>$N$8</f>
        <v>LTM</v>
      </c>
      <c r="R26" s="303">
        <f>+$O$8</f>
        <v>46022</v>
      </c>
      <c r="S26" s="303">
        <f>+$P$8</f>
        <v>46387</v>
      </c>
      <c r="T26" s="385" t="str">
        <f>$N$8</f>
        <v>LTM</v>
      </c>
      <c r="U26" s="303">
        <f>+$O$8</f>
        <v>46022</v>
      </c>
      <c r="V26" s="303">
        <f>+$P$8</f>
        <v>46387</v>
      </c>
      <c r="W26" s="160"/>
      <c r="X26" s="160"/>
      <c r="Y26" s="384"/>
      <c r="Z26" s="384"/>
      <c r="AA26" s="384"/>
      <c r="AB26" s="384"/>
      <c r="AC26" s="384"/>
      <c r="AE26" s="156"/>
      <c r="AF26" s="384"/>
      <c r="AG26" s="384"/>
    </row>
    <row r="27" spans="1:33" ht="16">
      <c r="B27" s="238" t="str">
        <f t="shared" ref="B27:B32" si="16">INDEX(Pub_Comps_Range,MATCH(B$23,Pub_Comps_Params,0),MATCH($C27,Pub_Comps_Tickers,0))</f>
        <v>Hesai Group</v>
      </c>
      <c r="C27" s="166" t="s">
        <v>279</v>
      </c>
      <c r="D27" s="344">
        <f t="shared" ref="D27:D32" si="17">INDEX(Pub_Comps_Range,MATCH(D$23,Pub_Comps_Params,0),MATCH($C27,Pub_Comps_Tickers,0))</f>
        <v>25.13</v>
      </c>
      <c r="E27" s="238"/>
      <c r="F27" s="386">
        <f t="shared" ref="F27:F32" si="18">INDEX(Pub_Comps_Range,MATCH(F$23,Pub_Comps_Params,0),MATCH($C27,Pub_Comps_Tickers,0))</f>
        <v>4020.7999999999997</v>
      </c>
      <c r="G27" s="386"/>
      <c r="H27" s="386"/>
      <c r="I27" s="386"/>
      <c r="J27" s="386"/>
      <c r="K27" s="386"/>
      <c r="L27" s="386"/>
      <c r="M27" s="386">
        <f t="shared" ref="M27:V32" si="19">INDEX(Pub_Comps_Range,MATCH(M$23,Pub_Comps_Params,0),MATCH($C27,Pub_Comps_Tickers,0))</f>
        <v>3081.8999999999996</v>
      </c>
      <c r="N27" s="387">
        <f t="shared" si="19"/>
        <v>8.0049350649350632</v>
      </c>
      <c r="O27" s="387">
        <f t="shared" si="19"/>
        <v>6.9256179775280895</v>
      </c>
      <c r="P27" s="387">
        <f t="shared" si="19"/>
        <v>4.8457547169811317</v>
      </c>
      <c r="Q27" s="387">
        <f t="shared" si="19"/>
        <v>19.322257053291533</v>
      </c>
      <c r="R27" s="387">
        <f t="shared" si="19"/>
        <v>16.480748663101604</v>
      </c>
      <c r="S27" s="387">
        <f t="shared" si="19"/>
        <v>11.853461538461538</v>
      </c>
      <c r="T27" s="387">
        <f t="shared" si="19"/>
        <v>66.569536423841058</v>
      </c>
      <c r="U27" s="387">
        <f t="shared" si="19"/>
        <v>70.540350877192978</v>
      </c>
      <c r="V27" s="387">
        <f t="shared" si="19"/>
        <v>44.675555555555555</v>
      </c>
      <c r="W27" s="21"/>
      <c r="X27" s="388"/>
      <c r="Y27" s="384"/>
      <c r="Z27" s="384"/>
      <c r="AA27" s="384"/>
      <c r="AB27" s="384"/>
      <c r="AC27" s="384"/>
      <c r="AE27" s="156"/>
      <c r="AF27" s="384"/>
      <c r="AG27" s="384"/>
    </row>
    <row r="28" spans="1:33" ht="16">
      <c r="B28" s="238" t="str">
        <f t="shared" si="16"/>
        <v>Innoviz Technologies, Ltd.</v>
      </c>
      <c r="C28" s="221" t="s">
        <v>280</v>
      </c>
      <c r="D28" s="238">
        <f t="shared" si="17"/>
        <v>1.04</v>
      </c>
      <c r="E28" s="238"/>
      <c r="F28" s="386">
        <f t="shared" si="18"/>
        <v>216.88368</v>
      </c>
      <c r="G28" s="386"/>
      <c r="H28" s="386"/>
      <c r="I28" s="386"/>
      <c r="J28" s="386"/>
      <c r="K28" s="386"/>
      <c r="L28" s="386"/>
      <c r="M28" s="386">
        <f t="shared" si="19"/>
        <v>177.48367999999999</v>
      </c>
      <c r="N28" s="387">
        <f t="shared" si="19"/>
        <v>3.6638388175550145</v>
      </c>
      <c r="O28" s="387">
        <f t="shared" si="19"/>
        <v>3.0600634482758617</v>
      </c>
      <c r="P28" s="387">
        <f t="shared" si="19"/>
        <v>2.1383575903614456</v>
      </c>
      <c r="Q28" s="387">
        <f t="shared" si="19"/>
        <v>15.597476052377186</v>
      </c>
      <c r="R28" s="387">
        <f t="shared" si="19"/>
        <v>13.652590769230768</v>
      </c>
      <c r="S28" s="387">
        <f t="shared" si="19"/>
        <v>12.677405714285714</v>
      </c>
      <c r="T28" s="387" t="str">
        <f t="shared" si="19"/>
        <v>NM</v>
      </c>
      <c r="U28" s="387" t="str">
        <f t="shared" si="19"/>
        <v>NM</v>
      </c>
      <c r="V28" s="387" t="str">
        <f t="shared" si="19"/>
        <v>NM</v>
      </c>
      <c r="W28" s="21"/>
      <c r="X28" s="388"/>
      <c r="Y28" s="388"/>
      <c r="Z28" s="21"/>
      <c r="AA28" s="21"/>
      <c r="AD28" s="156"/>
      <c r="AE28" s="156"/>
    </row>
    <row r="29" spans="1:33" ht="16">
      <c r="B29" s="238" t="str">
        <f t="shared" si="16"/>
        <v>Aeva Technologies, Inc.</v>
      </c>
      <c r="C29" s="405" t="s">
        <v>281</v>
      </c>
      <c r="D29" s="238">
        <f t="shared" si="17"/>
        <v>14.34</v>
      </c>
      <c r="E29" s="238"/>
      <c r="F29" s="386">
        <f t="shared" si="18"/>
        <v>916.92827999999997</v>
      </c>
      <c r="G29" s="386"/>
      <c r="H29" s="386"/>
      <c r="I29" s="386"/>
      <c r="J29" s="386"/>
      <c r="K29" s="386"/>
      <c r="L29" s="386"/>
      <c r="M29" s="386">
        <f t="shared" si="19"/>
        <v>874.25227999999993</v>
      </c>
      <c r="N29" s="387">
        <f t="shared" si="19"/>
        <v>57.691189124983495</v>
      </c>
      <c r="O29" s="387">
        <f t="shared" si="19"/>
        <v>51.426604705882347</v>
      </c>
      <c r="P29" s="387">
        <f t="shared" si="19"/>
        <v>31.223295714285712</v>
      </c>
      <c r="Q29" s="387" t="str">
        <f t="shared" si="19"/>
        <v>NM</v>
      </c>
      <c r="R29" s="387" t="str">
        <f t="shared" si="19"/>
        <v>NM</v>
      </c>
      <c r="S29" s="387" t="str">
        <f t="shared" si="19"/>
        <v>N/A</v>
      </c>
      <c r="T29" s="387" t="str">
        <f t="shared" si="19"/>
        <v>NM</v>
      </c>
      <c r="U29" s="387" t="str">
        <f t="shared" si="19"/>
        <v>NM</v>
      </c>
      <c r="V29" s="387" t="str">
        <f t="shared" si="19"/>
        <v>NM</v>
      </c>
      <c r="W29" s="21"/>
      <c r="X29" s="388"/>
      <c r="Y29" s="388"/>
      <c r="Z29" s="21"/>
      <c r="AA29" s="21"/>
      <c r="AE29" s="156"/>
    </row>
    <row r="30" spans="1:33" ht="16">
      <c r="B30" s="238" t="str">
        <f t="shared" si="16"/>
        <v>Luminar Technologies, Inc.</v>
      </c>
      <c r="C30" s="406" t="s">
        <v>284</v>
      </c>
      <c r="D30" s="238">
        <f t="shared" si="17"/>
        <v>0.08</v>
      </c>
      <c r="E30" s="238"/>
      <c r="F30" s="386">
        <f t="shared" si="18"/>
        <v>11.193109</v>
      </c>
      <c r="G30" s="386"/>
      <c r="H30" s="386"/>
      <c r="I30" s="386"/>
      <c r="J30" s="386"/>
      <c r="K30" s="386"/>
      <c r="L30" s="386"/>
      <c r="M30" s="386">
        <f t="shared" si="19"/>
        <v>453.89310899999998</v>
      </c>
      <c r="N30" s="387">
        <f t="shared" si="19"/>
        <v>5.9904066121156117</v>
      </c>
      <c r="O30" s="387" t="str">
        <f t="shared" si="19"/>
        <v>N/A</v>
      </c>
      <c r="P30" s="387" t="str">
        <f t="shared" si="19"/>
        <v>N/A</v>
      </c>
      <c r="Q30" s="387" t="str">
        <f t="shared" si="19"/>
        <v>NM</v>
      </c>
      <c r="R30" s="387" t="str">
        <f t="shared" si="19"/>
        <v>N/A</v>
      </c>
      <c r="S30" s="387" t="str">
        <f t="shared" si="19"/>
        <v>N/A</v>
      </c>
      <c r="T30" s="387" t="str">
        <f t="shared" si="19"/>
        <v>NM</v>
      </c>
      <c r="U30" s="387" t="str">
        <f t="shared" si="19"/>
        <v>N/A</v>
      </c>
      <c r="V30" s="387" t="str">
        <f t="shared" si="19"/>
        <v>N/A</v>
      </c>
      <c r="W30" s="21"/>
      <c r="X30" s="388"/>
      <c r="Y30" s="388"/>
      <c r="Z30" s="21"/>
      <c r="AA30" s="21"/>
      <c r="AE30" s="156"/>
    </row>
    <row r="31" spans="1:33" ht="16">
      <c r="B31" s="238" t="str">
        <f t="shared" si="16"/>
        <v>MicroVision, Inc.</v>
      </c>
      <c r="C31" s="406" t="s">
        <v>282</v>
      </c>
      <c r="D31" s="238">
        <f t="shared" si="17"/>
        <v>0.85</v>
      </c>
      <c r="E31" s="238"/>
      <c r="F31" s="386">
        <f t="shared" si="18"/>
        <v>276.42010499999998</v>
      </c>
      <c r="G31" s="386"/>
      <c r="H31" s="386"/>
      <c r="I31" s="386"/>
      <c r="J31" s="386"/>
      <c r="K31" s="386"/>
      <c r="L31" s="386"/>
      <c r="M31" s="386">
        <f t="shared" si="19"/>
        <v>223.42010499999998</v>
      </c>
      <c r="N31" s="387">
        <f t="shared" si="19"/>
        <v>84.757247723823966</v>
      </c>
      <c r="O31" s="387">
        <f t="shared" si="19"/>
        <v>74.473368333333326</v>
      </c>
      <c r="P31" s="387">
        <f t="shared" si="19"/>
        <v>14.894673666666666</v>
      </c>
      <c r="Q31" s="387" t="str">
        <f t="shared" si="19"/>
        <v>NM</v>
      </c>
      <c r="R31" s="387" t="str">
        <f t="shared" si="19"/>
        <v>NM</v>
      </c>
      <c r="S31" s="387">
        <f t="shared" si="19"/>
        <v>66.198549629629625</v>
      </c>
      <c r="T31" s="387" t="str">
        <f t="shared" si="19"/>
        <v>NM</v>
      </c>
      <c r="U31" s="387" t="str">
        <f t="shared" si="19"/>
        <v>NM</v>
      </c>
      <c r="V31" s="387" t="str">
        <f t="shared" si="19"/>
        <v>NM</v>
      </c>
      <c r="W31" s="21"/>
      <c r="X31" s="388"/>
      <c r="Y31" s="21"/>
      <c r="Z31" s="21"/>
      <c r="AA31" s="21"/>
      <c r="AE31" s="156"/>
    </row>
    <row r="32" spans="1:33" ht="16">
      <c r="B32" s="238" t="str">
        <f t="shared" si="16"/>
        <v>Aeye, Inc.</v>
      </c>
      <c r="C32" s="405" t="s">
        <v>283</v>
      </c>
      <c r="D32" s="238">
        <f t="shared" si="17"/>
        <v>1.85</v>
      </c>
      <c r="E32" s="238"/>
      <c r="F32" s="386">
        <f t="shared" si="18"/>
        <v>83.35175000000001</v>
      </c>
      <c r="G32" s="386"/>
      <c r="H32" s="386"/>
      <c r="I32" s="386"/>
      <c r="J32" s="386"/>
      <c r="K32" s="386"/>
      <c r="L32" s="386"/>
      <c r="M32" s="386">
        <f t="shared" si="19"/>
        <v>-0.15724999999999056</v>
      </c>
      <c r="N32" s="387" t="str">
        <f t="shared" si="19"/>
        <v>NM</v>
      </c>
      <c r="O32" s="387" t="str">
        <f t="shared" si="19"/>
        <v>N/A</v>
      </c>
      <c r="P32" s="387">
        <f t="shared" si="19"/>
        <v>37.236684166666663</v>
      </c>
      <c r="Q32" s="387" t="str">
        <f t="shared" si="19"/>
        <v>NM</v>
      </c>
      <c r="R32" s="387">
        <f t="shared" si="19"/>
        <v>7.447336833333333</v>
      </c>
      <c r="S32" s="387" t="str">
        <f t="shared" si="19"/>
        <v>NM</v>
      </c>
      <c r="T32" s="387" t="str">
        <f t="shared" si="19"/>
        <v>NM</v>
      </c>
      <c r="U32" s="387" t="str">
        <f t="shared" si="19"/>
        <v>NM</v>
      </c>
      <c r="V32" s="387" t="str">
        <f t="shared" si="19"/>
        <v>NM</v>
      </c>
      <c r="W32" s="21"/>
      <c r="X32" s="21"/>
      <c r="Y32" s="21"/>
      <c r="Z32" s="21"/>
      <c r="AA32" s="21"/>
      <c r="AD32" s="156"/>
      <c r="AE32" s="156"/>
    </row>
    <row r="33" spans="2:31" ht="16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E33" s="156"/>
    </row>
    <row r="34" spans="2:31" ht="16">
      <c r="B34" s="342" t="s">
        <v>312</v>
      </c>
      <c r="C34" s="343"/>
      <c r="D34" s="344"/>
      <c r="E34" s="344"/>
      <c r="F34" s="345">
        <f>MAX(F27:F32)</f>
        <v>4020.7999999999997</v>
      </c>
      <c r="G34" s="345"/>
      <c r="H34" s="345"/>
      <c r="I34" s="345"/>
      <c r="J34" s="345"/>
      <c r="K34" s="345"/>
      <c r="L34" s="345"/>
      <c r="M34" s="345">
        <f t="shared" ref="M34:V34" si="20">MAX(M27:M32)</f>
        <v>3081.8999999999996</v>
      </c>
      <c r="N34" s="389">
        <f t="shared" si="20"/>
        <v>84.757247723823966</v>
      </c>
      <c r="O34" s="389">
        <f t="shared" si="20"/>
        <v>74.473368333333326</v>
      </c>
      <c r="P34" s="389">
        <f t="shared" si="20"/>
        <v>37.236684166666663</v>
      </c>
      <c r="Q34" s="389">
        <f t="shared" si="20"/>
        <v>19.322257053291533</v>
      </c>
      <c r="R34" s="389">
        <f t="shared" si="20"/>
        <v>16.480748663101604</v>
      </c>
      <c r="S34" s="389">
        <f t="shared" si="20"/>
        <v>66.198549629629625</v>
      </c>
      <c r="T34" s="389">
        <f t="shared" si="20"/>
        <v>66.569536423841058</v>
      </c>
      <c r="U34" s="389">
        <f t="shared" si="20"/>
        <v>70.540350877192978</v>
      </c>
      <c r="V34" s="390">
        <f t="shared" si="20"/>
        <v>44.675555555555555</v>
      </c>
      <c r="W34" s="21"/>
      <c r="X34" s="21"/>
      <c r="Y34" s="21"/>
      <c r="Z34" s="21"/>
      <c r="AA34" s="21"/>
      <c r="AE34" s="156"/>
    </row>
    <row r="35" spans="2:31" ht="16">
      <c r="B35" s="348" t="s">
        <v>313</v>
      </c>
      <c r="C35" s="21"/>
      <c r="D35" s="349"/>
      <c r="E35" s="349"/>
      <c r="F35" s="350">
        <f>QUARTILE(F27:F32,3)</f>
        <v>756.80123624999987</v>
      </c>
      <c r="G35" s="350"/>
      <c r="H35" s="350"/>
      <c r="I35" s="350"/>
      <c r="J35" s="350"/>
      <c r="K35" s="350"/>
      <c r="L35" s="350"/>
      <c r="M35" s="350">
        <f t="shared" ref="M35:V35" si="21">QUARTILE(M27:M32,3)</f>
        <v>769.16248724999991</v>
      </c>
      <c r="N35" s="112">
        <f t="shared" si="21"/>
        <v>57.691189124983495</v>
      </c>
      <c r="O35" s="112">
        <f t="shared" si="21"/>
        <v>57.188295612745094</v>
      </c>
      <c r="P35" s="112">
        <f t="shared" si="21"/>
        <v>31.223295714285712</v>
      </c>
      <c r="Q35" s="112">
        <f t="shared" si="21"/>
        <v>18.391061803062946</v>
      </c>
      <c r="R35" s="112">
        <f t="shared" si="21"/>
        <v>15.066669716166185</v>
      </c>
      <c r="S35" s="112">
        <f t="shared" si="21"/>
        <v>39.437977671957668</v>
      </c>
      <c r="T35" s="112">
        <f t="shared" si="21"/>
        <v>66.569536423841058</v>
      </c>
      <c r="U35" s="112">
        <f t="shared" si="21"/>
        <v>70.540350877192978</v>
      </c>
      <c r="V35" s="391">
        <f t="shared" si="21"/>
        <v>44.675555555555555</v>
      </c>
      <c r="W35" s="21"/>
      <c r="X35" s="21"/>
      <c r="Y35" s="21"/>
      <c r="Z35" s="21"/>
      <c r="AA35" s="21"/>
      <c r="AE35" s="156"/>
    </row>
    <row r="36" spans="2:31" ht="16">
      <c r="B36" s="392" t="s">
        <v>314</v>
      </c>
      <c r="C36" s="393"/>
      <c r="D36" s="394"/>
      <c r="E36" s="394"/>
      <c r="F36" s="395">
        <f>MEDIAN(F27:F32)</f>
        <v>246.65189249999997</v>
      </c>
      <c r="G36" s="395"/>
      <c r="H36" s="395"/>
      <c r="I36" s="396"/>
      <c r="J36" s="396"/>
      <c r="K36" s="396"/>
      <c r="L36" s="396"/>
      <c r="M36" s="395">
        <f t="shared" ref="M36:V36" si="22">MEDIAN(M27:M32)</f>
        <v>338.65660700000001</v>
      </c>
      <c r="N36" s="397">
        <f t="shared" si="22"/>
        <v>8.0049350649350632</v>
      </c>
      <c r="O36" s="397">
        <f t="shared" si="22"/>
        <v>29.176111341705216</v>
      </c>
      <c r="P36" s="397">
        <f t="shared" si="22"/>
        <v>14.894673666666666</v>
      </c>
      <c r="Q36" s="397">
        <f t="shared" si="22"/>
        <v>17.45986655283436</v>
      </c>
      <c r="R36" s="397">
        <f t="shared" si="22"/>
        <v>13.652590769230768</v>
      </c>
      <c r="S36" s="397">
        <f t="shared" si="22"/>
        <v>12.677405714285714</v>
      </c>
      <c r="T36" s="397">
        <f t="shared" si="22"/>
        <v>66.569536423841058</v>
      </c>
      <c r="U36" s="397">
        <f t="shared" si="22"/>
        <v>70.540350877192978</v>
      </c>
      <c r="V36" s="398">
        <f t="shared" si="22"/>
        <v>44.675555555555555</v>
      </c>
      <c r="W36" s="21"/>
      <c r="X36" s="21"/>
      <c r="Y36" s="21"/>
      <c r="Z36" s="21"/>
      <c r="AA36" s="21"/>
      <c r="AD36" s="156"/>
      <c r="AE36" s="156"/>
    </row>
    <row r="37" spans="2:31" ht="16">
      <c r="B37" s="348" t="s">
        <v>315</v>
      </c>
      <c r="C37" s="145"/>
      <c r="D37" s="349"/>
      <c r="E37" s="349"/>
      <c r="F37" s="350">
        <f>QUARTILE(F27:F32,1)</f>
        <v>116.73473250000001</v>
      </c>
      <c r="G37" s="350"/>
      <c r="H37" s="350"/>
      <c r="I37" s="350"/>
      <c r="J37" s="350"/>
      <c r="K37" s="350"/>
      <c r="L37" s="350"/>
      <c r="M37" s="350">
        <f t="shared" ref="M37:V37" si="23">QUARTILE(M27:M32,1)</f>
        <v>188.96778624999999</v>
      </c>
      <c r="N37" s="112">
        <f t="shared" si="23"/>
        <v>5.9904066121156117</v>
      </c>
      <c r="O37" s="112">
        <f t="shared" si="23"/>
        <v>5.9592293452150322</v>
      </c>
      <c r="P37" s="112">
        <f t="shared" si="23"/>
        <v>4.8457547169811317</v>
      </c>
      <c r="Q37" s="112">
        <f t="shared" si="23"/>
        <v>16.528671302605773</v>
      </c>
      <c r="R37" s="112">
        <f t="shared" si="23"/>
        <v>10.54996380128205</v>
      </c>
      <c r="S37" s="112">
        <f t="shared" si="23"/>
        <v>12.265433626373625</v>
      </c>
      <c r="T37" s="112">
        <f t="shared" si="23"/>
        <v>66.569536423841058</v>
      </c>
      <c r="U37" s="112">
        <f t="shared" si="23"/>
        <v>70.540350877192978</v>
      </c>
      <c r="V37" s="391">
        <f t="shared" si="23"/>
        <v>44.675555555555555</v>
      </c>
      <c r="W37" s="21"/>
      <c r="X37" s="21"/>
      <c r="Y37" s="21"/>
      <c r="Z37" s="21"/>
      <c r="AA37" s="21"/>
      <c r="AE37" s="156"/>
    </row>
    <row r="38" spans="2:31" ht="16">
      <c r="B38" s="360" t="s">
        <v>316</v>
      </c>
      <c r="C38" s="361"/>
      <c r="D38" s="362"/>
      <c r="E38" s="362"/>
      <c r="F38" s="363">
        <f>MIN(F27:F32)</f>
        <v>11.193109</v>
      </c>
      <c r="G38" s="363"/>
      <c r="H38" s="363"/>
      <c r="I38" s="363"/>
      <c r="J38" s="363"/>
      <c r="K38" s="363"/>
      <c r="L38" s="363"/>
      <c r="M38" s="363">
        <f t="shared" ref="M38:V38" si="24">MIN(M27:M32)</f>
        <v>-0.15724999999999056</v>
      </c>
      <c r="N38" s="399">
        <f t="shared" si="24"/>
        <v>3.6638388175550145</v>
      </c>
      <c r="O38" s="399">
        <f t="shared" si="24"/>
        <v>3.0600634482758617</v>
      </c>
      <c r="P38" s="399">
        <f t="shared" si="24"/>
        <v>2.1383575903614456</v>
      </c>
      <c r="Q38" s="399">
        <f t="shared" si="24"/>
        <v>15.597476052377186</v>
      </c>
      <c r="R38" s="399">
        <f t="shared" si="24"/>
        <v>7.447336833333333</v>
      </c>
      <c r="S38" s="399">
        <f t="shared" si="24"/>
        <v>11.853461538461538</v>
      </c>
      <c r="T38" s="399">
        <f t="shared" si="24"/>
        <v>66.569536423841058</v>
      </c>
      <c r="U38" s="399">
        <f t="shared" si="24"/>
        <v>70.540350877192978</v>
      </c>
      <c r="V38" s="400">
        <f t="shared" si="24"/>
        <v>44.675555555555555</v>
      </c>
      <c r="W38" s="21"/>
      <c r="X38" s="21"/>
      <c r="Y38" s="21"/>
      <c r="Z38" s="21"/>
      <c r="AA38" s="21"/>
      <c r="AE38" s="156"/>
    </row>
    <row r="39" spans="2:31" ht="16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E39" s="156"/>
    </row>
    <row r="40" spans="2:31" ht="16">
      <c r="B40" s="401" t="str">
        <f>INDEX(Pub_Comps_Range,MATCH(B$23,Pub_Comps_Params,0),MATCH($C40,Pub_Comps_Tickers,0))</f>
        <v>Ouster, Inc.</v>
      </c>
      <c r="C40" s="368" t="str">
        <f>Ticker</f>
        <v>OUST</v>
      </c>
      <c r="D40" s="402"/>
      <c r="E40" s="402"/>
      <c r="F40" s="371">
        <f>INDEX(Pub_Comps_Range,MATCH(F$23,Pub_Comps_Params,0),MATCH($C40,Pub_Comps_Tickers,0))</f>
        <v>1119.2968800000001</v>
      </c>
      <c r="G40" s="371"/>
      <c r="H40" s="371"/>
      <c r="I40" s="371"/>
      <c r="J40" s="371"/>
      <c r="K40" s="371"/>
      <c r="L40" s="371"/>
      <c r="M40" s="371">
        <f t="shared" ref="M40:V40" si="25">INDEX(Pub_Comps_Range,MATCH(M$23,Pub_Comps_Params,0),MATCH($C40,Pub_Comps_Tickers,0))</f>
        <v>1681.7642904113873</v>
      </c>
      <c r="N40" s="403">
        <f t="shared" si="25"/>
        <v>15.13725610400795</v>
      </c>
      <c r="O40" s="403">
        <f t="shared" si="25"/>
        <v>9.9512679905999253</v>
      </c>
      <c r="P40" s="403">
        <f t="shared" si="25"/>
        <v>6.6006416723369519</v>
      </c>
      <c r="Q40" s="403">
        <f t="shared" si="25"/>
        <v>41.566097143138585</v>
      </c>
      <c r="R40" s="403">
        <f t="shared" si="25"/>
        <v>20.308710184897805</v>
      </c>
      <c r="S40" s="403">
        <f t="shared" si="25"/>
        <v>16.501604180842378</v>
      </c>
      <c r="T40" s="403" t="str">
        <f t="shared" si="25"/>
        <v>NM</v>
      </c>
      <c r="U40" s="403" t="str">
        <f t="shared" si="25"/>
        <v>NM</v>
      </c>
      <c r="V40" s="404" t="str">
        <f t="shared" si="25"/>
        <v>NM</v>
      </c>
      <c r="W40" s="21"/>
      <c r="X40" s="21"/>
      <c r="Y40" s="21"/>
      <c r="Z40" s="21"/>
      <c r="AA40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0857-4A19-4503-AE62-2F095D892663}">
  <dimension ref="B3:AT101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30" sqref="G30"/>
    </sheetView>
  </sheetViews>
  <sheetFormatPr defaultRowHeight="14.5"/>
  <cols>
    <col min="3" max="3" width="24.81640625" customWidth="1"/>
    <col min="5" max="7" width="11.453125" bestFit="1" customWidth="1"/>
    <col min="8" max="8" width="12.7265625" bestFit="1" customWidth="1"/>
    <col min="9" max="11" width="13.7265625" bestFit="1" customWidth="1"/>
    <col min="12" max="12" width="11.453125" bestFit="1" customWidth="1"/>
    <col min="13" max="13" width="14.1796875" bestFit="1" customWidth="1"/>
    <col min="14" max="14" width="13.7265625" bestFit="1" customWidth="1"/>
    <col min="15" max="16" width="11.453125" bestFit="1" customWidth="1"/>
    <col min="17" max="17" width="13.453125" bestFit="1" customWidth="1"/>
    <col min="18" max="18" width="14.26953125" bestFit="1" customWidth="1"/>
    <col min="19" max="19" width="13.7265625" bestFit="1" customWidth="1"/>
    <col min="20" max="22" width="11.453125" bestFit="1" customWidth="1"/>
    <col min="23" max="23" width="18.453125" bestFit="1" customWidth="1"/>
    <col min="24" max="24" width="13.7265625" bestFit="1" customWidth="1"/>
    <col min="25" max="28" width="11.453125" bestFit="1" customWidth="1"/>
    <col min="30" max="33" width="11.453125" bestFit="1" customWidth="1"/>
    <col min="34" max="34" width="10.453125" bestFit="1" customWidth="1"/>
    <col min="35" max="35" width="12.6328125" customWidth="1"/>
    <col min="36" max="37" width="11" bestFit="1" customWidth="1"/>
    <col min="38" max="38" width="11.81640625" bestFit="1" customWidth="1"/>
    <col min="39" max="42" width="10.453125" customWidth="1"/>
  </cols>
  <sheetData>
    <row r="3" spans="2:46" ht="16">
      <c r="B3" s="150"/>
      <c r="C3" s="151" t="s">
        <v>116</v>
      </c>
      <c r="D3" s="152"/>
      <c r="E3" s="153"/>
      <c r="F3" s="153"/>
      <c r="G3" s="154"/>
      <c r="H3" s="155" t="str">
        <f>Ticker</f>
        <v>OUST</v>
      </c>
      <c r="I3" s="156"/>
      <c r="J3" s="153"/>
      <c r="K3" s="153"/>
      <c r="L3" s="154"/>
      <c r="M3" s="155" t="s">
        <v>279</v>
      </c>
      <c r="N3" s="156"/>
      <c r="O3" s="153"/>
      <c r="P3" s="153"/>
      <c r="Q3" s="154"/>
      <c r="R3" s="155" t="s">
        <v>280</v>
      </c>
      <c r="S3" s="156"/>
      <c r="T3" s="153"/>
      <c r="U3" s="153"/>
      <c r="V3" s="154"/>
      <c r="W3" s="155" t="s">
        <v>281</v>
      </c>
      <c r="X3" s="156"/>
      <c r="Y3" s="153"/>
      <c r="Z3" s="153"/>
      <c r="AA3" s="154"/>
      <c r="AB3" s="155" t="s">
        <v>284</v>
      </c>
      <c r="AC3" s="156"/>
      <c r="AD3" s="153"/>
      <c r="AE3" s="153"/>
      <c r="AF3" s="154"/>
      <c r="AG3" s="155" t="s">
        <v>282</v>
      </c>
      <c r="AH3" s="157"/>
      <c r="AI3" s="153"/>
      <c r="AJ3" s="153"/>
      <c r="AK3" s="154"/>
      <c r="AL3" s="155" t="s">
        <v>283</v>
      </c>
      <c r="AM3" s="157"/>
      <c r="AN3" s="157"/>
      <c r="AO3" s="157"/>
      <c r="AP3" s="157"/>
      <c r="AQ3" s="157"/>
      <c r="AR3" s="157"/>
      <c r="AS3" s="157"/>
      <c r="AT3" s="157"/>
    </row>
    <row r="4" spans="2:46" ht="16">
      <c r="B4" s="150"/>
      <c r="C4" s="151" t="s">
        <v>113</v>
      </c>
      <c r="D4" s="152"/>
      <c r="E4" s="153"/>
      <c r="F4" s="153"/>
      <c r="G4" s="154"/>
      <c r="H4" s="158" t="str">
        <f>Company_Name</f>
        <v>Ouster, Inc.</v>
      </c>
      <c r="I4" s="156"/>
      <c r="J4" s="153"/>
      <c r="K4" s="153"/>
      <c r="L4" s="154"/>
      <c r="M4" s="158" t="s">
        <v>285</v>
      </c>
      <c r="N4" s="156"/>
      <c r="O4" s="153"/>
      <c r="P4" s="153"/>
      <c r="Q4" s="154"/>
      <c r="R4" s="158" t="s">
        <v>286</v>
      </c>
      <c r="S4" s="156"/>
      <c r="T4" s="153"/>
      <c r="U4" s="153"/>
      <c r="V4" s="154"/>
      <c r="W4" s="158" t="s">
        <v>287</v>
      </c>
      <c r="X4" s="156"/>
      <c r="Y4" s="153"/>
      <c r="Z4" s="153"/>
      <c r="AA4" s="154"/>
      <c r="AB4" s="158" t="s">
        <v>288</v>
      </c>
      <c r="AC4" s="156"/>
      <c r="AD4" s="153"/>
      <c r="AE4" s="153"/>
      <c r="AF4" s="154"/>
      <c r="AG4" s="158" t="s">
        <v>289</v>
      </c>
      <c r="AH4" s="159"/>
      <c r="AI4" s="153"/>
      <c r="AJ4" s="153"/>
      <c r="AK4" s="154"/>
      <c r="AL4" s="158" t="s">
        <v>290</v>
      </c>
      <c r="AM4" s="159"/>
      <c r="AN4" s="160"/>
      <c r="AO4" s="159"/>
      <c r="AP4" s="159"/>
    </row>
    <row r="5" spans="2:46" ht="16">
      <c r="B5" s="150"/>
      <c r="C5" s="152"/>
      <c r="D5" s="152"/>
      <c r="E5" s="161" t="s">
        <v>235</v>
      </c>
      <c r="F5" s="162"/>
      <c r="G5" s="162"/>
      <c r="H5" s="162"/>
      <c r="I5" s="156"/>
      <c r="J5" s="161" t="s">
        <v>235</v>
      </c>
      <c r="K5" s="162"/>
      <c r="L5" s="162"/>
      <c r="M5" s="162"/>
      <c r="N5" s="156"/>
      <c r="O5" s="161" t="s">
        <v>235</v>
      </c>
      <c r="P5" s="162"/>
      <c r="Q5" s="162"/>
      <c r="R5" s="162"/>
      <c r="S5" s="156"/>
      <c r="T5" s="161" t="s">
        <v>235</v>
      </c>
      <c r="U5" s="162"/>
      <c r="V5" s="162"/>
      <c r="W5" s="162"/>
      <c r="X5" s="156"/>
      <c r="Y5" s="161" t="s">
        <v>235</v>
      </c>
      <c r="Z5" s="162"/>
      <c r="AA5" s="162"/>
      <c r="AB5" s="162"/>
      <c r="AC5" s="156"/>
      <c r="AD5" s="541" t="s">
        <v>235</v>
      </c>
      <c r="AE5" s="542"/>
      <c r="AF5" s="542"/>
      <c r="AG5" s="542"/>
      <c r="AH5" s="163"/>
      <c r="AI5" s="541" t="s">
        <v>235</v>
      </c>
      <c r="AJ5" s="542"/>
      <c r="AK5" s="542"/>
      <c r="AL5" s="542"/>
      <c r="AM5" s="163"/>
      <c r="AN5" s="164" t="s">
        <v>134</v>
      </c>
      <c r="AO5" s="163"/>
      <c r="AP5" s="163"/>
    </row>
    <row r="6" spans="2:46" ht="16">
      <c r="B6" s="150"/>
      <c r="C6" s="152"/>
      <c r="D6" s="152"/>
      <c r="E6" s="165" t="s">
        <v>236</v>
      </c>
      <c r="F6" s="165" t="s">
        <v>236</v>
      </c>
      <c r="G6" s="165">
        <f>Hist_Year</f>
        <v>45657</v>
      </c>
      <c r="H6" s="165">
        <f>Hist_Year</f>
        <v>45657</v>
      </c>
      <c r="I6" s="156"/>
      <c r="J6" s="165">
        <v>45565</v>
      </c>
      <c r="K6" s="165">
        <v>45930</v>
      </c>
      <c r="L6" s="165">
        <v>45657</v>
      </c>
      <c r="M6" s="165">
        <v>45930</v>
      </c>
      <c r="N6" s="156"/>
      <c r="O6" s="165">
        <v>45472</v>
      </c>
      <c r="P6" s="165">
        <v>45836</v>
      </c>
      <c r="Q6" s="165">
        <v>45654</v>
      </c>
      <c r="R6" s="165">
        <v>45836</v>
      </c>
      <c r="S6" s="156"/>
      <c r="T6" s="165">
        <v>45473</v>
      </c>
      <c r="U6" s="165">
        <v>45838</v>
      </c>
      <c r="V6" s="165">
        <v>45657</v>
      </c>
      <c r="W6" s="165">
        <v>45838</v>
      </c>
      <c r="X6" s="156"/>
      <c r="Y6" s="165">
        <v>45565</v>
      </c>
      <c r="Z6" s="165">
        <v>45930</v>
      </c>
      <c r="AA6" s="165">
        <v>45657</v>
      </c>
      <c r="AB6" s="165">
        <v>45930</v>
      </c>
      <c r="AC6" s="156"/>
      <c r="AD6" s="165">
        <v>45565</v>
      </c>
      <c r="AE6" s="165">
        <v>45930</v>
      </c>
      <c r="AF6" s="165">
        <v>45657</v>
      </c>
      <c r="AG6" s="165">
        <v>45930</v>
      </c>
      <c r="AH6" s="166"/>
      <c r="AI6" s="165">
        <v>45473</v>
      </c>
      <c r="AJ6" s="165">
        <v>45838</v>
      </c>
      <c r="AK6" s="165">
        <v>45657</v>
      </c>
      <c r="AL6" s="165">
        <v>45838</v>
      </c>
      <c r="AM6" s="166"/>
      <c r="AO6" s="166"/>
      <c r="AP6" s="166"/>
    </row>
    <row r="7" spans="2:46" ht="16">
      <c r="B7" s="150"/>
      <c r="C7" s="152"/>
      <c r="D7" s="152"/>
      <c r="E7" s="167" t="s">
        <v>237</v>
      </c>
      <c r="F7" s="167" t="s">
        <v>238</v>
      </c>
      <c r="G7" s="167" t="s">
        <v>239</v>
      </c>
      <c r="H7" s="167" t="s">
        <v>240</v>
      </c>
      <c r="I7" s="156"/>
      <c r="J7" s="168" t="s">
        <v>237</v>
      </c>
      <c r="K7" s="168" t="s">
        <v>238</v>
      </c>
      <c r="L7" s="168" t="s">
        <v>239</v>
      </c>
      <c r="M7" s="168" t="s">
        <v>240</v>
      </c>
      <c r="N7" s="156"/>
      <c r="O7" s="168" t="s">
        <v>237</v>
      </c>
      <c r="P7" s="168" t="s">
        <v>238</v>
      </c>
      <c r="Q7" s="168" t="s">
        <v>239</v>
      </c>
      <c r="R7" s="168" t="s">
        <v>240</v>
      </c>
      <c r="S7" s="156"/>
      <c r="T7" s="168" t="s">
        <v>237</v>
      </c>
      <c r="U7" s="168" t="s">
        <v>238</v>
      </c>
      <c r="V7" s="168" t="s">
        <v>239</v>
      </c>
      <c r="W7" s="168" t="s">
        <v>240</v>
      </c>
      <c r="X7" s="156"/>
      <c r="Y7" s="168" t="s">
        <v>237</v>
      </c>
      <c r="Z7" s="168" t="s">
        <v>238</v>
      </c>
      <c r="AA7" s="168" t="s">
        <v>239</v>
      </c>
      <c r="AB7" s="168" t="s">
        <v>240</v>
      </c>
      <c r="AC7" s="156"/>
      <c r="AD7" s="168" t="s">
        <v>237</v>
      </c>
      <c r="AE7" s="168" t="s">
        <v>238</v>
      </c>
      <c r="AF7" s="168" t="s">
        <v>239</v>
      </c>
      <c r="AG7" s="168" t="s">
        <v>240</v>
      </c>
      <c r="AH7" s="168"/>
      <c r="AI7" s="168" t="s">
        <v>237</v>
      </c>
      <c r="AJ7" s="168" t="s">
        <v>238</v>
      </c>
      <c r="AK7" s="168" t="s">
        <v>239</v>
      </c>
      <c r="AL7" s="168" t="s">
        <v>240</v>
      </c>
      <c r="AM7" s="168"/>
      <c r="AO7" s="168"/>
      <c r="AP7" s="168"/>
    </row>
    <row r="8" spans="2:46" ht="16">
      <c r="B8" s="150"/>
      <c r="C8" s="151" t="s">
        <v>241</v>
      </c>
      <c r="D8" s="152"/>
      <c r="E8" s="169"/>
      <c r="F8" s="169"/>
      <c r="G8" s="170">
        <f>Model!J69/Units</f>
        <v>111.101</v>
      </c>
      <c r="H8" s="171">
        <f>G8+F8-E8</f>
        <v>111.101</v>
      </c>
      <c r="I8" s="156"/>
      <c r="J8" s="169"/>
      <c r="K8" s="169"/>
      <c r="L8" s="169"/>
      <c r="M8" s="171">
        <v>385</v>
      </c>
      <c r="N8" s="156"/>
      <c r="O8" s="169">
        <v>18.241</v>
      </c>
      <c r="P8" s="169">
        <v>42.414999999999999</v>
      </c>
      <c r="Q8" s="169">
        <v>24.268000000000001</v>
      </c>
      <c r="R8" s="171">
        <f t="shared" ref="R8" si="0">+Q8+P8-O8</f>
        <v>48.441999999999993</v>
      </c>
      <c r="S8" s="156"/>
      <c r="T8" s="169">
        <v>6.3689999999999998</v>
      </c>
      <c r="U8" s="169">
        <v>12.458</v>
      </c>
      <c r="V8" s="169">
        <v>9.0649999999999995</v>
      </c>
      <c r="W8" s="171">
        <f t="shared" ref="W8" si="1">+V8+U8-T8</f>
        <v>15.154</v>
      </c>
      <c r="X8" s="156"/>
      <c r="Y8" s="169">
        <v>52.9</v>
      </c>
      <c r="Z8" s="169">
        <v>53.27</v>
      </c>
      <c r="AA8" s="169">
        <v>75.400000000000006</v>
      </c>
      <c r="AB8" s="171">
        <f t="shared" ref="AB8" si="2">+AA8+Z8-Y8</f>
        <v>75.77000000000001</v>
      </c>
      <c r="AC8" s="156"/>
      <c r="AD8" s="169">
        <v>3.04</v>
      </c>
      <c r="AE8" s="169">
        <v>0.98</v>
      </c>
      <c r="AF8" s="169">
        <v>4.6959999999999997</v>
      </c>
      <c r="AG8" s="171">
        <f t="shared" ref="AG8:AG9" si="3">+AF8+AE8-AD8</f>
        <v>2.6360000000000001</v>
      </c>
      <c r="AH8" s="171"/>
      <c r="AI8" s="169">
        <v>0.156</v>
      </c>
      <c r="AJ8" s="169">
        <v>0.13600000000000001</v>
      </c>
      <c r="AK8" s="169">
        <v>0.20200000000000001</v>
      </c>
      <c r="AL8" s="171">
        <f t="shared" ref="AL8:AL9" si="4">+AK8+AJ8-AI8</f>
        <v>0.18200000000000002</v>
      </c>
      <c r="AM8" s="171"/>
      <c r="AO8" s="171"/>
      <c r="AP8" s="171"/>
    </row>
    <row r="9" spans="2:46" ht="16">
      <c r="B9" s="150"/>
      <c r="C9" s="172" t="s">
        <v>242</v>
      </c>
      <c r="D9" s="173"/>
      <c r="E9" s="169"/>
      <c r="F9" s="169"/>
      <c r="G9" s="170">
        <f>Model!J91/Units</f>
        <v>-97.045000000000002</v>
      </c>
      <c r="H9" s="174">
        <f>G9+F9-E9</f>
        <v>-97.045000000000002</v>
      </c>
      <c r="I9" s="156"/>
      <c r="J9" s="169"/>
      <c r="K9" s="169"/>
      <c r="L9" s="169"/>
      <c r="M9" s="174">
        <v>60.4</v>
      </c>
      <c r="N9" s="156"/>
      <c r="O9" s="169">
        <v>-76.161000000000001</v>
      </c>
      <c r="P9" s="169">
        <v>-46.54</v>
      </c>
      <c r="Q9" s="169">
        <v>-94.757000000000005</v>
      </c>
      <c r="R9" s="174">
        <f>+Q9+P9-O9</f>
        <v>-65.135999999999996</v>
      </c>
      <c r="S9" s="156"/>
      <c r="T9" s="169">
        <v>-116</v>
      </c>
      <c r="U9" s="169">
        <v>-120</v>
      </c>
      <c r="V9" s="169">
        <v>-152</v>
      </c>
      <c r="W9" s="174">
        <f>+V9+U9-T9</f>
        <v>-156</v>
      </c>
      <c r="X9" s="156"/>
      <c r="Y9" s="169">
        <v>-228</v>
      </c>
      <c r="Z9" s="169">
        <v>-189</v>
      </c>
      <c r="AA9" s="169">
        <v>-273</v>
      </c>
      <c r="AB9" s="174">
        <f>+AA9+Z9-Y9</f>
        <v>-234</v>
      </c>
      <c r="AC9" s="156"/>
      <c r="AD9" s="169">
        <v>-65</v>
      </c>
      <c r="AE9" s="169">
        <v>-57</v>
      </c>
      <c r="AF9" s="169">
        <v>-96</v>
      </c>
      <c r="AG9" s="174">
        <f t="shared" si="3"/>
        <v>-88</v>
      </c>
      <c r="AH9" s="174"/>
      <c r="AI9" s="169">
        <v>-27</v>
      </c>
      <c r="AJ9" s="169">
        <v>-26</v>
      </c>
      <c r="AK9" s="169">
        <v>-35</v>
      </c>
      <c r="AL9" s="174">
        <f t="shared" si="4"/>
        <v>-34</v>
      </c>
      <c r="AM9" s="174"/>
      <c r="AO9" s="174"/>
      <c r="AP9" s="174"/>
    </row>
    <row r="10" spans="2:46" ht="16">
      <c r="B10" s="150"/>
      <c r="C10" s="152"/>
      <c r="D10" s="152"/>
      <c r="E10" s="175"/>
      <c r="F10" s="175"/>
      <c r="G10" s="176"/>
      <c r="H10" s="233"/>
      <c r="I10" s="156"/>
      <c r="J10" s="233"/>
      <c r="K10" s="233"/>
      <c r="L10" s="233"/>
      <c r="M10" s="233"/>
      <c r="N10" s="156"/>
      <c r="O10" s="233"/>
      <c r="P10" s="233"/>
      <c r="Q10" s="233"/>
      <c r="R10" s="233"/>
      <c r="S10" s="156"/>
      <c r="T10" s="233"/>
      <c r="U10" s="233"/>
      <c r="V10" s="233"/>
      <c r="W10" s="233"/>
      <c r="X10" s="156"/>
      <c r="Y10" s="233"/>
      <c r="Z10" s="233"/>
      <c r="AA10" s="233"/>
      <c r="AB10" s="233"/>
      <c r="AC10" s="156"/>
      <c r="AD10" s="233"/>
      <c r="AE10" s="233"/>
      <c r="AF10" s="169"/>
      <c r="AG10" s="233"/>
      <c r="AH10" s="233"/>
      <c r="AI10" s="233"/>
      <c r="AJ10" s="233"/>
      <c r="AK10" s="169"/>
      <c r="AL10" s="233"/>
      <c r="AM10" s="233"/>
      <c r="AO10" s="233"/>
      <c r="AP10" s="233"/>
    </row>
    <row r="11" spans="2:46" ht="16">
      <c r="B11" s="150"/>
      <c r="C11" s="172" t="s">
        <v>292</v>
      </c>
      <c r="D11" s="173"/>
      <c r="E11" s="232"/>
      <c r="F11" s="232"/>
      <c r="G11" s="170">
        <f>Model!J72/Units</f>
        <v>40.46</v>
      </c>
      <c r="H11" s="174">
        <f>G11+F11-E11</f>
        <v>40.46</v>
      </c>
      <c r="I11" s="50"/>
      <c r="J11" s="232"/>
      <c r="K11" s="232"/>
      <c r="L11" s="232"/>
      <c r="M11" s="171">
        <v>159.5</v>
      </c>
      <c r="N11" s="156"/>
      <c r="O11" s="169">
        <v>-1.7</v>
      </c>
      <c r="P11" s="169">
        <v>10.84</v>
      </c>
      <c r="Q11" s="169">
        <v>-1.161</v>
      </c>
      <c r="R11" s="171">
        <f t="shared" ref="R11" si="5">+Q11+P11-O11</f>
        <v>11.379</v>
      </c>
      <c r="S11" s="156"/>
      <c r="T11" s="232">
        <v>-3</v>
      </c>
      <c r="U11" s="232">
        <v>-2</v>
      </c>
      <c r="V11" s="232">
        <v>-3</v>
      </c>
      <c r="W11" s="171">
        <f t="shared" ref="W11" si="6">+V11+U11-T11</f>
        <v>-2</v>
      </c>
      <c r="X11" s="156"/>
      <c r="Y11" s="169">
        <v>-38</v>
      </c>
      <c r="Z11" s="169">
        <v>-28</v>
      </c>
      <c r="AA11" s="169">
        <v>-21.29</v>
      </c>
      <c r="AB11" s="171">
        <f t="shared" ref="AB11" si="7">+AA11+Z11-Y11</f>
        <v>-11.29</v>
      </c>
      <c r="AC11" s="156"/>
      <c r="AD11" s="169">
        <v>-0.3</v>
      </c>
      <c r="AE11" s="169">
        <v>-1.2</v>
      </c>
      <c r="AF11" s="169">
        <v>-2.8</v>
      </c>
      <c r="AG11" s="171">
        <f t="shared" ref="AG11" si="8">+AF11+AE11-AD11</f>
        <v>-3.7</v>
      </c>
      <c r="AH11" s="171"/>
      <c r="AI11" s="169">
        <v>0.57299999999999995</v>
      </c>
      <c r="AJ11" s="169">
        <v>0.17100000000000001</v>
      </c>
      <c r="AK11" s="169">
        <v>0.47099999999999997</v>
      </c>
      <c r="AL11" s="171">
        <f t="shared" ref="AL11" si="9">+AK11+AJ11-AI11</f>
        <v>6.9000000000000061E-2</v>
      </c>
      <c r="AM11" s="171"/>
      <c r="AO11" s="171"/>
      <c r="AP11" s="171"/>
    </row>
    <row r="12" spans="2:46" ht="16">
      <c r="B12" s="150"/>
      <c r="C12" s="178"/>
      <c r="D12" s="173"/>
      <c r="E12" s="179"/>
      <c r="F12" s="179"/>
      <c r="G12" s="179"/>
      <c r="H12" s="179"/>
      <c r="I12" s="156"/>
      <c r="J12" s="179"/>
      <c r="K12" s="179"/>
      <c r="L12" s="179"/>
      <c r="M12" s="179"/>
      <c r="N12" s="156"/>
      <c r="O12" s="179"/>
      <c r="P12" s="179"/>
      <c r="Q12" s="179"/>
      <c r="R12" s="179"/>
      <c r="S12" s="156"/>
      <c r="T12" s="179"/>
      <c r="U12" s="179"/>
      <c r="V12" s="179"/>
      <c r="W12" s="179"/>
      <c r="X12" s="156"/>
      <c r="Y12" s="179"/>
      <c r="Z12" s="179"/>
      <c r="AA12" s="179"/>
      <c r="AB12" s="179"/>
      <c r="AC12" s="156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</row>
    <row r="13" spans="2:46" ht="16">
      <c r="B13" s="150"/>
      <c r="C13" s="151" t="s">
        <v>124</v>
      </c>
      <c r="D13" s="152"/>
      <c r="E13" s="180"/>
      <c r="F13" s="180"/>
      <c r="G13" s="180"/>
      <c r="H13" s="181">
        <f>Tax_Rate</f>
        <v>0.21</v>
      </c>
      <c r="I13" s="156"/>
      <c r="J13" s="180"/>
      <c r="K13" s="180"/>
      <c r="L13" s="180"/>
      <c r="M13" s="181">
        <v>6.0999999999999999E-2</v>
      </c>
      <c r="N13" s="182"/>
      <c r="O13" s="180"/>
      <c r="P13" s="180"/>
      <c r="Q13" s="180"/>
      <c r="R13" s="181">
        <v>0</v>
      </c>
      <c r="S13" s="156"/>
      <c r="T13" s="180"/>
      <c r="U13" s="180"/>
      <c r="V13" s="180"/>
      <c r="W13" s="181">
        <v>0.2</v>
      </c>
      <c r="X13" s="156"/>
      <c r="Y13" s="180"/>
      <c r="Z13" s="180"/>
      <c r="AA13" s="180"/>
      <c r="AB13" s="181">
        <v>0</v>
      </c>
      <c r="AC13" s="156"/>
      <c r="AD13" s="180"/>
      <c r="AE13" s="180"/>
      <c r="AF13" s="180"/>
      <c r="AG13" s="181">
        <v>0</v>
      </c>
      <c r="AH13" s="181"/>
      <c r="AI13" s="180"/>
      <c r="AJ13" s="180"/>
      <c r="AK13" s="180"/>
      <c r="AL13" s="181">
        <v>0</v>
      </c>
      <c r="AM13" s="181"/>
      <c r="AN13" s="181"/>
      <c r="AO13" s="181"/>
      <c r="AP13" s="181"/>
    </row>
    <row r="14" spans="2:46" ht="16">
      <c r="B14" s="150"/>
      <c r="C14" s="152"/>
      <c r="D14" s="152"/>
      <c r="E14" s="152"/>
      <c r="F14" s="152"/>
      <c r="G14" s="183"/>
      <c r="H14" s="180"/>
      <c r="I14" s="156"/>
      <c r="J14" s="152"/>
      <c r="K14" s="152"/>
      <c r="L14" s="183"/>
      <c r="M14" s="180"/>
      <c r="N14" s="156"/>
      <c r="O14" s="152"/>
      <c r="P14" s="152"/>
      <c r="Q14" s="183"/>
      <c r="R14" s="180"/>
      <c r="S14" s="156"/>
      <c r="T14" s="152"/>
      <c r="U14" s="152"/>
      <c r="V14" s="183"/>
      <c r="W14" s="180"/>
      <c r="X14" s="156"/>
      <c r="Y14" s="152"/>
      <c r="Z14" s="152"/>
      <c r="AA14" s="183"/>
      <c r="AB14" s="180"/>
      <c r="AC14" s="156"/>
      <c r="AD14" s="152"/>
      <c r="AE14" s="152"/>
      <c r="AF14" s="183"/>
      <c r="AG14" s="180"/>
      <c r="AH14" s="180"/>
      <c r="AI14" s="152"/>
      <c r="AJ14" s="152"/>
      <c r="AK14" s="183"/>
      <c r="AL14" s="180"/>
      <c r="AM14" s="180"/>
      <c r="AN14" s="180"/>
      <c r="AO14" s="180"/>
      <c r="AP14" s="180"/>
    </row>
    <row r="15" spans="2:46" ht="16">
      <c r="B15" s="150"/>
      <c r="C15" s="173"/>
      <c r="D15" s="173"/>
      <c r="E15" s="184" t="s">
        <v>243</v>
      </c>
      <c r="F15" s="185"/>
      <c r="G15" s="185"/>
      <c r="H15" s="185"/>
      <c r="I15" s="156"/>
      <c r="J15" s="184" t="s">
        <v>243</v>
      </c>
      <c r="K15" s="185"/>
      <c r="L15" s="185"/>
      <c r="M15" s="185"/>
      <c r="N15" s="156"/>
      <c r="O15" s="184" t="s">
        <v>243</v>
      </c>
      <c r="P15" s="185"/>
      <c r="Q15" s="185"/>
      <c r="R15" s="185"/>
      <c r="S15" s="156"/>
      <c r="T15" s="184" t="s">
        <v>243</v>
      </c>
      <c r="U15" s="185"/>
      <c r="V15" s="185"/>
      <c r="W15" s="185"/>
      <c r="X15" s="156"/>
      <c r="Y15" s="184" t="s">
        <v>243</v>
      </c>
      <c r="Z15" s="185"/>
      <c r="AA15" s="185"/>
      <c r="AB15" s="185"/>
      <c r="AC15" s="156"/>
      <c r="AD15" s="184" t="s">
        <v>243</v>
      </c>
      <c r="AE15" s="185"/>
      <c r="AF15" s="185"/>
      <c r="AG15" s="185"/>
      <c r="AH15" s="186"/>
      <c r="AI15" s="184" t="s">
        <v>243</v>
      </c>
      <c r="AJ15" s="185"/>
      <c r="AK15" s="185"/>
      <c r="AL15" s="185"/>
      <c r="AM15" s="186"/>
      <c r="AN15" s="186"/>
      <c r="AO15" s="186"/>
      <c r="AP15" s="186"/>
    </row>
    <row r="16" spans="2:46" ht="16">
      <c r="B16" s="150"/>
      <c r="C16" s="172" t="s">
        <v>244</v>
      </c>
      <c r="D16" s="178"/>
      <c r="E16" s="187"/>
      <c r="F16" s="188"/>
      <c r="G16" s="188"/>
      <c r="H16" s="189">
        <f>DCF!F23</f>
        <v>-210.56568958861294</v>
      </c>
      <c r="I16" s="156"/>
      <c r="J16" s="187"/>
      <c r="K16" s="188"/>
      <c r="L16" s="188"/>
      <c r="M16" s="189">
        <v>-1059</v>
      </c>
      <c r="N16" s="156"/>
      <c r="O16" s="187"/>
      <c r="P16" s="188"/>
      <c r="Q16" s="188"/>
      <c r="R16" s="189">
        <v>-74.3</v>
      </c>
      <c r="S16" s="156"/>
      <c r="T16" s="187"/>
      <c r="U16" s="188"/>
      <c r="V16" s="188"/>
      <c r="W16" s="189">
        <v>-48.8</v>
      </c>
      <c r="X16" s="156"/>
      <c r="Y16" s="187"/>
      <c r="Z16" s="188"/>
      <c r="AA16" s="188"/>
      <c r="AB16" s="189">
        <v>-6.3</v>
      </c>
      <c r="AC16" s="156"/>
      <c r="AD16" s="187"/>
      <c r="AE16" s="188"/>
      <c r="AF16" s="188"/>
      <c r="AG16" s="170">
        <v>-99</v>
      </c>
      <c r="AH16" s="189"/>
      <c r="AI16" s="187"/>
      <c r="AJ16" s="188"/>
      <c r="AK16" s="188"/>
      <c r="AL16" s="189">
        <v>-84.332999999999998</v>
      </c>
      <c r="AM16" s="189"/>
      <c r="AN16" s="189"/>
      <c r="AO16" s="189"/>
      <c r="AP16" s="189"/>
    </row>
    <row r="17" spans="2:42" ht="16">
      <c r="B17" s="150"/>
      <c r="C17" s="172" t="s">
        <v>245</v>
      </c>
      <c r="D17" s="178"/>
      <c r="E17" s="187"/>
      <c r="F17" s="188"/>
      <c r="G17" s="188"/>
      <c r="H17" s="189">
        <f>[2]DCF!G23</f>
        <v>0</v>
      </c>
      <c r="I17" s="156"/>
      <c r="J17" s="187"/>
      <c r="K17" s="188"/>
      <c r="L17" s="188"/>
      <c r="M17" s="170">
        <v>0</v>
      </c>
      <c r="N17" s="156"/>
      <c r="O17" s="187"/>
      <c r="P17" s="188"/>
      <c r="Q17" s="188"/>
      <c r="R17" s="170">
        <v>0</v>
      </c>
      <c r="S17" s="156"/>
      <c r="T17" s="187"/>
      <c r="U17" s="188"/>
      <c r="V17" s="188"/>
      <c r="W17" s="170">
        <v>0</v>
      </c>
      <c r="X17" s="156"/>
      <c r="Y17" s="187"/>
      <c r="Z17" s="188"/>
      <c r="AA17" s="188"/>
      <c r="AB17" s="170">
        <v>0</v>
      </c>
      <c r="AC17" s="156"/>
      <c r="AD17" s="187"/>
      <c r="AE17" s="188"/>
      <c r="AF17" s="188"/>
      <c r="AG17" s="170">
        <v>0</v>
      </c>
      <c r="AH17" s="170"/>
      <c r="AI17" s="187"/>
      <c r="AJ17" s="188"/>
      <c r="AK17" s="188"/>
      <c r="AL17" s="170">
        <v>0</v>
      </c>
      <c r="AM17" s="170"/>
      <c r="AN17" s="170"/>
      <c r="AO17" s="170"/>
      <c r="AP17" s="170"/>
    </row>
    <row r="18" spans="2:42" ht="16">
      <c r="B18" s="150"/>
      <c r="C18" s="172" t="s">
        <v>246</v>
      </c>
      <c r="D18" s="178"/>
      <c r="E18" s="187"/>
      <c r="F18" s="188"/>
      <c r="G18" s="188"/>
      <c r="H18" s="189">
        <f>[2]DCF!G24</f>
        <v>0</v>
      </c>
      <c r="I18" s="156"/>
      <c r="J18" s="187"/>
      <c r="K18" s="188"/>
      <c r="L18" s="188"/>
      <c r="M18" s="170">
        <v>0</v>
      </c>
      <c r="N18" s="156"/>
      <c r="O18" s="187"/>
      <c r="P18" s="188"/>
      <c r="Q18" s="188"/>
      <c r="R18" s="170">
        <v>0</v>
      </c>
      <c r="S18" s="156"/>
      <c r="T18" s="187"/>
      <c r="U18" s="188"/>
      <c r="V18" s="188"/>
      <c r="W18" s="170">
        <v>0</v>
      </c>
      <c r="X18" s="156"/>
      <c r="Y18" s="187"/>
      <c r="Z18" s="188"/>
      <c r="AA18" s="188"/>
      <c r="AB18" s="170">
        <v>0</v>
      </c>
      <c r="AC18" s="156"/>
      <c r="AD18" s="187"/>
      <c r="AE18" s="188"/>
      <c r="AF18" s="188"/>
      <c r="AG18" s="170">
        <v>0</v>
      </c>
      <c r="AH18" s="170"/>
      <c r="AI18" s="187"/>
      <c r="AJ18" s="188"/>
      <c r="AK18" s="188"/>
      <c r="AL18" s="170">
        <v>0</v>
      </c>
      <c r="AM18" s="170"/>
      <c r="AN18" s="170"/>
      <c r="AO18" s="170"/>
      <c r="AP18" s="170"/>
    </row>
    <row r="19" spans="2:42" ht="16">
      <c r="B19" s="150"/>
      <c r="C19" s="172" t="s">
        <v>199</v>
      </c>
      <c r="D19" s="178"/>
      <c r="E19" s="187"/>
      <c r="F19" s="188"/>
      <c r="G19" s="188"/>
      <c r="H19" s="189">
        <f>[2]DCF!G25</f>
        <v>0</v>
      </c>
      <c r="I19" s="156"/>
      <c r="J19" s="187"/>
      <c r="K19" s="188"/>
      <c r="L19" s="188"/>
      <c r="M19" s="170">
        <v>0</v>
      </c>
      <c r="N19" s="156"/>
      <c r="O19" s="187"/>
      <c r="P19" s="188"/>
      <c r="Q19" s="188"/>
      <c r="R19" s="170">
        <v>0</v>
      </c>
      <c r="S19" s="156"/>
      <c r="T19" s="187"/>
      <c r="U19" s="188"/>
      <c r="V19" s="188"/>
      <c r="W19" s="170">
        <v>0</v>
      </c>
      <c r="X19" s="156"/>
      <c r="Y19" s="187"/>
      <c r="Z19" s="188"/>
      <c r="AA19" s="188"/>
      <c r="AB19" s="170">
        <v>0</v>
      </c>
      <c r="AC19" s="156"/>
      <c r="AD19" s="187"/>
      <c r="AE19" s="188"/>
      <c r="AF19" s="188"/>
      <c r="AG19" s="170">
        <v>0</v>
      </c>
      <c r="AH19" s="170"/>
      <c r="AI19" s="187"/>
      <c r="AJ19" s="188"/>
      <c r="AK19" s="188"/>
      <c r="AL19" s="170">
        <v>0</v>
      </c>
      <c r="AM19" s="170"/>
      <c r="AN19" s="170"/>
      <c r="AO19" s="170"/>
      <c r="AP19" s="170"/>
    </row>
    <row r="20" spans="2:42" ht="16">
      <c r="B20" s="150"/>
      <c r="C20" s="172" t="s">
        <v>247</v>
      </c>
      <c r="D20" s="178"/>
      <c r="E20" s="187"/>
      <c r="F20" s="188"/>
      <c r="G20" s="188"/>
      <c r="H20" s="189">
        <f>[2]DCF!G26</f>
        <v>0</v>
      </c>
      <c r="I20" s="156"/>
      <c r="J20" s="187"/>
      <c r="K20" s="188"/>
      <c r="L20" s="188"/>
      <c r="M20" s="170">
        <v>120.1</v>
      </c>
      <c r="N20" s="156"/>
      <c r="O20" s="187"/>
      <c r="P20" s="188"/>
      <c r="Q20" s="188"/>
      <c r="R20" s="170">
        <v>34.9</v>
      </c>
      <c r="S20" s="156"/>
      <c r="T20" s="187"/>
      <c r="U20" s="188"/>
      <c r="V20" s="188"/>
      <c r="W20" s="170">
        <v>6.1239999999999997</v>
      </c>
      <c r="X20" s="156"/>
      <c r="Y20" s="187"/>
      <c r="Z20" s="188"/>
      <c r="AA20" s="188"/>
      <c r="AB20" s="170">
        <v>449</v>
      </c>
      <c r="AC20" s="156"/>
      <c r="AD20" s="187"/>
      <c r="AE20" s="188"/>
      <c r="AF20" s="188"/>
      <c r="AG20" s="170">
        <v>46</v>
      </c>
      <c r="AH20" s="170"/>
      <c r="AI20" s="187"/>
      <c r="AJ20" s="188"/>
      <c r="AK20" s="188"/>
      <c r="AL20" s="170">
        <v>0.82399999999999995</v>
      </c>
      <c r="AM20" s="170"/>
      <c r="AN20" s="170"/>
      <c r="AO20" s="170"/>
      <c r="AP20" s="170"/>
    </row>
    <row r="21" spans="2:42" ht="16">
      <c r="B21" s="150"/>
      <c r="C21" s="172" t="s">
        <v>203</v>
      </c>
      <c r="D21" s="178"/>
      <c r="E21" s="187"/>
      <c r="F21" s="188"/>
      <c r="G21" s="188"/>
      <c r="H21" s="189">
        <f>[2]DCF!G27</f>
        <v>0</v>
      </c>
      <c r="I21" s="156"/>
      <c r="J21" s="187"/>
      <c r="K21" s="188"/>
      <c r="L21" s="188"/>
      <c r="M21" s="170">
        <v>0</v>
      </c>
      <c r="N21" s="156"/>
      <c r="O21" s="187"/>
      <c r="P21" s="188"/>
      <c r="Q21" s="188"/>
      <c r="R21" s="170">
        <v>0</v>
      </c>
      <c r="S21" s="156"/>
      <c r="T21" s="187"/>
      <c r="U21" s="188"/>
      <c r="V21" s="188"/>
      <c r="W21" s="170">
        <v>0</v>
      </c>
      <c r="X21" s="156"/>
      <c r="Y21" s="187"/>
      <c r="Z21" s="188"/>
      <c r="AA21" s="188"/>
      <c r="AB21" s="170">
        <v>0</v>
      </c>
      <c r="AC21" s="156"/>
      <c r="AD21" s="187"/>
      <c r="AE21" s="188"/>
      <c r="AF21" s="188"/>
      <c r="AG21" s="170">
        <v>0</v>
      </c>
      <c r="AH21" s="170"/>
      <c r="AI21" s="187"/>
      <c r="AJ21" s="188"/>
      <c r="AK21" s="188"/>
      <c r="AL21" s="170">
        <v>0</v>
      </c>
      <c r="AM21" s="170"/>
      <c r="AN21" s="170"/>
      <c r="AO21" s="170"/>
      <c r="AP21" s="170"/>
    </row>
    <row r="22" spans="2:42" ht="16">
      <c r="B22" s="150"/>
      <c r="C22" s="172" t="s">
        <v>206</v>
      </c>
      <c r="D22" s="178"/>
      <c r="E22" s="187"/>
      <c r="F22" s="188"/>
      <c r="G22" s="188"/>
      <c r="H22" s="189">
        <f>[2]DCF!G28</f>
        <v>773.03309999999999</v>
      </c>
      <c r="I22" s="190"/>
      <c r="J22" s="187"/>
      <c r="K22" s="188"/>
      <c r="L22" s="188"/>
      <c r="M22" s="170">
        <v>0</v>
      </c>
      <c r="N22" s="156"/>
      <c r="O22" s="187"/>
      <c r="P22" s="188"/>
      <c r="Q22" s="188"/>
      <c r="R22" s="170">
        <v>0</v>
      </c>
      <c r="S22" s="156"/>
      <c r="T22" s="187"/>
      <c r="U22" s="188"/>
      <c r="V22" s="188"/>
      <c r="W22" s="170">
        <v>0</v>
      </c>
      <c r="X22" s="156"/>
      <c r="Y22" s="187"/>
      <c r="Z22" s="188"/>
      <c r="AA22" s="188"/>
      <c r="AB22" s="170">
        <v>0</v>
      </c>
      <c r="AC22" s="156"/>
      <c r="AD22" s="187"/>
      <c r="AE22" s="188"/>
      <c r="AF22" s="188"/>
      <c r="AG22" s="170">
        <v>0</v>
      </c>
      <c r="AH22" s="170"/>
      <c r="AI22" s="187"/>
      <c r="AJ22" s="188"/>
      <c r="AK22" s="188"/>
      <c r="AL22" s="170">
        <v>0</v>
      </c>
      <c r="AM22" s="170"/>
      <c r="AN22" s="170"/>
      <c r="AO22" s="170"/>
      <c r="AP22" s="170"/>
    </row>
    <row r="23" spans="2:42" ht="16">
      <c r="B23" s="150"/>
      <c r="C23" s="172" t="s">
        <v>248</v>
      </c>
      <c r="D23" s="178"/>
      <c r="E23" s="187"/>
      <c r="F23" s="188"/>
      <c r="G23" s="188"/>
      <c r="H23" s="189">
        <v>0</v>
      </c>
      <c r="I23" s="156"/>
      <c r="J23" s="187"/>
      <c r="K23" s="188"/>
      <c r="L23" s="188"/>
      <c r="M23" s="170">
        <v>0</v>
      </c>
      <c r="N23" s="156"/>
      <c r="O23" s="187"/>
      <c r="P23" s="188"/>
      <c r="Q23" s="188"/>
      <c r="R23" s="170">
        <v>0</v>
      </c>
      <c r="S23" s="156"/>
      <c r="T23" s="187"/>
      <c r="U23" s="188"/>
      <c r="V23" s="188"/>
      <c r="W23" s="170">
        <v>0</v>
      </c>
      <c r="X23" s="156"/>
      <c r="Y23" s="187"/>
      <c r="Z23" s="188"/>
      <c r="AA23" s="188"/>
      <c r="AB23" s="170">
        <v>0</v>
      </c>
      <c r="AC23" s="156"/>
      <c r="AD23" s="187"/>
      <c r="AE23" s="188"/>
      <c r="AF23" s="188"/>
      <c r="AG23" s="170">
        <v>0</v>
      </c>
      <c r="AH23" s="170"/>
      <c r="AI23" s="187"/>
      <c r="AJ23" s="188"/>
      <c r="AK23" s="188"/>
      <c r="AL23" s="170">
        <v>0</v>
      </c>
      <c r="AM23" s="170"/>
      <c r="AN23" s="170"/>
      <c r="AO23" s="170"/>
      <c r="AP23" s="170"/>
    </row>
    <row r="24" spans="2:42" ht="16">
      <c r="B24" s="150"/>
      <c r="C24" s="172" t="s">
        <v>249</v>
      </c>
      <c r="D24" s="178"/>
      <c r="E24" s="187"/>
      <c r="F24" s="188"/>
      <c r="G24" s="188"/>
      <c r="H24" s="189">
        <f>[2]DCF!G30</f>
        <v>0</v>
      </c>
      <c r="I24" s="156"/>
      <c r="J24" s="187"/>
      <c r="K24" s="188"/>
      <c r="L24" s="188"/>
      <c r="M24" s="170">
        <v>0</v>
      </c>
      <c r="N24" s="156"/>
      <c r="O24" s="187"/>
      <c r="P24" s="188"/>
      <c r="Q24" s="188"/>
      <c r="R24" s="170">
        <v>0</v>
      </c>
      <c r="S24" s="156"/>
      <c r="T24" s="187"/>
      <c r="U24" s="188"/>
      <c r="V24" s="188"/>
      <c r="W24" s="170"/>
      <c r="X24" s="156"/>
      <c r="Y24" s="187"/>
      <c r="Z24" s="188"/>
      <c r="AA24" s="188"/>
      <c r="AB24" s="170">
        <v>0</v>
      </c>
      <c r="AC24" s="156"/>
      <c r="AD24" s="187"/>
      <c r="AE24" s="188"/>
      <c r="AF24" s="188"/>
      <c r="AG24" s="170">
        <v>0</v>
      </c>
      <c r="AH24" s="170"/>
      <c r="AI24" s="187"/>
      <c r="AJ24" s="188"/>
      <c r="AK24" s="188"/>
      <c r="AL24" s="170"/>
      <c r="AM24" s="170"/>
      <c r="AN24" s="170"/>
      <c r="AO24" s="170"/>
      <c r="AP24" s="170"/>
    </row>
    <row r="25" spans="2:42" ht="16">
      <c r="B25" s="150"/>
      <c r="C25" s="152"/>
      <c r="D25" s="152"/>
      <c r="E25" s="152"/>
      <c r="F25" s="152"/>
      <c r="G25" s="152"/>
      <c r="H25" s="152"/>
      <c r="I25" s="156"/>
      <c r="J25" s="152"/>
      <c r="K25" s="152"/>
      <c r="L25" s="152"/>
      <c r="M25" s="152"/>
      <c r="N25" s="156"/>
      <c r="O25" s="152"/>
      <c r="P25" s="152"/>
      <c r="Q25" s="152"/>
      <c r="R25" s="152"/>
      <c r="S25" s="156"/>
      <c r="T25" s="152"/>
      <c r="U25" s="152"/>
      <c r="V25" s="152"/>
      <c r="W25" s="152"/>
      <c r="X25" s="156"/>
      <c r="Y25" s="152"/>
      <c r="Z25" s="152"/>
      <c r="AA25" s="152"/>
      <c r="AB25" s="152"/>
      <c r="AC25" s="156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</row>
    <row r="26" spans="2:42" ht="16">
      <c r="B26" s="150"/>
      <c r="C26" s="152"/>
      <c r="D26" s="152"/>
      <c r="E26" s="184" t="s">
        <v>250</v>
      </c>
      <c r="F26" s="191"/>
      <c r="G26" s="191"/>
      <c r="H26" s="192"/>
      <c r="I26" s="156"/>
      <c r="J26" s="184" t="s">
        <v>250</v>
      </c>
      <c r="K26" s="191"/>
      <c r="L26" s="191"/>
      <c r="M26" s="192"/>
      <c r="N26" s="156"/>
      <c r="O26" s="184" t="s">
        <v>250</v>
      </c>
      <c r="P26" s="191"/>
      <c r="Q26" s="191"/>
      <c r="R26" s="192"/>
      <c r="S26" s="156"/>
      <c r="T26" s="184" t="s">
        <v>250</v>
      </c>
      <c r="U26" s="191"/>
      <c r="V26" s="191"/>
      <c r="W26" s="192"/>
      <c r="X26" s="156"/>
      <c r="Y26" s="184" t="s">
        <v>250</v>
      </c>
      <c r="Z26" s="191"/>
      <c r="AA26" s="191"/>
      <c r="AB26" s="192"/>
      <c r="AC26" s="156"/>
      <c r="AD26" s="184" t="s">
        <v>250</v>
      </c>
      <c r="AE26" s="191"/>
      <c r="AF26" s="191"/>
      <c r="AG26" s="192"/>
      <c r="AH26" s="188"/>
      <c r="AI26" s="184" t="s">
        <v>250</v>
      </c>
      <c r="AJ26" s="191"/>
      <c r="AK26" s="191"/>
      <c r="AL26" s="192"/>
      <c r="AM26" s="188"/>
      <c r="AN26" s="188"/>
      <c r="AO26" s="188"/>
      <c r="AP26" s="188"/>
    </row>
    <row r="27" spans="2:42" ht="16">
      <c r="B27" s="150"/>
      <c r="C27" s="152"/>
      <c r="D27" s="152"/>
      <c r="E27" s="165">
        <f>Forward_Year_1</f>
        <v>46022</v>
      </c>
      <c r="F27" s="165">
        <f>Forward_Year_2</f>
        <v>46387</v>
      </c>
      <c r="G27" s="165">
        <f>Forward_Year_3</f>
        <v>46752</v>
      </c>
      <c r="H27" s="193"/>
      <c r="I27" s="156"/>
      <c r="J27" s="165">
        <f>Forward_Year_1</f>
        <v>46022</v>
      </c>
      <c r="K27" s="165">
        <f>Forward_Year_2</f>
        <v>46387</v>
      </c>
      <c r="L27" s="165">
        <f>Forward_Year_3</f>
        <v>46752</v>
      </c>
      <c r="M27" s="193"/>
      <c r="N27" s="156"/>
      <c r="O27" s="165">
        <f>Forward_Year_1</f>
        <v>46022</v>
      </c>
      <c r="P27" s="165">
        <f>Forward_Year_2</f>
        <v>46387</v>
      </c>
      <c r="Q27" s="165">
        <f>Forward_Year_3</f>
        <v>46752</v>
      </c>
      <c r="R27" s="193"/>
      <c r="S27" s="156"/>
      <c r="T27" s="165">
        <f>Forward_Year_1</f>
        <v>46022</v>
      </c>
      <c r="U27" s="165">
        <f>Forward_Year_2</f>
        <v>46387</v>
      </c>
      <c r="V27" s="165">
        <f>Forward_Year_3</f>
        <v>46752</v>
      </c>
      <c r="W27" s="193"/>
      <c r="X27" s="156"/>
      <c r="Y27" s="165">
        <f>Forward_Year_1</f>
        <v>46022</v>
      </c>
      <c r="Z27" s="165">
        <f>Forward_Year_2</f>
        <v>46387</v>
      </c>
      <c r="AA27" s="165">
        <f>Forward_Year_3</f>
        <v>46752</v>
      </c>
      <c r="AB27" s="193"/>
      <c r="AC27" s="156"/>
      <c r="AD27" s="165">
        <f>Forward_Year_1</f>
        <v>46022</v>
      </c>
      <c r="AE27" s="165">
        <f>Forward_Year_2</f>
        <v>46387</v>
      </c>
      <c r="AF27" s="165">
        <f>Forward_Year_3</f>
        <v>46752</v>
      </c>
      <c r="AG27" s="193"/>
      <c r="AH27" s="188"/>
      <c r="AI27" s="165">
        <f>Forward_Year_1</f>
        <v>46022</v>
      </c>
      <c r="AJ27" s="165">
        <f>Forward_Year_2</f>
        <v>46387</v>
      </c>
      <c r="AK27" s="165">
        <f>Forward_Year_3</f>
        <v>46752</v>
      </c>
      <c r="AL27" s="193"/>
      <c r="AM27" s="188"/>
      <c r="AN27" s="188"/>
      <c r="AO27" s="188"/>
      <c r="AP27" s="188"/>
    </row>
    <row r="28" spans="2:42" ht="16">
      <c r="B28" s="150"/>
      <c r="C28" s="177" t="s">
        <v>251</v>
      </c>
      <c r="D28" s="173"/>
      <c r="E28" s="194">
        <f>Model!K69/Units</f>
        <v>169</v>
      </c>
      <c r="F28" s="194">
        <f>Model!L69/Units</f>
        <v>254.78800000000001</v>
      </c>
      <c r="G28" s="194">
        <f>Model!M69/Units</f>
        <v>365.254164</v>
      </c>
      <c r="H28" s="188"/>
      <c r="I28" s="156"/>
      <c r="J28" s="194">
        <v>445</v>
      </c>
      <c r="K28" s="194">
        <v>636</v>
      </c>
      <c r="L28" s="194">
        <v>893</v>
      </c>
      <c r="M28" s="188"/>
      <c r="N28" s="156"/>
      <c r="O28" s="194">
        <v>58</v>
      </c>
      <c r="P28" s="194">
        <v>83</v>
      </c>
      <c r="Q28" s="194">
        <v>126</v>
      </c>
      <c r="R28" s="188"/>
      <c r="S28" s="156"/>
      <c r="T28" s="194">
        <v>17</v>
      </c>
      <c r="U28" s="194">
        <v>28</v>
      </c>
      <c r="V28" s="194">
        <v>76</v>
      </c>
      <c r="W28" s="188"/>
      <c r="X28" s="156"/>
      <c r="Y28" s="194"/>
      <c r="Z28" s="194"/>
      <c r="AA28" s="194"/>
      <c r="AB28" s="188"/>
      <c r="AC28" s="156"/>
      <c r="AD28" s="194">
        <v>3</v>
      </c>
      <c r="AE28" s="194">
        <v>15</v>
      </c>
      <c r="AF28" s="194">
        <v>36</v>
      </c>
      <c r="AG28" s="188"/>
      <c r="AH28" s="188"/>
      <c r="AI28" s="194">
        <v>0</v>
      </c>
      <c r="AJ28" s="194">
        <v>6</v>
      </c>
      <c r="AK28" s="194">
        <v>35</v>
      </c>
      <c r="AL28" s="188"/>
      <c r="AM28" s="188"/>
      <c r="AN28" s="188"/>
      <c r="AO28" s="188"/>
      <c r="AP28" s="188"/>
    </row>
    <row r="29" spans="2:42" ht="16">
      <c r="B29" s="150"/>
      <c r="C29" s="177" t="s">
        <v>291</v>
      </c>
      <c r="D29" s="173"/>
      <c r="E29" s="195">
        <f>Model!K72/Units</f>
        <v>82.81</v>
      </c>
      <c r="F29" s="195">
        <f>Model!L72/Units</f>
        <v>101.91520000000001</v>
      </c>
      <c r="G29" s="195">
        <f>Model!M72/Units</f>
        <v>146.10166560000002</v>
      </c>
      <c r="H29" s="188"/>
      <c r="I29" s="156"/>
      <c r="J29" s="195">
        <v>187</v>
      </c>
      <c r="K29" s="195">
        <v>260</v>
      </c>
      <c r="L29" s="195">
        <v>346</v>
      </c>
      <c r="M29" s="188"/>
      <c r="N29" s="156"/>
      <c r="O29" s="195">
        <v>13</v>
      </c>
      <c r="P29" s="195">
        <v>14</v>
      </c>
      <c r="Q29" s="195">
        <v>28</v>
      </c>
      <c r="R29" s="188"/>
      <c r="S29" s="156"/>
      <c r="T29" s="195">
        <v>-1</v>
      </c>
      <c r="U29" s="195">
        <v>0</v>
      </c>
      <c r="V29" s="195">
        <v>13</v>
      </c>
      <c r="W29" s="188"/>
      <c r="X29" s="156"/>
      <c r="Y29" s="195"/>
      <c r="Z29" s="195"/>
      <c r="AA29" s="195"/>
      <c r="AB29" s="188"/>
      <c r="AC29" s="156"/>
      <c r="AD29" s="195">
        <f>AD28*-0.63</f>
        <v>-1.8900000000000001</v>
      </c>
      <c r="AE29" s="195">
        <f>AE28*0.225</f>
        <v>3.375</v>
      </c>
      <c r="AF29" s="195">
        <f>AF28*0.27</f>
        <v>9.7200000000000006</v>
      </c>
      <c r="AG29" s="188"/>
      <c r="AH29" s="188"/>
      <c r="AI29" s="195">
        <v>30</v>
      </c>
      <c r="AJ29" s="195">
        <f>AJ28*0.158</f>
        <v>0.94799999999999995</v>
      </c>
      <c r="AK29" s="195">
        <f>AK28*0.25</f>
        <v>8.75</v>
      </c>
      <c r="AL29" s="188"/>
      <c r="AM29" s="188"/>
      <c r="AN29" s="188"/>
      <c r="AO29" s="188"/>
      <c r="AP29" s="188"/>
    </row>
    <row r="30" spans="2:42" ht="16">
      <c r="B30" s="150"/>
      <c r="C30" s="177" t="s">
        <v>252</v>
      </c>
      <c r="D30" s="173"/>
      <c r="E30" s="195">
        <f>Model!K91/Units</f>
        <v>-66.950192000000001</v>
      </c>
      <c r="F30" s="195">
        <f>Model!L91/Units</f>
        <v>-41.035703020569343</v>
      </c>
      <c r="G30" s="195">
        <f>Model!M91/Units</f>
        <v>-3.5968136911351811</v>
      </c>
      <c r="H30" s="188"/>
      <c r="I30" s="156"/>
      <c r="J30" s="195">
        <v>57</v>
      </c>
      <c r="K30" s="195">
        <v>90</v>
      </c>
      <c r="L30" s="195">
        <v>142</v>
      </c>
      <c r="M30" s="188"/>
      <c r="N30" s="156"/>
      <c r="O30" s="195">
        <v>-62</v>
      </c>
      <c r="P30" s="195">
        <v>-67</v>
      </c>
      <c r="Q30" s="195">
        <v>-68</v>
      </c>
      <c r="R30" s="188"/>
      <c r="S30" s="156"/>
      <c r="T30" s="195">
        <v>-152</v>
      </c>
      <c r="U30" s="195">
        <v>-137</v>
      </c>
      <c r="V30" s="195">
        <v>-137</v>
      </c>
      <c r="W30" s="188"/>
      <c r="X30" s="156"/>
      <c r="Y30" s="195"/>
      <c r="Z30" s="195"/>
      <c r="AA30" s="195"/>
      <c r="AB30" s="188"/>
      <c r="AC30" s="156"/>
      <c r="AD30" s="195">
        <v>-73</v>
      </c>
      <c r="AE30" s="195">
        <v>-54</v>
      </c>
      <c r="AF30" s="195">
        <v>-42</v>
      </c>
      <c r="AG30" s="188"/>
      <c r="AH30" s="188"/>
      <c r="AI30" s="195">
        <v>-35</v>
      </c>
      <c r="AJ30" s="195">
        <v>-33</v>
      </c>
      <c r="AK30" s="195">
        <v>-27</v>
      </c>
      <c r="AL30" s="188"/>
      <c r="AM30" s="188"/>
      <c r="AN30" s="188"/>
      <c r="AO30" s="188"/>
      <c r="AP30" s="188"/>
    </row>
    <row r="31" spans="2:42" ht="16">
      <c r="B31" s="196"/>
      <c r="C31" s="156"/>
      <c r="D31" s="156"/>
      <c r="E31" s="156"/>
      <c r="F31" s="156"/>
      <c r="G31" s="156"/>
      <c r="H31" s="156"/>
      <c r="I31" s="156"/>
      <c r="J31" s="197"/>
      <c r="K31" s="197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</row>
    <row r="32" spans="2:42" ht="16">
      <c r="B32" s="196"/>
      <c r="C32" s="156"/>
      <c r="D32" s="156"/>
      <c r="E32" s="184" t="s">
        <v>253</v>
      </c>
      <c r="F32" s="191"/>
      <c r="G32" s="191"/>
      <c r="H32" s="191"/>
      <c r="I32" s="156"/>
      <c r="J32" s="184" t="s">
        <v>253</v>
      </c>
      <c r="K32" s="191"/>
      <c r="L32" s="191"/>
      <c r="M32" s="191"/>
      <c r="N32" s="156"/>
      <c r="O32" s="184" t="s">
        <v>253</v>
      </c>
      <c r="P32" s="191"/>
      <c r="Q32" s="191"/>
      <c r="R32" s="191"/>
      <c r="S32" s="156"/>
      <c r="T32" s="184" t="s">
        <v>253</v>
      </c>
      <c r="U32" s="191"/>
      <c r="V32" s="191"/>
      <c r="W32" s="191"/>
      <c r="X32" s="156"/>
      <c r="Y32" s="184" t="s">
        <v>253</v>
      </c>
      <c r="Z32" s="191"/>
      <c r="AA32" s="191"/>
      <c r="AB32" s="191"/>
      <c r="AC32" s="156"/>
      <c r="AD32" s="184" t="s">
        <v>253</v>
      </c>
      <c r="AE32" s="191"/>
      <c r="AF32" s="191"/>
      <c r="AG32" s="191"/>
      <c r="AH32" s="198"/>
      <c r="AI32" s="184" t="s">
        <v>253</v>
      </c>
      <c r="AJ32" s="191"/>
      <c r="AK32" s="191"/>
      <c r="AL32" s="191"/>
      <c r="AM32" s="198"/>
      <c r="AN32" s="198"/>
      <c r="AO32" s="198"/>
      <c r="AP32" s="198"/>
    </row>
    <row r="33" spans="2:42" ht="16">
      <c r="B33" s="196"/>
      <c r="C33" s="199" t="s">
        <v>254</v>
      </c>
      <c r="D33" s="199"/>
      <c r="E33" s="200"/>
      <c r="F33" s="163"/>
      <c r="G33" s="163"/>
      <c r="H33" s="201">
        <f>Share_Price</f>
        <v>21.06</v>
      </c>
      <c r="I33" s="156"/>
      <c r="J33" s="200"/>
      <c r="K33" s="163"/>
      <c r="L33" s="163"/>
      <c r="M33" s="201">
        <v>25.13</v>
      </c>
      <c r="N33" s="156"/>
      <c r="O33" s="200"/>
      <c r="P33" s="163"/>
      <c r="Q33" s="163"/>
      <c r="R33" s="201">
        <v>1.04</v>
      </c>
      <c r="S33" s="156"/>
      <c r="T33" s="200"/>
      <c r="U33" s="163"/>
      <c r="V33" s="163"/>
      <c r="W33" s="201">
        <v>14.34</v>
      </c>
      <c r="X33" s="156"/>
      <c r="Y33" s="200"/>
      <c r="Z33" s="163"/>
      <c r="AA33" s="163"/>
      <c r="AB33" s="201">
        <v>0.08</v>
      </c>
      <c r="AC33" s="156"/>
      <c r="AD33" s="200"/>
      <c r="AE33" s="163"/>
      <c r="AF33" s="163"/>
      <c r="AG33" s="201">
        <v>0.85</v>
      </c>
      <c r="AH33" s="201"/>
      <c r="AI33" s="200"/>
      <c r="AJ33" s="163"/>
      <c r="AK33" s="163"/>
      <c r="AL33" s="201">
        <v>1.85</v>
      </c>
      <c r="AM33" s="201"/>
      <c r="AN33" s="201"/>
      <c r="AO33" s="201"/>
      <c r="AP33" s="201"/>
    </row>
    <row r="34" spans="2:42" ht="16">
      <c r="B34" s="196"/>
      <c r="C34" s="199" t="s">
        <v>255</v>
      </c>
      <c r="D34" s="199"/>
      <c r="E34" s="200"/>
      <c r="F34" s="163"/>
      <c r="G34" s="163"/>
      <c r="H34" s="202">
        <f>Diluted</f>
        <v>52.56</v>
      </c>
      <c r="I34" s="156"/>
      <c r="J34" s="200"/>
      <c r="K34" s="163"/>
      <c r="L34" s="163"/>
      <c r="M34" s="202">
        <v>160</v>
      </c>
      <c r="N34" s="156"/>
      <c r="O34" s="200"/>
      <c r="P34" s="163"/>
      <c r="Q34" s="163"/>
      <c r="R34" s="202">
        <v>208.542</v>
      </c>
      <c r="S34" s="156"/>
      <c r="T34" s="200"/>
      <c r="U34" s="163"/>
      <c r="V34" s="163"/>
      <c r="W34" s="203">
        <v>61.942</v>
      </c>
      <c r="X34" s="156"/>
      <c r="Y34" s="200"/>
      <c r="Z34" s="163"/>
      <c r="AA34" s="163"/>
      <c r="AB34" s="203">
        <v>77.900000000000006</v>
      </c>
      <c r="AC34" s="156"/>
      <c r="AD34" s="200"/>
      <c r="AE34" s="163"/>
      <c r="AF34" s="163"/>
      <c r="AG34" s="203">
        <v>311</v>
      </c>
      <c r="AH34" s="203"/>
      <c r="AI34" s="200"/>
      <c r="AJ34" s="163"/>
      <c r="AK34" s="163"/>
      <c r="AL34" s="203">
        <v>45.055</v>
      </c>
      <c r="AM34" s="203"/>
      <c r="AN34" s="203"/>
      <c r="AO34" s="203"/>
      <c r="AP34" s="203"/>
    </row>
    <row r="35" spans="2:42" ht="16">
      <c r="B35" s="196"/>
      <c r="C35" s="199" t="s">
        <v>256</v>
      </c>
      <c r="D35" s="199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</row>
    <row r="36" spans="2:42" ht="16">
      <c r="B36" s="196"/>
      <c r="C36" s="156"/>
      <c r="D36" s="156"/>
      <c r="E36" s="156"/>
      <c r="F36" s="204" t="s">
        <v>257</v>
      </c>
      <c r="G36" s="204" t="s">
        <v>258</v>
      </c>
      <c r="H36" s="204" t="s">
        <v>259</v>
      </c>
      <c r="I36" s="156"/>
      <c r="J36" s="156"/>
      <c r="K36" s="204" t="s">
        <v>257</v>
      </c>
      <c r="L36" s="204" t="s">
        <v>258</v>
      </c>
      <c r="M36" s="204" t="s">
        <v>259</v>
      </c>
      <c r="N36" s="156"/>
      <c r="O36" s="156"/>
      <c r="P36" s="205" t="s">
        <v>257</v>
      </c>
      <c r="Q36" s="205" t="s">
        <v>258</v>
      </c>
      <c r="R36" s="205" t="s">
        <v>259</v>
      </c>
      <c r="S36" s="156"/>
      <c r="T36" s="156"/>
      <c r="U36" s="205" t="s">
        <v>257</v>
      </c>
      <c r="V36" s="205" t="s">
        <v>258</v>
      </c>
      <c r="W36" s="205" t="s">
        <v>259</v>
      </c>
      <c r="X36" s="156"/>
      <c r="Y36" s="156"/>
      <c r="Z36" s="205" t="s">
        <v>257</v>
      </c>
      <c r="AA36" s="205" t="s">
        <v>258</v>
      </c>
      <c r="AB36" s="205" t="s">
        <v>259</v>
      </c>
      <c r="AC36" s="156"/>
      <c r="AD36" s="156"/>
      <c r="AE36" s="205" t="s">
        <v>257</v>
      </c>
      <c r="AF36" s="205" t="s">
        <v>258</v>
      </c>
      <c r="AG36" s="205" t="s">
        <v>259</v>
      </c>
      <c r="AH36" s="205"/>
      <c r="AI36" s="156"/>
      <c r="AJ36" s="205" t="s">
        <v>257</v>
      </c>
      <c r="AK36" s="205" t="s">
        <v>258</v>
      </c>
      <c r="AL36" s="205" t="s">
        <v>259</v>
      </c>
      <c r="AM36" s="205"/>
      <c r="AN36" s="205"/>
      <c r="AO36" s="205"/>
      <c r="AP36" s="205"/>
    </row>
    <row r="37" spans="2:42" ht="16">
      <c r="B37" s="196"/>
      <c r="C37" s="156"/>
      <c r="D37" s="156"/>
      <c r="E37" s="156"/>
      <c r="F37" s="206"/>
      <c r="G37" s="207"/>
      <c r="H37" s="208">
        <f t="shared" ref="H37:H45" si="10">IF(G37&lt;H$32,F37-((F37*G37)/H$32),0)</f>
        <v>0</v>
      </c>
      <c r="I37" s="156"/>
      <c r="J37" s="156"/>
      <c r="K37" s="206"/>
      <c r="L37" s="207"/>
      <c r="M37" s="208">
        <f>IF(L37&lt;M$32,K37-((K37*L37)/M$32),0)</f>
        <v>0</v>
      </c>
      <c r="N37" s="156"/>
      <c r="O37" s="156"/>
      <c r="P37" s="206"/>
      <c r="Q37" s="207"/>
      <c r="R37" s="208">
        <f>IF(Q37&lt;R$32,P37-((P37*Q37)/R$32),0)</f>
        <v>0</v>
      </c>
      <c r="S37" s="156"/>
      <c r="T37" s="156"/>
      <c r="U37" s="206"/>
      <c r="V37" s="207"/>
      <c r="W37" s="208">
        <f>IF(V37&lt;W$32,U37-((U37*V37)/W$32),0)</f>
        <v>0</v>
      </c>
      <c r="X37" s="156"/>
      <c r="Y37" s="156"/>
      <c r="Z37" s="206"/>
      <c r="AA37" s="207"/>
      <c r="AB37" s="208">
        <f>IF(AA37&lt;AB$32,Z37-((Z37*AA37)/AB$32),0)</f>
        <v>0</v>
      </c>
      <c r="AC37" s="156"/>
      <c r="AD37" s="156"/>
      <c r="AE37" s="206"/>
      <c r="AF37" s="207"/>
      <c r="AG37" s="208">
        <f>IF(AF37&lt;AG$32,AE37-((AE37*AF37)/AG$32),0)</f>
        <v>0</v>
      </c>
      <c r="AH37" s="208"/>
      <c r="AI37" s="156"/>
      <c r="AJ37" s="206"/>
      <c r="AK37" s="207"/>
      <c r="AL37" s="208">
        <f>IF(AK37&lt;AL$32,AJ37-((AJ37*AK37)/AL$32),0)</f>
        <v>0</v>
      </c>
      <c r="AM37" s="208"/>
      <c r="AN37" s="208"/>
      <c r="AO37" s="208"/>
      <c r="AP37" s="208"/>
    </row>
    <row r="38" spans="2:42" ht="16">
      <c r="B38" s="196"/>
      <c r="C38" s="156"/>
      <c r="D38" s="156"/>
      <c r="E38" s="156"/>
      <c r="F38" s="206"/>
      <c r="G38" s="207"/>
      <c r="H38" s="208">
        <f t="shared" si="10"/>
        <v>0</v>
      </c>
      <c r="I38" s="156"/>
      <c r="J38" s="156"/>
      <c r="K38" s="206"/>
      <c r="L38" s="207"/>
      <c r="M38" s="208">
        <f t="shared" ref="M38:M42" si="11">IF(L38&lt;M$32,K38-((K38*L38)/M$32),0)</f>
        <v>0</v>
      </c>
      <c r="N38" s="156"/>
      <c r="O38" s="156"/>
      <c r="P38" s="206"/>
      <c r="Q38" s="207"/>
      <c r="R38" s="208">
        <f t="shared" ref="R38:R42" si="12">IF(Q38&lt;R$32,P38-((P38*Q38)/R$32),0)</f>
        <v>0</v>
      </c>
      <c r="S38" s="156"/>
      <c r="T38" s="156"/>
      <c r="U38" s="206"/>
      <c r="V38" s="207"/>
      <c r="W38" s="208">
        <f t="shared" ref="W38:W42" si="13">IF(V38&lt;W$32,U38-((U38*V38)/W$32),0)</f>
        <v>0</v>
      </c>
      <c r="X38" s="156"/>
      <c r="Y38" s="156"/>
      <c r="Z38" s="206"/>
      <c r="AA38" s="207"/>
      <c r="AB38" s="208">
        <f t="shared" ref="AB38:AB42" si="14">IF(AA38&lt;AB$32,Z38-((Z38*AA38)/AB$32),0)</f>
        <v>0</v>
      </c>
      <c r="AC38" s="156"/>
      <c r="AD38" s="156"/>
      <c r="AE38" s="206"/>
      <c r="AF38" s="207"/>
      <c r="AG38" s="208">
        <f t="shared" ref="AG38:AG42" si="15">IF(AF38&lt;AG$32,AE38-((AE38*AF38)/AG$32),0)</f>
        <v>0</v>
      </c>
      <c r="AH38" s="208"/>
      <c r="AI38" s="156"/>
      <c r="AJ38" s="206"/>
      <c r="AK38" s="207"/>
      <c r="AL38" s="208">
        <f t="shared" ref="AL38:AL42" si="16">IF(AK38&lt;AL$32,AJ38-((AJ38*AK38)/AL$32),0)</f>
        <v>0</v>
      </c>
      <c r="AM38" s="208"/>
      <c r="AN38" s="208"/>
      <c r="AO38" s="208"/>
      <c r="AP38" s="208"/>
    </row>
    <row r="39" spans="2:42" ht="16">
      <c r="B39" s="196"/>
      <c r="C39" s="156"/>
      <c r="D39" s="156"/>
      <c r="E39" s="156"/>
      <c r="F39" s="206"/>
      <c r="G39" s="207"/>
      <c r="H39" s="208">
        <f t="shared" si="10"/>
        <v>0</v>
      </c>
      <c r="I39" s="156"/>
      <c r="J39" s="156"/>
      <c r="K39" s="206"/>
      <c r="L39" s="207"/>
      <c r="M39" s="208">
        <f t="shared" si="11"/>
        <v>0</v>
      </c>
      <c r="N39" s="156"/>
      <c r="O39" s="156"/>
      <c r="P39" s="206"/>
      <c r="Q39" s="207"/>
      <c r="R39" s="208">
        <f t="shared" si="12"/>
        <v>0</v>
      </c>
      <c r="S39" s="156"/>
      <c r="T39" s="156"/>
      <c r="U39" s="206"/>
      <c r="V39" s="207"/>
      <c r="W39" s="208">
        <f t="shared" si="13"/>
        <v>0</v>
      </c>
      <c r="X39" s="156"/>
      <c r="Y39" s="156"/>
      <c r="Z39" s="206"/>
      <c r="AA39" s="207"/>
      <c r="AB39" s="208">
        <f t="shared" si="14"/>
        <v>0</v>
      </c>
      <c r="AC39" s="156"/>
      <c r="AD39" s="156"/>
      <c r="AE39" s="206"/>
      <c r="AF39" s="207"/>
      <c r="AG39" s="208">
        <f t="shared" si="15"/>
        <v>0</v>
      </c>
      <c r="AH39" s="208"/>
      <c r="AI39" s="156"/>
      <c r="AJ39" s="206"/>
      <c r="AK39" s="207"/>
      <c r="AL39" s="208">
        <f t="shared" si="16"/>
        <v>0</v>
      </c>
      <c r="AM39" s="208"/>
      <c r="AN39" s="208"/>
      <c r="AO39" s="208"/>
      <c r="AP39" s="208"/>
    </row>
    <row r="40" spans="2:42" ht="16">
      <c r="B40" s="196"/>
      <c r="C40" s="156"/>
      <c r="D40" s="156"/>
      <c r="E40" s="156"/>
      <c r="F40" s="206"/>
      <c r="G40" s="207"/>
      <c r="H40" s="208">
        <f t="shared" si="10"/>
        <v>0</v>
      </c>
      <c r="I40" s="156"/>
      <c r="J40" s="156"/>
      <c r="K40" s="206"/>
      <c r="L40" s="207"/>
      <c r="M40" s="208">
        <f t="shared" si="11"/>
        <v>0</v>
      </c>
      <c r="N40" s="156"/>
      <c r="O40" s="156"/>
      <c r="P40" s="206"/>
      <c r="Q40" s="207"/>
      <c r="R40" s="208">
        <f t="shared" si="12"/>
        <v>0</v>
      </c>
      <c r="S40" s="156"/>
      <c r="T40" s="156"/>
      <c r="U40" s="206"/>
      <c r="V40" s="207"/>
      <c r="W40" s="208">
        <f t="shared" si="13"/>
        <v>0</v>
      </c>
      <c r="X40" s="156"/>
      <c r="Y40" s="156"/>
      <c r="Z40" s="206"/>
      <c r="AA40" s="207"/>
      <c r="AB40" s="208">
        <f t="shared" si="14"/>
        <v>0</v>
      </c>
      <c r="AC40" s="156"/>
      <c r="AD40" s="156"/>
      <c r="AE40" s="206"/>
      <c r="AF40" s="207"/>
      <c r="AG40" s="208">
        <f t="shared" si="15"/>
        <v>0</v>
      </c>
      <c r="AH40" s="208"/>
      <c r="AI40" s="156"/>
      <c r="AJ40" s="206"/>
      <c r="AK40" s="207"/>
      <c r="AL40" s="208">
        <f t="shared" si="16"/>
        <v>0</v>
      </c>
      <c r="AM40" s="208"/>
      <c r="AN40" s="208"/>
      <c r="AO40" s="208"/>
      <c r="AP40" s="208"/>
    </row>
    <row r="41" spans="2:42" ht="16">
      <c r="B41" s="196"/>
      <c r="C41" s="156"/>
      <c r="D41" s="156"/>
      <c r="E41" s="156"/>
      <c r="F41" s="206"/>
      <c r="G41" s="207"/>
      <c r="H41" s="208">
        <f t="shared" si="10"/>
        <v>0</v>
      </c>
      <c r="I41" s="156"/>
      <c r="J41" s="156"/>
      <c r="K41" s="206"/>
      <c r="L41" s="207"/>
      <c r="M41" s="208">
        <f t="shared" si="11"/>
        <v>0</v>
      </c>
      <c r="N41" s="156"/>
      <c r="O41" s="156"/>
      <c r="P41" s="206"/>
      <c r="Q41" s="207"/>
      <c r="R41" s="208">
        <f t="shared" si="12"/>
        <v>0</v>
      </c>
      <c r="S41" s="156"/>
      <c r="T41" s="156"/>
      <c r="U41" s="206"/>
      <c r="V41" s="207"/>
      <c r="W41" s="208">
        <f t="shared" si="13"/>
        <v>0</v>
      </c>
      <c r="X41" s="156"/>
      <c r="Y41" s="156"/>
      <c r="Z41" s="206"/>
      <c r="AA41" s="207"/>
      <c r="AB41" s="208">
        <f t="shared" si="14"/>
        <v>0</v>
      </c>
      <c r="AC41" s="156"/>
      <c r="AD41" s="156"/>
      <c r="AE41" s="206"/>
      <c r="AF41" s="207"/>
      <c r="AG41" s="208">
        <f t="shared" si="15"/>
        <v>0</v>
      </c>
      <c r="AH41" s="208"/>
      <c r="AI41" s="156"/>
      <c r="AJ41" s="206"/>
      <c r="AK41" s="207"/>
      <c r="AL41" s="208">
        <f t="shared" si="16"/>
        <v>0</v>
      </c>
      <c r="AM41" s="208"/>
      <c r="AN41" s="208"/>
      <c r="AO41" s="208"/>
      <c r="AP41" s="208"/>
    </row>
    <row r="42" spans="2:42" ht="16">
      <c r="B42" s="196"/>
      <c r="C42" s="156"/>
      <c r="D42" s="156"/>
      <c r="E42" s="156"/>
      <c r="F42" s="206"/>
      <c r="G42" s="207"/>
      <c r="H42" s="208">
        <f t="shared" si="10"/>
        <v>0</v>
      </c>
      <c r="I42" s="156"/>
      <c r="J42" s="156"/>
      <c r="K42" s="206"/>
      <c r="L42" s="207"/>
      <c r="M42" s="208">
        <f t="shared" si="11"/>
        <v>0</v>
      </c>
      <c r="N42" s="156"/>
      <c r="O42" s="156"/>
      <c r="P42" s="206"/>
      <c r="Q42" s="207"/>
      <c r="R42" s="208">
        <f t="shared" si="12"/>
        <v>0</v>
      </c>
      <c r="S42" s="156"/>
      <c r="T42" s="156"/>
      <c r="U42" s="206"/>
      <c r="V42" s="207"/>
      <c r="W42" s="208">
        <f t="shared" si="13"/>
        <v>0</v>
      </c>
      <c r="X42" s="156"/>
      <c r="Y42" s="156"/>
      <c r="Z42" s="206"/>
      <c r="AA42" s="207"/>
      <c r="AB42" s="208">
        <f t="shared" si="14"/>
        <v>0</v>
      </c>
      <c r="AC42" s="156"/>
      <c r="AD42" s="156"/>
      <c r="AE42" s="206"/>
      <c r="AF42" s="207"/>
      <c r="AG42" s="208">
        <f t="shared" si="15"/>
        <v>0</v>
      </c>
      <c r="AH42" s="208"/>
      <c r="AI42" s="156"/>
      <c r="AJ42" s="206"/>
      <c r="AK42" s="207"/>
      <c r="AL42" s="208">
        <f t="shared" si="16"/>
        <v>0</v>
      </c>
      <c r="AM42" s="208"/>
      <c r="AN42" s="208"/>
      <c r="AO42" s="208"/>
      <c r="AP42" s="208"/>
    </row>
    <row r="43" spans="2:42" ht="16">
      <c r="B43" s="196"/>
      <c r="C43" s="156"/>
      <c r="D43" s="156"/>
      <c r="E43" s="156"/>
      <c r="F43" s="206"/>
      <c r="G43" s="207"/>
      <c r="H43" s="208">
        <f t="shared" si="10"/>
        <v>0</v>
      </c>
      <c r="I43" s="156"/>
      <c r="J43" s="156"/>
      <c r="K43" s="206"/>
      <c r="L43" s="207"/>
      <c r="M43" s="208">
        <f>IF(L43&lt;M$32,K43-((K43*L43)/M$32),0)</f>
        <v>0</v>
      </c>
      <c r="N43" s="156"/>
      <c r="O43" s="156"/>
      <c r="P43" s="206"/>
      <c r="Q43" s="207"/>
      <c r="R43" s="208">
        <f>IF(Q43&lt;R$32,P43-((P43*Q43)/R$32),0)</f>
        <v>0</v>
      </c>
      <c r="S43" s="156"/>
      <c r="T43" s="156"/>
      <c r="U43" s="206"/>
      <c r="V43" s="207"/>
      <c r="W43" s="208">
        <f>IF(V43&lt;W$32,U43-((U43*V43)/W$32),0)</f>
        <v>0</v>
      </c>
      <c r="X43" s="156"/>
      <c r="Y43" s="156"/>
      <c r="Z43" s="206"/>
      <c r="AA43" s="207"/>
      <c r="AB43" s="208">
        <f>IF(AA43&lt;AB$32,Z43-((Z43*AA43)/AB$32),0)</f>
        <v>0</v>
      </c>
      <c r="AC43" s="156"/>
      <c r="AD43" s="156"/>
      <c r="AE43" s="206"/>
      <c r="AF43" s="207"/>
      <c r="AG43" s="208">
        <f>IF(AF43&lt;AG$32,AE43-((AE43*AF43)/AG$32),0)</f>
        <v>0</v>
      </c>
      <c r="AH43" s="208"/>
      <c r="AI43" s="156"/>
      <c r="AJ43" s="206"/>
      <c r="AK43" s="207"/>
      <c r="AL43" s="208">
        <f>IF(AK43&lt;AL$32,AJ43-((AJ43*AK43)/AL$32),0)</f>
        <v>0</v>
      </c>
      <c r="AM43" s="208"/>
      <c r="AN43" s="208"/>
      <c r="AO43" s="208"/>
      <c r="AP43" s="208"/>
    </row>
    <row r="44" spans="2:42" ht="16">
      <c r="B44" s="196"/>
      <c r="C44" s="156"/>
      <c r="D44" s="156"/>
      <c r="E44" s="156"/>
      <c r="F44" s="206"/>
      <c r="G44" s="207"/>
      <c r="H44" s="208">
        <f t="shared" si="10"/>
        <v>0</v>
      </c>
      <c r="I44" s="156"/>
      <c r="J44" s="156"/>
      <c r="K44" s="206"/>
      <c r="L44" s="207"/>
      <c r="M44" s="208">
        <f t="shared" ref="M44:M45" si="17">IF(L44&lt;M$32,K44-((K44*L44)/M$32),0)</f>
        <v>0</v>
      </c>
      <c r="N44" s="156"/>
      <c r="O44" s="156"/>
      <c r="P44" s="206"/>
      <c r="Q44" s="207"/>
      <c r="R44" s="208">
        <f t="shared" ref="R44:R45" si="18">IF(Q44&lt;R$32,P44-((P44*Q44)/R$32),0)</f>
        <v>0</v>
      </c>
      <c r="S44" s="156"/>
      <c r="T44" s="156"/>
      <c r="U44" s="206"/>
      <c r="V44" s="207"/>
      <c r="W44" s="208">
        <f t="shared" ref="W44:W45" si="19">IF(V44&lt;W$32,U44-((U44*V44)/W$32),0)</f>
        <v>0</v>
      </c>
      <c r="X44" s="156"/>
      <c r="Y44" s="156"/>
      <c r="Z44" s="206"/>
      <c r="AA44" s="207"/>
      <c r="AB44" s="208">
        <f t="shared" ref="AB44:AB45" si="20">IF(AA44&lt;AB$32,Z44-((Z44*AA44)/AB$32),0)</f>
        <v>0</v>
      </c>
      <c r="AC44" s="156"/>
      <c r="AD44" s="156"/>
      <c r="AE44" s="206"/>
      <c r="AF44" s="207"/>
      <c r="AG44" s="208">
        <f t="shared" ref="AG44:AG45" si="21">IF(AF44&lt;AG$32,AE44-((AE44*AF44)/AG$32),0)</f>
        <v>0</v>
      </c>
      <c r="AH44" s="208"/>
      <c r="AI44" s="156"/>
      <c r="AJ44" s="206"/>
      <c r="AK44" s="207"/>
      <c r="AL44" s="208">
        <f t="shared" ref="AL44:AL45" si="22">IF(AK44&lt;AL$32,AJ44-((AJ44*AK44)/AL$32),0)</f>
        <v>0</v>
      </c>
      <c r="AM44" s="208"/>
      <c r="AN44" s="208"/>
      <c r="AO44" s="208"/>
      <c r="AP44" s="208"/>
    </row>
    <row r="45" spans="2:42" ht="16">
      <c r="B45" s="196"/>
      <c r="C45" s="156"/>
      <c r="D45" s="156"/>
      <c r="E45" s="156"/>
      <c r="F45" s="206"/>
      <c r="G45" s="207"/>
      <c r="H45" s="208">
        <f t="shared" si="10"/>
        <v>0</v>
      </c>
      <c r="I45" s="208"/>
      <c r="J45" s="156"/>
      <c r="K45" s="206"/>
      <c r="L45" s="207"/>
      <c r="M45" s="208">
        <f t="shared" si="17"/>
        <v>0</v>
      </c>
      <c r="N45" s="156"/>
      <c r="O45" s="156"/>
      <c r="P45" s="206"/>
      <c r="Q45" s="207"/>
      <c r="R45" s="208">
        <f t="shared" si="18"/>
        <v>0</v>
      </c>
      <c r="S45" s="156"/>
      <c r="T45" s="156"/>
      <c r="U45" s="206"/>
      <c r="V45" s="207"/>
      <c r="W45" s="208">
        <f t="shared" si="19"/>
        <v>0</v>
      </c>
      <c r="X45" s="156"/>
      <c r="Y45" s="156"/>
      <c r="Z45" s="206"/>
      <c r="AA45" s="207"/>
      <c r="AB45" s="208">
        <f t="shared" si="20"/>
        <v>0</v>
      </c>
      <c r="AC45" s="156"/>
      <c r="AD45" s="156"/>
      <c r="AE45" s="206"/>
      <c r="AF45" s="207"/>
      <c r="AG45" s="208">
        <f t="shared" si="21"/>
        <v>0</v>
      </c>
      <c r="AH45" s="208"/>
      <c r="AI45" s="156"/>
      <c r="AJ45" s="206"/>
      <c r="AK45" s="207"/>
      <c r="AL45" s="208">
        <f t="shared" si="22"/>
        <v>0</v>
      </c>
      <c r="AM45" s="208"/>
      <c r="AN45" s="208"/>
      <c r="AO45" s="208"/>
      <c r="AP45" s="208"/>
    </row>
    <row r="46" spans="2:42" ht="16">
      <c r="B46" s="196"/>
      <c r="C46" s="156"/>
      <c r="D46" s="156"/>
      <c r="E46" s="156"/>
      <c r="F46" s="206"/>
      <c r="G46" s="207"/>
      <c r="H46" s="209"/>
      <c r="I46" s="156"/>
      <c r="J46" s="156"/>
      <c r="K46" s="206"/>
      <c r="L46" s="207"/>
      <c r="M46" s="209"/>
      <c r="N46" s="156"/>
      <c r="O46" s="156"/>
      <c r="P46" s="206"/>
      <c r="Q46" s="207"/>
      <c r="R46" s="209"/>
      <c r="S46" s="156"/>
      <c r="T46" s="156"/>
      <c r="U46" s="206"/>
      <c r="V46" s="207"/>
      <c r="W46" s="209"/>
      <c r="X46" s="156"/>
      <c r="Y46" s="156"/>
      <c r="Z46" s="206"/>
      <c r="AA46" s="207"/>
      <c r="AB46" s="209"/>
      <c r="AC46" s="156"/>
      <c r="AD46" s="156"/>
      <c r="AE46" s="206"/>
      <c r="AF46" s="207"/>
      <c r="AG46" s="209"/>
      <c r="AH46" s="209"/>
      <c r="AI46" s="156"/>
      <c r="AJ46" s="206"/>
      <c r="AK46" s="207"/>
      <c r="AL46" s="209"/>
      <c r="AM46" s="209"/>
      <c r="AN46" s="209"/>
      <c r="AO46" s="209"/>
      <c r="AP46" s="209"/>
    </row>
    <row r="47" spans="2:42" ht="16">
      <c r="B47" s="196"/>
      <c r="C47" s="199" t="s">
        <v>260</v>
      </c>
      <c r="D47" s="156"/>
      <c r="E47" s="210" t="s">
        <v>261</v>
      </c>
      <c r="F47" s="210" t="s">
        <v>262</v>
      </c>
      <c r="G47" s="210" t="s">
        <v>263</v>
      </c>
      <c r="H47" s="210" t="s">
        <v>259</v>
      </c>
      <c r="I47" s="156"/>
      <c r="J47" s="210" t="s">
        <v>261</v>
      </c>
      <c r="K47" s="210" t="s">
        <v>262</v>
      </c>
      <c r="L47" s="210" t="s">
        <v>263</v>
      </c>
      <c r="M47" s="210" t="s">
        <v>259</v>
      </c>
      <c r="N47" s="156"/>
      <c r="O47" s="210" t="s">
        <v>261</v>
      </c>
      <c r="P47" s="210" t="s">
        <v>262</v>
      </c>
      <c r="Q47" s="210" t="s">
        <v>263</v>
      </c>
      <c r="R47" s="210" t="s">
        <v>259</v>
      </c>
      <c r="S47" s="156"/>
      <c r="T47" s="210" t="s">
        <v>261</v>
      </c>
      <c r="U47" s="210" t="s">
        <v>262</v>
      </c>
      <c r="V47" s="210" t="s">
        <v>263</v>
      </c>
      <c r="W47" s="210" t="s">
        <v>259</v>
      </c>
      <c r="X47" s="156"/>
      <c r="Y47" s="210" t="s">
        <v>261</v>
      </c>
      <c r="Z47" s="210" t="s">
        <v>262</v>
      </c>
      <c r="AA47" s="210" t="s">
        <v>263</v>
      </c>
      <c r="AB47" s="210" t="s">
        <v>259</v>
      </c>
      <c r="AC47" s="156"/>
      <c r="AD47" s="210" t="s">
        <v>261</v>
      </c>
      <c r="AE47" s="210" t="s">
        <v>262</v>
      </c>
      <c r="AF47" s="210" t="s">
        <v>263</v>
      </c>
      <c r="AG47" s="210" t="s">
        <v>259</v>
      </c>
      <c r="AH47" s="211"/>
      <c r="AI47" s="210" t="s">
        <v>261</v>
      </c>
      <c r="AJ47" s="210" t="s">
        <v>262</v>
      </c>
      <c r="AK47" s="210" t="s">
        <v>263</v>
      </c>
      <c r="AL47" s="210" t="s">
        <v>259</v>
      </c>
      <c r="AM47" s="211"/>
      <c r="AN47" s="211"/>
      <c r="AO47" s="211"/>
      <c r="AP47" s="211"/>
    </row>
    <row r="48" spans="2:42" ht="16">
      <c r="B48" s="196"/>
      <c r="C48" s="156"/>
      <c r="D48" s="156"/>
      <c r="E48" s="212"/>
      <c r="F48" s="213"/>
      <c r="G48" s="201"/>
      <c r="H48" s="208">
        <f>IFERROR(IF(G48&gt;H$32,0,(+F48/G48)*E48/F48), 0)</f>
        <v>0</v>
      </c>
      <c r="I48" s="156"/>
      <c r="J48" s="212"/>
      <c r="K48" s="213"/>
      <c r="L48" s="201"/>
      <c r="M48" s="208">
        <f>IFERROR(IF(L48&gt;M$32,0,(+K48/L48)*J48/K48),0)</f>
        <v>0</v>
      </c>
      <c r="N48" s="156"/>
      <c r="O48" s="212"/>
      <c r="P48" s="213"/>
      <c r="Q48" s="201"/>
      <c r="R48" s="208">
        <f>IFERROR(IF(Q48&gt;R$32,0,(+P48/Q48)*O48/P48),0)</f>
        <v>0</v>
      </c>
      <c r="S48" s="214"/>
      <c r="T48" s="212"/>
      <c r="U48" s="213"/>
      <c r="V48" s="201"/>
      <c r="W48" s="208">
        <f>IFERROR(IF(V48&gt;W$32,0,(+U48/V48)*T48/U48),0)</f>
        <v>0</v>
      </c>
      <c r="X48" s="214"/>
      <c r="Y48" s="212"/>
      <c r="Z48" s="213"/>
      <c r="AA48" s="201"/>
      <c r="AB48" s="208">
        <f>IFERROR(IF(AA48&gt;AB$32,0,+Y48/AA48-(AB$32*(Y48/AA48)-Y48)*0.5/AB$32),0)</f>
        <v>0</v>
      </c>
      <c r="AC48" s="214"/>
      <c r="AD48" s="212"/>
      <c r="AE48" s="213"/>
      <c r="AF48" s="201"/>
      <c r="AG48" s="208">
        <f>IFERROR(IF(AF48&gt;AG$32,0,+AD48/AF48-(AG$32*(AD48/AF48)-AD48)*0.5/AG$32),0)</f>
        <v>0</v>
      </c>
      <c r="AH48" s="208"/>
      <c r="AI48" s="212"/>
      <c r="AJ48" s="213"/>
      <c r="AK48" s="201"/>
      <c r="AL48" s="208">
        <f>IFERROR(IF(AK48&gt;AL$32,0,+AI48/AK48-(AL$32*(AI48/AK48)-AI48)*0.5/AL$32),0)</f>
        <v>0</v>
      </c>
      <c r="AM48" s="208"/>
      <c r="AN48" s="208"/>
      <c r="AO48" s="208"/>
      <c r="AP48" s="208"/>
    </row>
    <row r="49" spans="2:42" ht="16">
      <c r="B49" s="196"/>
      <c r="C49" s="156"/>
      <c r="D49" s="156"/>
      <c r="E49" s="212"/>
      <c r="F49" s="213"/>
      <c r="G49" s="201"/>
      <c r="H49" s="208">
        <f>IFERROR(IF(G49&gt;H$32,0,(+F49/G49)*E49/F49),0)</f>
        <v>0</v>
      </c>
      <c r="I49" s="156"/>
      <c r="J49" s="212"/>
      <c r="K49" s="213"/>
      <c r="L49" s="201"/>
      <c r="M49" s="208">
        <f>IFERROR(IF(L49&gt;M$32,0,(+K49/L49)*J49/K49),0)</f>
        <v>0</v>
      </c>
      <c r="N49" s="156"/>
      <c r="O49" s="212"/>
      <c r="P49" s="213"/>
      <c r="Q49" s="201"/>
      <c r="R49" s="208">
        <f>IFERROR(IF(Q49&gt;R$32,0,(+P49/Q49)*O49/P49),0)</f>
        <v>0</v>
      </c>
      <c r="S49" s="156"/>
      <c r="T49" s="212"/>
      <c r="U49" s="213"/>
      <c r="V49" s="201"/>
      <c r="W49" s="208">
        <f>IFERROR(IF(V49&gt;W$32,0,(+U49/V49)*T49/U49),0)</f>
        <v>0</v>
      </c>
      <c r="X49" s="156"/>
      <c r="Y49" s="212"/>
      <c r="Z49" s="213"/>
      <c r="AA49" s="201"/>
      <c r="AB49" s="208">
        <f>IFERROR(IF(AA49&gt;AB$32,0,(+Z49/AA49)*Y49/Z49),0)</f>
        <v>0</v>
      </c>
      <c r="AC49" s="156"/>
      <c r="AD49" s="212"/>
      <c r="AE49" s="213"/>
      <c r="AF49" s="201"/>
      <c r="AG49" s="208">
        <f>IFERROR(IF(AF49&gt;AG$32,0,(+AE49/AF49)*AD49/AE49),0)</f>
        <v>0</v>
      </c>
      <c r="AH49" s="208"/>
      <c r="AI49" s="212"/>
      <c r="AJ49" s="213"/>
      <c r="AK49" s="201"/>
      <c r="AL49" s="208">
        <f>IFERROR(IF(AK49&gt;AL$32,0,(+AJ49/AK49)*AI49/AJ49),0)</f>
        <v>0</v>
      </c>
      <c r="AM49" s="208"/>
      <c r="AN49" s="208"/>
      <c r="AO49" s="208"/>
      <c r="AP49" s="208"/>
    </row>
    <row r="50" spans="2:42" ht="16">
      <c r="B50" s="196"/>
      <c r="C50" s="156"/>
      <c r="D50" s="156"/>
      <c r="E50" s="156"/>
      <c r="F50" s="206"/>
      <c r="G50" s="207"/>
      <c r="H50" s="209"/>
      <c r="I50" s="156"/>
      <c r="J50" s="156"/>
      <c r="K50" s="206"/>
      <c r="L50" s="207"/>
      <c r="M50" s="209"/>
      <c r="N50" s="156"/>
      <c r="O50" s="156"/>
      <c r="P50" s="206"/>
      <c r="Q50" s="207"/>
      <c r="R50" s="209"/>
      <c r="S50" s="156"/>
      <c r="T50" s="156"/>
      <c r="U50" s="206"/>
      <c r="V50" s="207"/>
      <c r="W50" s="209"/>
      <c r="X50" s="156"/>
      <c r="Y50" s="156"/>
      <c r="Z50" s="206"/>
      <c r="AA50" s="207"/>
      <c r="AB50" s="209"/>
      <c r="AC50" s="156"/>
      <c r="AD50" s="156"/>
      <c r="AE50" s="206"/>
      <c r="AF50" s="207"/>
      <c r="AG50" s="209"/>
      <c r="AH50" s="209"/>
      <c r="AI50" s="156"/>
      <c r="AJ50" s="206"/>
      <c r="AK50" s="207"/>
      <c r="AL50" s="209"/>
      <c r="AM50" s="209"/>
      <c r="AN50" s="209"/>
      <c r="AO50" s="209"/>
      <c r="AP50" s="209"/>
    </row>
    <row r="51" spans="2:42" ht="16">
      <c r="B51" s="196"/>
      <c r="C51" s="156"/>
      <c r="D51" s="156"/>
      <c r="E51" s="156"/>
      <c r="F51" s="206"/>
      <c r="G51" s="205" t="s">
        <v>264</v>
      </c>
      <c r="H51" s="205" t="s">
        <v>259</v>
      </c>
      <c r="I51" s="156"/>
      <c r="J51" s="156"/>
      <c r="K51" s="206"/>
      <c r="L51" s="205" t="s">
        <v>264</v>
      </c>
      <c r="M51" s="205" t="s">
        <v>259</v>
      </c>
      <c r="N51" s="156"/>
      <c r="O51" s="156"/>
      <c r="P51" s="206"/>
      <c r="Q51" s="205" t="s">
        <v>264</v>
      </c>
      <c r="R51" s="205" t="s">
        <v>259</v>
      </c>
      <c r="S51" s="156"/>
      <c r="T51" s="156"/>
      <c r="U51" s="206"/>
      <c r="V51" s="205" t="s">
        <v>264</v>
      </c>
      <c r="W51" s="205" t="s">
        <v>259</v>
      </c>
      <c r="X51" s="156"/>
      <c r="Y51" s="156"/>
      <c r="Z51" s="206"/>
      <c r="AA51" s="205" t="s">
        <v>264</v>
      </c>
      <c r="AB51" s="205" t="s">
        <v>259</v>
      </c>
      <c r="AC51" s="156"/>
      <c r="AD51" s="156"/>
      <c r="AE51" s="206"/>
      <c r="AF51" s="205" t="s">
        <v>264</v>
      </c>
      <c r="AG51" s="205" t="s">
        <v>259</v>
      </c>
      <c r="AH51" s="205"/>
      <c r="AI51" s="156"/>
      <c r="AJ51" s="206"/>
      <c r="AK51" s="205" t="s">
        <v>264</v>
      </c>
      <c r="AL51" s="205" t="s">
        <v>259</v>
      </c>
      <c r="AM51" s="205"/>
      <c r="AN51" s="205"/>
      <c r="AO51" s="205"/>
      <c r="AP51" s="205"/>
    </row>
    <row r="52" spans="2:42" ht="16">
      <c r="B52" s="196"/>
      <c r="C52" s="199" t="s">
        <v>265</v>
      </c>
      <c r="D52" s="156"/>
      <c r="E52" s="156"/>
      <c r="F52" s="206"/>
      <c r="G52" s="206">
        <f>(321+105+91+71)/Units</f>
        <v>0.58799999999999997</v>
      </c>
      <c r="H52" s="208">
        <f>+G52</f>
        <v>0.58799999999999997</v>
      </c>
      <c r="I52" s="208"/>
      <c r="J52" s="156"/>
      <c r="K52" s="206"/>
      <c r="L52" s="206">
        <v>0</v>
      </c>
      <c r="M52" s="208">
        <f>+L52</f>
        <v>0</v>
      </c>
      <c r="N52" s="156"/>
      <c r="O52" s="156"/>
      <c r="P52" s="206"/>
      <c r="Q52" s="206">
        <v>0</v>
      </c>
      <c r="R52" s="208">
        <f>+Q52</f>
        <v>0</v>
      </c>
      <c r="S52" s="156"/>
      <c r="T52" s="156"/>
      <c r="U52" s="206"/>
      <c r="V52" s="206">
        <v>2</v>
      </c>
      <c r="W52" s="208">
        <f>+V52</f>
        <v>2</v>
      </c>
      <c r="X52" s="156"/>
      <c r="Y52" s="156"/>
      <c r="Z52" s="206"/>
      <c r="AA52" s="206">
        <f>(3470929+976862+513318)/AB33/1000000</f>
        <v>62.013862500000002</v>
      </c>
      <c r="AB52" s="208">
        <f>+AA52</f>
        <v>62.013862500000002</v>
      </c>
      <c r="AC52" s="156"/>
      <c r="AD52" s="156"/>
      <c r="AE52" s="206"/>
      <c r="AF52" s="206">
        <f>(8164661+1555793+809887+769882+769882)/AG33/1000000</f>
        <v>14.200123529411766</v>
      </c>
      <c r="AG52" s="208">
        <f>+AF52</f>
        <v>14.200123529411766</v>
      </c>
      <c r="AH52" s="208"/>
      <c r="AI52" s="156"/>
      <c r="AJ52" s="206"/>
      <c r="AK52" s="206">
        <v>0</v>
      </c>
      <c r="AL52" s="208">
        <f>+AK52</f>
        <v>0</v>
      </c>
      <c r="AM52" s="208"/>
      <c r="AN52" s="208"/>
      <c r="AO52" s="208"/>
      <c r="AP52" s="208"/>
    </row>
    <row r="53" spans="2:42" ht="16">
      <c r="B53" s="196"/>
      <c r="C53" s="199"/>
      <c r="D53" s="156"/>
      <c r="E53" s="156"/>
      <c r="F53" s="206"/>
      <c r="G53" s="206"/>
      <c r="H53" s="206"/>
      <c r="I53" s="156"/>
      <c r="J53" s="156"/>
      <c r="K53" s="206"/>
      <c r="L53" s="206"/>
      <c r="M53" s="206"/>
      <c r="N53" s="156"/>
      <c r="O53" s="156"/>
      <c r="P53" s="206"/>
      <c r="Q53" s="206"/>
      <c r="R53" s="206"/>
      <c r="S53" s="156"/>
      <c r="T53" s="156"/>
      <c r="U53" s="206"/>
      <c r="V53" s="206"/>
      <c r="W53" s="206"/>
      <c r="X53" s="156"/>
      <c r="Y53" s="156"/>
      <c r="Z53" s="206"/>
      <c r="AA53" s="206"/>
      <c r="AB53" s="206"/>
      <c r="AC53" s="156"/>
      <c r="AD53" s="156"/>
      <c r="AE53" s="206"/>
      <c r="AF53" s="206"/>
      <c r="AG53" s="206"/>
      <c r="AH53" s="206"/>
      <c r="AI53" s="156"/>
      <c r="AJ53" s="206"/>
      <c r="AK53" s="206"/>
      <c r="AL53" s="206"/>
      <c r="AM53" s="206"/>
      <c r="AN53" s="206"/>
      <c r="AO53" s="206"/>
      <c r="AP53" s="206"/>
    </row>
    <row r="54" spans="2:42" ht="16">
      <c r="B54" s="196"/>
      <c r="C54" s="199" t="s">
        <v>266</v>
      </c>
      <c r="D54" s="199"/>
      <c r="E54" s="156"/>
      <c r="F54" s="156"/>
      <c r="G54" s="156"/>
      <c r="H54" s="215">
        <f>+H52+SUM(H37:H45)+SUM(H48:H49)+H34</f>
        <v>53.148000000000003</v>
      </c>
      <c r="I54" s="156"/>
      <c r="J54" s="156"/>
      <c r="K54" s="156"/>
      <c r="L54" s="156"/>
      <c r="M54" s="215">
        <f>+M52+SUM(M37:M45)+SUM(M48:M49)+M34</f>
        <v>160</v>
      </c>
      <c r="N54" s="156"/>
      <c r="O54" s="156"/>
      <c r="P54" s="156"/>
      <c r="Q54" s="156"/>
      <c r="R54" s="215">
        <f>+R52+SUM(R37:R45)+SUM(R48:R49)+R34</f>
        <v>208.542</v>
      </c>
      <c r="S54" s="156"/>
      <c r="T54" s="156"/>
      <c r="U54" s="156"/>
      <c r="V54" s="156"/>
      <c r="W54" s="215">
        <f>+W52+SUM(W37:W45)+SUM(W48:W49)+W34</f>
        <v>63.942</v>
      </c>
      <c r="X54" s="156"/>
      <c r="Y54" s="156"/>
      <c r="Z54" s="156"/>
      <c r="AA54" s="156"/>
      <c r="AB54" s="215">
        <f>+AB52+SUM(AB37:AB45)+SUM(AB48:AB49)+AB34</f>
        <v>139.91386249999999</v>
      </c>
      <c r="AC54" s="156"/>
      <c r="AD54" s="156"/>
      <c r="AE54" s="156"/>
      <c r="AF54" s="156"/>
      <c r="AG54" s="215">
        <f>+AG52+SUM(AG37:AG45)+SUM(AG48:AG49)+AG34</f>
        <v>325.20012352941177</v>
      </c>
      <c r="AH54" s="215"/>
      <c r="AI54" s="156"/>
      <c r="AJ54" s="156"/>
      <c r="AK54" s="156"/>
      <c r="AL54" s="215">
        <f>+AL52+SUM(AL37:AL45)+SUM(AL48:AL49)+AL34</f>
        <v>45.055</v>
      </c>
      <c r="AM54" s="215"/>
      <c r="AN54" s="215"/>
      <c r="AO54" s="215"/>
      <c r="AP54" s="215"/>
    </row>
    <row r="55" spans="2:42" ht="16">
      <c r="B55" s="19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209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</row>
    <row r="56" spans="2:42" ht="16">
      <c r="B56" s="196"/>
      <c r="C56" s="156"/>
      <c r="D56" s="156"/>
      <c r="E56" s="184" t="s">
        <v>267</v>
      </c>
      <c r="F56" s="191"/>
      <c r="G56" s="191"/>
      <c r="H56" s="191"/>
      <c r="I56" s="156"/>
      <c r="J56" s="184" t="s">
        <v>267</v>
      </c>
      <c r="K56" s="191"/>
      <c r="L56" s="191"/>
      <c r="M56" s="191"/>
      <c r="N56" s="156"/>
      <c r="O56" s="184" t="s">
        <v>267</v>
      </c>
      <c r="P56" s="191"/>
      <c r="Q56" s="191"/>
      <c r="R56" s="191"/>
      <c r="S56" s="156"/>
      <c r="T56" s="184" t="s">
        <v>267</v>
      </c>
      <c r="U56" s="191"/>
      <c r="V56" s="191"/>
      <c r="W56" s="191"/>
      <c r="X56" s="156"/>
      <c r="Y56" s="184" t="s">
        <v>267</v>
      </c>
      <c r="Z56" s="191"/>
      <c r="AA56" s="191"/>
      <c r="AB56" s="191"/>
      <c r="AC56" s="156"/>
      <c r="AD56" s="184" t="s">
        <v>267</v>
      </c>
      <c r="AE56" s="191"/>
      <c r="AF56" s="191"/>
      <c r="AG56" s="191"/>
      <c r="AH56" s="198"/>
      <c r="AI56" s="184" t="s">
        <v>267</v>
      </c>
      <c r="AJ56" s="191"/>
      <c r="AK56" s="191"/>
      <c r="AL56" s="191"/>
      <c r="AM56" s="198"/>
      <c r="AN56" s="198"/>
      <c r="AO56" s="198"/>
      <c r="AP56" s="198"/>
    </row>
    <row r="57" spans="2:42" ht="16">
      <c r="B57" s="196"/>
      <c r="C57" s="156"/>
      <c r="D57" s="156"/>
      <c r="E57" s="200"/>
      <c r="F57" s="163"/>
      <c r="G57" s="163"/>
      <c r="H57" s="216"/>
      <c r="I57" s="156"/>
      <c r="J57" s="200"/>
      <c r="K57" s="163"/>
      <c r="L57" s="163"/>
      <c r="M57" s="163"/>
      <c r="N57" s="156"/>
      <c r="O57" s="200"/>
      <c r="P57" s="163"/>
      <c r="Q57" s="163"/>
      <c r="R57" s="163"/>
      <c r="S57" s="156"/>
      <c r="T57" s="200"/>
      <c r="U57" s="163"/>
      <c r="V57" s="163"/>
      <c r="W57" s="163"/>
      <c r="X57" s="156"/>
      <c r="Y57" s="200"/>
      <c r="Z57" s="163"/>
      <c r="AA57" s="163"/>
      <c r="AB57" s="163"/>
      <c r="AC57" s="156"/>
      <c r="AD57" s="200"/>
      <c r="AE57" s="163"/>
      <c r="AF57" s="163"/>
      <c r="AG57" s="163"/>
      <c r="AH57" s="163"/>
      <c r="AI57" s="200"/>
      <c r="AJ57" s="163"/>
      <c r="AK57" s="163"/>
      <c r="AL57" s="163"/>
      <c r="AM57" s="163"/>
      <c r="AN57" s="163"/>
      <c r="AO57" s="163"/>
      <c r="AP57" s="163"/>
    </row>
    <row r="58" spans="2:42" ht="16">
      <c r="B58" s="196"/>
      <c r="C58" s="156" t="s">
        <v>268</v>
      </c>
      <c r="D58" s="156"/>
      <c r="E58" s="200"/>
      <c r="F58" s="163"/>
      <c r="G58" s="163"/>
      <c r="H58" s="217">
        <f>+H54*H33</f>
        <v>1119.2968800000001</v>
      </c>
      <c r="I58" s="156"/>
      <c r="J58" s="200"/>
      <c r="K58" s="163"/>
      <c r="L58" s="163"/>
      <c r="M58" s="217">
        <f>+M54*M33</f>
        <v>4020.7999999999997</v>
      </c>
      <c r="N58" s="156"/>
      <c r="O58" s="200"/>
      <c r="P58" s="163"/>
      <c r="Q58" s="163"/>
      <c r="R58" s="217">
        <f>+R54*R33</f>
        <v>216.88368</v>
      </c>
      <c r="S58" s="156"/>
      <c r="T58" s="200"/>
      <c r="U58" s="163"/>
      <c r="V58" s="163"/>
      <c r="W58" s="217">
        <f>+W54*W33</f>
        <v>916.92827999999997</v>
      </c>
      <c r="X58" s="156"/>
      <c r="Y58" s="200"/>
      <c r="Z58" s="163"/>
      <c r="AA58" s="163"/>
      <c r="AB58" s="217">
        <f>+AB54*AB33</f>
        <v>11.193109</v>
      </c>
      <c r="AC58" s="156"/>
      <c r="AD58" s="200"/>
      <c r="AE58" s="163"/>
      <c r="AF58" s="163"/>
      <c r="AG58" s="217">
        <f>+AG54*AG33</f>
        <v>276.42010499999998</v>
      </c>
      <c r="AH58" s="217"/>
      <c r="AI58" s="200"/>
      <c r="AJ58" s="163"/>
      <c r="AK58" s="163"/>
      <c r="AL58" s="217">
        <f>+AL54*AL33</f>
        <v>83.35175000000001</v>
      </c>
      <c r="AM58" s="217"/>
      <c r="AN58" s="217"/>
      <c r="AO58" s="217"/>
      <c r="AP58" s="217"/>
    </row>
    <row r="59" spans="2:42" ht="16">
      <c r="B59" s="196"/>
      <c r="C59" s="156" t="s">
        <v>269</v>
      </c>
      <c r="D59" s="156"/>
      <c r="E59" s="156"/>
      <c r="F59" s="156"/>
      <c r="G59" s="156"/>
      <c r="H59" s="218">
        <f>+H58+SUM(H16:H24)</f>
        <v>1681.7642904113873</v>
      </c>
      <c r="I59" s="156"/>
      <c r="J59" s="156"/>
      <c r="K59" s="156"/>
      <c r="L59" s="156"/>
      <c r="M59" s="218">
        <f>+M58+SUM(M16:M24)</f>
        <v>3081.8999999999996</v>
      </c>
      <c r="N59" s="156"/>
      <c r="O59" s="156"/>
      <c r="P59" s="156"/>
      <c r="Q59" s="156"/>
      <c r="R59" s="218">
        <f>+R58+SUM(R16:R24)</f>
        <v>177.48367999999999</v>
      </c>
      <c r="S59" s="156"/>
      <c r="T59" s="156"/>
      <c r="U59" s="156"/>
      <c r="V59" s="156"/>
      <c r="W59" s="218">
        <f>+W58+SUM(W16:W24)</f>
        <v>874.25227999999993</v>
      </c>
      <c r="X59" s="156"/>
      <c r="Y59" s="156"/>
      <c r="Z59" s="156"/>
      <c r="AA59" s="156"/>
      <c r="AB59" s="218">
        <f>+AB58+SUM(AB16:AB24)</f>
        <v>453.89310899999998</v>
      </c>
      <c r="AC59" s="156"/>
      <c r="AD59" s="156"/>
      <c r="AE59" s="156"/>
      <c r="AF59" s="156"/>
      <c r="AG59" s="218">
        <f>+AG58+SUM(AG16:AG24)</f>
        <v>223.42010499999998</v>
      </c>
      <c r="AH59" s="218"/>
      <c r="AI59" s="156"/>
      <c r="AJ59" s="156"/>
      <c r="AK59" s="156"/>
      <c r="AL59" s="218">
        <f>+AL58+SUM(AL16:AL24)</f>
        <v>-0.15724999999999056</v>
      </c>
      <c r="AM59" s="218"/>
      <c r="AN59" s="218"/>
      <c r="AO59" s="218"/>
      <c r="AP59" s="218"/>
    </row>
    <row r="60" spans="2:42" ht="16">
      <c r="B60" s="196"/>
      <c r="C60" s="156" t="s">
        <v>270</v>
      </c>
      <c r="D60" s="156"/>
      <c r="E60" s="156"/>
      <c r="F60" s="156"/>
      <c r="G60" s="156"/>
      <c r="H60" s="219">
        <v>2.2400000000000002</v>
      </c>
      <c r="I60" s="156"/>
      <c r="J60" s="156"/>
      <c r="K60" s="156"/>
      <c r="L60" s="156"/>
      <c r="M60" s="219">
        <v>1.1499999999999999</v>
      </c>
      <c r="N60" s="156"/>
      <c r="O60" s="156"/>
      <c r="P60" s="156"/>
      <c r="Q60" s="156"/>
      <c r="R60" s="219">
        <v>1.34</v>
      </c>
      <c r="S60" s="156"/>
      <c r="T60" s="156"/>
      <c r="U60" s="156"/>
      <c r="V60" s="156"/>
      <c r="W60" s="219">
        <v>2.08</v>
      </c>
      <c r="X60" s="156"/>
      <c r="Y60" s="156"/>
      <c r="Z60" s="156"/>
      <c r="AA60" s="156"/>
      <c r="AB60" s="219">
        <v>1.36</v>
      </c>
      <c r="AC60" s="156"/>
      <c r="AD60" s="156"/>
      <c r="AE60" s="156"/>
      <c r="AF60" s="156"/>
      <c r="AG60" s="219">
        <v>1.27</v>
      </c>
      <c r="AH60" s="219"/>
      <c r="AI60" s="156"/>
      <c r="AJ60" s="156"/>
      <c r="AK60" s="156"/>
      <c r="AL60" s="219">
        <v>2.98</v>
      </c>
      <c r="AM60" s="219"/>
      <c r="AN60" s="219"/>
      <c r="AO60" s="219"/>
      <c r="AP60" s="219"/>
    </row>
    <row r="61" spans="2:42" ht="16">
      <c r="B61" s="19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</row>
    <row r="62" spans="2:42" ht="16">
      <c r="B62" s="196"/>
      <c r="C62" s="156"/>
      <c r="D62" s="156"/>
      <c r="E62" s="184" t="s">
        <v>271</v>
      </c>
      <c r="F62" s="191"/>
      <c r="G62" s="191"/>
      <c r="H62" s="191"/>
      <c r="I62" s="156"/>
      <c r="J62" s="184" t="s">
        <v>271</v>
      </c>
      <c r="K62" s="191"/>
      <c r="L62" s="191"/>
      <c r="M62" s="191"/>
      <c r="N62" s="156"/>
      <c r="O62" s="184" t="s">
        <v>271</v>
      </c>
      <c r="P62" s="191"/>
      <c r="Q62" s="191"/>
      <c r="R62" s="191"/>
      <c r="S62" s="156"/>
      <c r="T62" s="184" t="s">
        <v>271</v>
      </c>
      <c r="U62" s="191"/>
      <c r="V62" s="191"/>
      <c r="W62" s="191"/>
      <c r="X62" s="156"/>
      <c r="Y62" s="184" t="s">
        <v>271</v>
      </c>
      <c r="Z62" s="191"/>
      <c r="AA62" s="191"/>
      <c r="AB62" s="191"/>
      <c r="AC62" s="156"/>
      <c r="AD62" s="184" t="s">
        <v>271</v>
      </c>
      <c r="AE62" s="191"/>
      <c r="AF62" s="191"/>
      <c r="AG62" s="191"/>
      <c r="AH62" s="198"/>
      <c r="AI62" s="184" t="s">
        <v>271</v>
      </c>
      <c r="AJ62" s="191"/>
      <c r="AK62" s="191"/>
      <c r="AL62" s="191"/>
      <c r="AM62" s="198"/>
      <c r="AN62" s="198"/>
      <c r="AO62" s="198"/>
      <c r="AP62" s="198"/>
    </row>
    <row r="63" spans="2:42" ht="16">
      <c r="B63" s="196"/>
      <c r="C63" s="156"/>
      <c r="D63" s="156"/>
      <c r="E63" s="220" t="str">
        <f>H7</f>
        <v>LTM</v>
      </c>
      <c r="F63" s="165">
        <f>E27</f>
        <v>46022</v>
      </c>
      <c r="G63" s="165">
        <f>F27</f>
        <v>46387</v>
      </c>
      <c r="H63" s="165">
        <f>G27</f>
        <v>46752</v>
      </c>
      <c r="I63" s="156"/>
      <c r="J63" s="220" t="str">
        <f>M7</f>
        <v>LTM</v>
      </c>
      <c r="K63" s="220">
        <f>J27</f>
        <v>46022</v>
      </c>
      <c r="L63" s="220">
        <f>K27</f>
        <v>46387</v>
      </c>
      <c r="M63" s="220">
        <f>L27</f>
        <v>46752</v>
      </c>
      <c r="N63" s="156"/>
      <c r="O63" s="220" t="str">
        <f>R7</f>
        <v>LTM</v>
      </c>
      <c r="P63" s="220">
        <f>O27</f>
        <v>46022</v>
      </c>
      <c r="Q63" s="220">
        <f>P27</f>
        <v>46387</v>
      </c>
      <c r="R63" s="220">
        <f>Q27</f>
        <v>46752</v>
      </c>
      <c r="S63" s="156"/>
      <c r="T63" s="220" t="str">
        <f>W7</f>
        <v>LTM</v>
      </c>
      <c r="U63" s="220">
        <f>T27</f>
        <v>46022</v>
      </c>
      <c r="V63" s="220">
        <f>U27</f>
        <v>46387</v>
      </c>
      <c r="W63" s="220">
        <f>V27</f>
        <v>46752</v>
      </c>
      <c r="X63" s="156"/>
      <c r="Y63" s="220" t="str">
        <f>AB7</f>
        <v>LTM</v>
      </c>
      <c r="Z63" s="220">
        <f>Y27</f>
        <v>46022</v>
      </c>
      <c r="AA63" s="220">
        <f>Z27</f>
        <v>46387</v>
      </c>
      <c r="AB63" s="220">
        <f>AA27</f>
        <v>46752</v>
      </c>
      <c r="AC63" s="156"/>
      <c r="AD63" s="220" t="str">
        <f>AG7</f>
        <v>LTM</v>
      </c>
      <c r="AE63" s="220">
        <f>AD27</f>
        <v>46022</v>
      </c>
      <c r="AF63" s="220">
        <f>AE27</f>
        <v>46387</v>
      </c>
      <c r="AG63" s="220">
        <f>AF27</f>
        <v>46752</v>
      </c>
      <c r="AH63" s="221"/>
      <c r="AI63" s="220" t="str">
        <f>AL7</f>
        <v>LTM</v>
      </c>
      <c r="AJ63" s="220">
        <f>AI27</f>
        <v>46022</v>
      </c>
      <c r="AK63" s="220">
        <f>AJ27</f>
        <v>46387</v>
      </c>
      <c r="AL63" s="220">
        <f>AK27</f>
        <v>46752</v>
      </c>
      <c r="AM63" s="221"/>
      <c r="AN63" s="221"/>
      <c r="AO63" s="221"/>
      <c r="AP63" s="221"/>
    </row>
    <row r="64" spans="2:42" ht="16">
      <c r="B64" s="196"/>
      <c r="C64" s="156" t="s">
        <v>272</v>
      </c>
      <c r="D64" s="156"/>
      <c r="E64" s="222">
        <f>IFERROR(IF(OR(+H$59/H8&lt;0,+H$59/H8&gt;=100),"NM",+H$59/H8), "N/A")</f>
        <v>15.13725610400795</v>
      </c>
      <c r="F64" s="222">
        <f>IFERROR(IF(OR(+H59/E28&lt;0,+H59/E28&gt;=100),"NM",+H59/E28), "N/A")</f>
        <v>9.9512679905999253</v>
      </c>
      <c r="G64" s="222">
        <f t="shared" ref="G64:H65" si="23">IFERROR(IF(OR(+$H$59/F28&lt;0,+$H$59/F28&gt;=100),"NM",+$H$59/F28), "N/A")</f>
        <v>6.6006416723369519</v>
      </c>
      <c r="H64" s="222">
        <f t="shared" si="23"/>
        <v>4.6043671945965476</v>
      </c>
      <c r="I64" s="156"/>
      <c r="J64" s="222">
        <f>IFERROR(IF(OR(+M$59/M8&lt;0,+M$59/M8&gt;=100),"NM",+M$59/M8),"N/A")</f>
        <v>8.0049350649350632</v>
      </c>
      <c r="K64" s="222">
        <f>IFERROR(IF(OR(+$M$59/J28&lt;0,+$M$59/J28&gt;=100),"NM",+$M$59/J28), "N/A")</f>
        <v>6.9256179775280895</v>
      </c>
      <c r="L64" s="222">
        <f t="shared" ref="L64:M64" si="24">IFERROR(IF(OR(+$M$59/K28&lt;0,+$M$59/K28&gt;=100),"NM",+$M$59/K28), "N/A")</f>
        <v>4.8457547169811317</v>
      </c>
      <c r="M64" s="222">
        <f t="shared" si="24"/>
        <v>3.4511758118701006</v>
      </c>
      <c r="N64" s="156"/>
      <c r="O64" s="222">
        <f>IFERROR(IF(OR(+R$59/R8&lt;0,+R$59/R8&gt;=100),"NM",+R$59/R8),"N/A")</f>
        <v>3.6638388175550145</v>
      </c>
      <c r="P64" s="222">
        <f>IFERROR(IF(OR(+$R$59/O28&lt;0,+$R$59/O28&gt;=100),"NM",+$R$59/O28), "N/A")</f>
        <v>3.0600634482758617</v>
      </c>
      <c r="Q64" s="222">
        <f>IFERROR(IF(OR(+R59/P28&lt;0,+R59/P28&gt;=100),"NM",+R59/P28), "N/A")</f>
        <v>2.1383575903614456</v>
      </c>
      <c r="R64" s="222">
        <f>IFERROR(IF(OR(+R59/Q28&lt;0,+R59/Q28&gt;=100),"NM",+R59/Q28), "N/A")</f>
        <v>1.4086006349206348</v>
      </c>
      <c r="S64" s="156"/>
      <c r="T64" s="222">
        <f>IFERROR(IF(OR(+W$59/W8&lt;0,+W$59/W8&gt;=100),"NM",+W$59/W8),"N/A")</f>
        <v>57.691189124983495</v>
      </c>
      <c r="U64" s="222">
        <f>IFERROR(IF(OR(+$W$59/T28&lt;0,+$W$59/T28&gt;=100),"NM",+$W$59/T28), "N/A")</f>
        <v>51.426604705882347</v>
      </c>
      <c r="V64" s="222">
        <f t="shared" ref="V64:W65" si="25">IFERROR(IF(OR(+$W$59/U28&lt;0,+$W$59/U28&gt;=100),"NM",+$W$59/U28), "N/A")</f>
        <v>31.223295714285712</v>
      </c>
      <c r="W64" s="222">
        <f t="shared" si="25"/>
        <v>11.503319473684209</v>
      </c>
      <c r="X64" s="156"/>
      <c r="Y64" s="222">
        <f>IFERROR(IF(OR(+AB$59/AB8&lt;0,+AB$59/AB8&gt;=100),"NM",+AB$59/AB8),"N/A")</f>
        <v>5.9904066121156117</v>
      </c>
      <c r="Z64" s="222" t="str">
        <f>IFERROR(IF(OR(+$AB$59/Y28&lt;0,+$AB$59/Y28&gt;=100),"NM",+$AB$59/Y28), "N/A")</f>
        <v>N/A</v>
      </c>
      <c r="AA64" s="222" t="str">
        <f t="shared" ref="AA64:AB64" si="26">IFERROR(IF(OR(+$AB$59/Z28&lt;0,+$AB$59/Z28&gt;=100),"NM",+$AB$59/Z28), "N/A")</f>
        <v>N/A</v>
      </c>
      <c r="AB64" s="222" t="str">
        <f t="shared" si="26"/>
        <v>N/A</v>
      </c>
      <c r="AC64" s="156"/>
      <c r="AD64" s="222">
        <f>IFERROR(IF(OR(+AG$59/AG8&lt;0,+AG$59/AG8&gt;=100),"NM",+AG$59/AG8),"N/A")</f>
        <v>84.757247723823966</v>
      </c>
      <c r="AE64" s="222">
        <f t="shared" ref="AE64:AF64" si="27">IFERROR(IF(OR(+$AG$59/AD28&lt;0,+$AG$59/AD28&gt;=100),"NM",+$AG$59/AD28), "N/A")</f>
        <v>74.473368333333326</v>
      </c>
      <c r="AF64" s="222">
        <f t="shared" si="27"/>
        <v>14.894673666666666</v>
      </c>
      <c r="AG64" s="222">
        <f>IFERROR(IF(OR(+$AG$59/AF28&lt;0,+$AG$59/AF28&gt;=100),"NM",+$AG$59/AF28), "N/A")</f>
        <v>6.2061140277777769</v>
      </c>
      <c r="AH64" s="222"/>
      <c r="AI64" s="222" t="str">
        <f>IFERROR(IF(OR(+AL$59/AL8&lt;0,+AL$59/AL8&gt;=100),"NM",+AL$59/AL8),"N/A")</f>
        <v>NM</v>
      </c>
      <c r="AJ64" s="222" t="str">
        <f t="shared" ref="AJ64:AK64" si="28">IFERROR(IF(OR(+$AG$59/AI28&lt;0,+$AG$59/AI28&gt;=100),"NM",+$AG$59/AI28), "N/A")</f>
        <v>N/A</v>
      </c>
      <c r="AK64" s="222">
        <f t="shared" si="28"/>
        <v>37.236684166666663</v>
      </c>
      <c r="AL64" s="222">
        <f>IFERROR(IF(OR(+$AG$59/AK28&lt;0,+$AG$59/AK28&gt;=100),"NM",+$AG$59/AK28), "N/A")</f>
        <v>6.383431571428571</v>
      </c>
      <c r="AM64" s="222"/>
      <c r="AN64" s="222"/>
      <c r="AO64" s="222"/>
      <c r="AP64" s="222"/>
    </row>
    <row r="65" spans="2:42" ht="16">
      <c r="B65" s="196"/>
      <c r="C65" s="156" t="s">
        <v>293</v>
      </c>
      <c r="D65" s="156"/>
      <c r="E65" s="222">
        <f>IFERROR(IF(OR(+H$59/H11&lt;0,+H$59/H11&gt;=100),"NM",+H$59/H11), "N/A")</f>
        <v>41.566097143138585</v>
      </c>
      <c r="F65" s="222">
        <f>IFERROR(IF(OR(+$H$59/E29&lt;0,+$H$59/E29&gt;=100),"NM",+$H$59/E29), "N/A")</f>
        <v>20.308710184897805</v>
      </c>
      <c r="G65" s="222">
        <f t="shared" si="23"/>
        <v>16.501604180842378</v>
      </c>
      <c r="H65" s="222">
        <f t="shared" si="23"/>
        <v>11.510917986491368</v>
      </c>
      <c r="I65" s="156"/>
      <c r="J65" s="222">
        <f>IFERROR(IF(OR(+M$59/M11&lt;0,+M$59/M11&gt;=100),"NM",+M$59/M11),"N/A")</f>
        <v>19.322257053291533</v>
      </c>
      <c r="K65" s="222">
        <f>IFERROR(IF(OR(+$M$59/J29&lt;0,+$M$59/J29&gt;=100),"NM",+$M$59/J29),"N/A")</f>
        <v>16.480748663101604</v>
      </c>
      <c r="L65" s="222">
        <f t="shared" ref="L65:M65" si="29">IFERROR(IF(OR(+$M$59/K29&lt;0,+$M$59/K29&gt;=100),"NM",+$M$59/K29),"N/A")</f>
        <v>11.853461538461538</v>
      </c>
      <c r="M65" s="222">
        <f t="shared" si="29"/>
        <v>8.9072254335260101</v>
      </c>
      <c r="N65" s="156"/>
      <c r="O65" s="222">
        <f>IFERROR(IF(OR(+$R$59/R11&lt;0,+$R$59/R11&gt;=100),"NM",+$R$59/R11),"N/A")</f>
        <v>15.597476052377186</v>
      </c>
      <c r="P65" s="222">
        <f>IFERROR(IF(OR(+$R$59/O29&lt;0,+$R$59/O29&gt;=100),"NM",+$R$59/O29),"N/A")</f>
        <v>13.652590769230768</v>
      </c>
      <c r="Q65" s="222">
        <f t="shared" ref="Q65:R65" si="30">IFERROR(IF(OR(+$R$59/P29&lt;0,+$R$59/P29&gt;=100),"NM",+$R$59/P29),"N/A")</f>
        <v>12.677405714285714</v>
      </c>
      <c r="R65" s="222">
        <f t="shared" si="30"/>
        <v>6.3387028571428568</v>
      </c>
      <c r="S65" s="156"/>
      <c r="T65" s="222" t="str">
        <f>IFERROR(IF(OR(+W$59/W11&lt;0,+W$59/W11&gt;=100),"NM",+W$59/W11),"N/A")</f>
        <v>NM</v>
      </c>
      <c r="U65" s="222" t="str">
        <f>IFERROR(IF(OR(+$W$59/T29&lt;0,+$W$59/T29&gt;=100),"NM",+$W$59/T29), "N/A")</f>
        <v>NM</v>
      </c>
      <c r="V65" s="222" t="str">
        <f t="shared" si="25"/>
        <v>N/A</v>
      </c>
      <c r="W65" s="222">
        <f t="shared" si="25"/>
        <v>67.250175384615375</v>
      </c>
      <c r="X65" s="156"/>
      <c r="Y65" s="222" t="str">
        <f>IFERROR(IF(OR(+AB$59/AB11&lt;0,+AB$59/AB11&gt;=100),"NM",+AB$59/AB11),"N/A")</f>
        <v>NM</v>
      </c>
      <c r="Z65" s="222" t="str">
        <f>IFERROR(IF(OR(+$AB$59/Y29&lt;0,+$AB$59/Y29&gt;=100),"NM",+$AB$59/Y29),"N/A")</f>
        <v>N/A</v>
      </c>
      <c r="AA65" s="222" t="str">
        <f t="shared" ref="AA65:AB65" si="31">IFERROR(IF(OR(+$AB$59/Z29&lt;0,+$AB$59/Z29&gt;=100),"NM",+$AB$59/Z29),"N/A")</f>
        <v>N/A</v>
      </c>
      <c r="AB65" s="222" t="str">
        <f t="shared" si="31"/>
        <v>N/A</v>
      </c>
      <c r="AC65" s="156"/>
      <c r="AD65" s="222" t="str">
        <f>IFERROR(IF(OR(+AG$59/AG11&lt;0,+AG$59/AG11&gt;=100),"NM",+AG$59/AG11),"N/A")</f>
        <v>NM</v>
      </c>
      <c r="AE65" s="222" t="str">
        <f>IFERROR(IF(OR(+$AG$59/AD29&lt;0,+$AG$59/AD29&gt;=100),"NM",+$AG$59/AD29),"N/A")</f>
        <v>NM</v>
      </c>
      <c r="AF65" s="222">
        <f t="shared" ref="AF65:AG65" si="32">IFERROR(IF(OR(+$AG$59/AE29&lt;0,+$AG$59/AE29&gt;=100),"NM",+$AG$59/AE29),"N/A")</f>
        <v>66.198549629629625</v>
      </c>
      <c r="AG65" s="222">
        <f t="shared" si="32"/>
        <v>22.985607510288062</v>
      </c>
      <c r="AH65" s="222"/>
      <c r="AI65" s="222" t="str">
        <f>IFERROR(IF(OR(+AL$59/AL11&lt;0,+AL$59/AL11&gt;=100),"NM",+AL$59/AL11),"N/A")</f>
        <v>NM</v>
      </c>
      <c r="AJ65" s="222">
        <f>IFERROR(IF(OR(+$AG$59/AI29&lt;0,+$AG$59/AI29&gt;=100),"NM",+$AG$59/AI29),"N/A")</f>
        <v>7.447336833333333</v>
      </c>
      <c r="AK65" s="222" t="str">
        <f t="shared" ref="AK65:AL65" si="33">IFERROR(IF(OR(+$AG$59/AJ29&lt;0,+$AG$59/AJ29&gt;=100),"NM",+$AG$59/AJ29),"N/A")</f>
        <v>NM</v>
      </c>
      <c r="AL65" s="222">
        <f t="shared" si="33"/>
        <v>25.533726285714284</v>
      </c>
      <c r="AM65" s="222"/>
      <c r="AN65" s="222"/>
      <c r="AO65" s="222"/>
      <c r="AP65" s="222"/>
    </row>
    <row r="66" spans="2:42" ht="16">
      <c r="B66" s="196"/>
      <c r="C66" s="156" t="s">
        <v>273</v>
      </c>
      <c r="D66" s="156"/>
      <c r="E66" s="222" t="str">
        <f>IFERROR(IF(OR(+H$58/H9&lt;0,+H$58/H9&gt;=100),"NM",+H$58/H9), "N/A")</f>
        <v>NM</v>
      </c>
      <c r="F66" s="222" t="str">
        <f>IFERROR(IF(OR($H$58/E$30&lt;0,+$H$58/E$30&gt;=100),"NM",+$H$58/E$30), "N/A")</f>
        <v>NM</v>
      </c>
      <c r="G66" s="222" t="str">
        <f>IFERROR(IF(OR(H58/F$30&lt;0,+H58/F$30&gt;=100),"NM",+H58/F$30), "N/A")</f>
        <v>NM</v>
      </c>
      <c r="H66" s="222" t="str">
        <f>IFERROR(IF(OR(H58/G$30&lt;0,+H58/G$30&gt;=100),"NM",+H58/G$30), "N/A")</f>
        <v>NM</v>
      </c>
      <c r="I66" s="156"/>
      <c r="J66" s="222">
        <f>IFERROR(IF(OR(+M$58/M9&lt;0,+M$58/M9&gt;=100),"NM",+M$58/M9), "N/A")</f>
        <v>66.569536423841058</v>
      </c>
      <c r="K66" s="222">
        <f>IFERROR(IF(OR($M$58/J$30&lt;0,+$M$58/J$30&gt;=100),"NM",+$M$58/J$30), "N/A")</f>
        <v>70.540350877192978</v>
      </c>
      <c r="L66" s="222">
        <f>IFERROR(IF(OR(M58/K$30&lt;0,+M58/K$30&gt;=100),"NM",+M58/K$30), "N/A")</f>
        <v>44.675555555555555</v>
      </c>
      <c r="M66" s="222">
        <f t="shared" ref="M66" si="34">IFERROR(IF(OR(M58/L$30&lt;0,+M58/L$30&gt;=100),"NM",+M58/L$30), "N/A")</f>
        <v>28.315492957746478</v>
      </c>
      <c r="N66" s="156"/>
      <c r="O66" s="222" t="str">
        <f>IFERROR(IF(OR(+R$58/R9&lt;0,+R$58/R9&gt;=100),"NM",+R$58/R9), "N/A")</f>
        <v>NM</v>
      </c>
      <c r="P66" s="222" t="str">
        <f>IFERROR(IF(OR($R$58/O$30&lt;0,+$R$58/O$30&gt;=100),"NM",+$R$58/O$30), "N/A")</f>
        <v>NM</v>
      </c>
      <c r="Q66" s="222" t="str">
        <f>IFERROR(IF(OR(R58/P$30&lt;0,+R58/P$30&gt;=100),"NM",+R58/P$30), "N/A")</f>
        <v>NM</v>
      </c>
      <c r="R66" s="222" t="str">
        <f t="shared" ref="R66" si="35">IFERROR(IF(OR(R58/Q$30&lt;0,+R58/Q$30&gt;=100),"NM",+R58/Q$30), "N/A")</f>
        <v>NM</v>
      </c>
      <c r="S66" s="156"/>
      <c r="T66" s="222" t="str">
        <f>IFERROR(IF(OR(+W$58/W9&lt;0,+W$58/W9&gt;=100),"NM",+W$58/W9),"N/A")</f>
        <v>NM</v>
      </c>
      <c r="U66" s="222" t="str">
        <f>IFERROR(IF(OR(+W$58/T30&lt;0,+W$58/T30&gt;=100),"NM",+W$58/T30),"N/A")</f>
        <v>NM</v>
      </c>
      <c r="V66" s="222" t="str">
        <f>IFERROR(IF(OR(+W$58/U30&lt;0,+W$58/U30&gt;=100),"NM",+W$58/U30),"N/A")</f>
        <v>NM</v>
      </c>
      <c r="W66" s="222" t="str">
        <f>IFERROR(IF(OR(+W$58/V30&lt;0,+W$58/V30&gt;=100),"NM",+W$58/V30),"N/A")</f>
        <v>NM</v>
      </c>
      <c r="X66" s="156"/>
      <c r="Y66" s="222" t="str">
        <f>IFERROR(IF(OR(+AB$58/AB9&lt;0,+AB$58/AB9&gt;=100),"NM",+AB$58/AB9),"N/A")</f>
        <v>NM</v>
      </c>
      <c r="Z66" s="222" t="str">
        <f>IFERROR(IF(OR(+$AB$58/Y30&lt;0,+$AB$58/Y30&gt;=100),"NM",+$AB$58/Y30),"N/A")</f>
        <v>N/A</v>
      </c>
      <c r="AA66" s="222" t="str">
        <f t="shared" ref="AA66:AB66" si="36">IFERROR(IF(OR(+$AB$58/Z30&lt;0,+$AB$58/Z30&gt;=100),"NM",+$AB$58/Z30),"N/A")</f>
        <v>N/A</v>
      </c>
      <c r="AB66" s="222" t="str">
        <f t="shared" si="36"/>
        <v>N/A</v>
      </c>
      <c r="AC66" s="156"/>
      <c r="AD66" s="222" t="str">
        <f>IFERROR(IF(OR(+AG$58/AG9&lt;0,+AG$58/AG9&gt;=100),"NM",+AG$58/AG9),"N/A")</f>
        <v>NM</v>
      </c>
      <c r="AE66" s="222" t="str">
        <f>IFERROR(IF(OR(+$AG$58/AD30&lt;0,+$AG$58/AD30&gt;=100),"NM",+$AG$58/AD30),"N/A")</f>
        <v>NM</v>
      </c>
      <c r="AF66" s="222" t="str">
        <f t="shared" ref="AF66:AG66" si="37">IFERROR(IF(OR(+$AG$58/AE30&lt;0,+$AG$58/AE30&gt;=100),"NM",+$AG$58/AE30),"N/A")</f>
        <v>NM</v>
      </c>
      <c r="AG66" s="222" t="str">
        <f t="shared" si="37"/>
        <v>NM</v>
      </c>
      <c r="AH66" s="222"/>
      <c r="AI66" s="222" t="str">
        <f>IFERROR(IF(OR(+AL$58/AL9&lt;0,+AL$58/AL9&gt;=100),"NM",+AL$58/AL9),"N/A")</f>
        <v>NM</v>
      </c>
      <c r="AJ66" s="222" t="str">
        <f>IFERROR(IF(OR(+$AG$58/AI30&lt;0,+$AG$58/AI30&gt;=100),"NM",+$AG$58/AI30),"N/A")</f>
        <v>NM</v>
      </c>
      <c r="AK66" s="222" t="str">
        <f t="shared" ref="AK66:AL66" si="38">IFERROR(IF(OR(+$AG$58/AJ30&lt;0,+$AG$58/AJ30&gt;=100),"NM",+$AG$58/AJ30),"N/A")</f>
        <v>NM</v>
      </c>
      <c r="AL66" s="222" t="str">
        <f t="shared" si="38"/>
        <v>NM</v>
      </c>
      <c r="AM66" s="222"/>
      <c r="AN66" s="222"/>
      <c r="AO66" s="222"/>
      <c r="AP66" s="222"/>
    </row>
    <row r="67" spans="2:42" ht="16">
      <c r="B67" s="19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</row>
    <row r="68" spans="2:42" ht="16">
      <c r="B68" s="196"/>
      <c r="C68" s="156"/>
      <c r="D68" s="156"/>
      <c r="E68" s="184" t="s">
        <v>274</v>
      </c>
      <c r="F68" s="191"/>
      <c r="G68" s="191"/>
      <c r="H68" s="191"/>
      <c r="I68" s="156"/>
      <c r="J68" s="184" t="s">
        <v>274</v>
      </c>
      <c r="K68" s="191"/>
      <c r="L68" s="191"/>
      <c r="M68" s="191"/>
      <c r="N68" s="156"/>
      <c r="O68" s="184" t="s">
        <v>274</v>
      </c>
      <c r="P68" s="191"/>
      <c r="Q68" s="191"/>
      <c r="R68" s="191"/>
      <c r="S68" s="156"/>
      <c r="T68" s="184" t="s">
        <v>274</v>
      </c>
      <c r="U68" s="191"/>
      <c r="V68" s="191"/>
      <c r="W68" s="191"/>
      <c r="X68" s="156"/>
      <c r="Y68" s="184" t="s">
        <v>274</v>
      </c>
      <c r="Z68" s="191"/>
      <c r="AA68" s="191"/>
      <c r="AB68" s="191"/>
      <c r="AC68" s="156"/>
      <c r="AD68" s="184" t="s">
        <v>274</v>
      </c>
      <c r="AE68" s="191"/>
      <c r="AF68" s="191"/>
      <c r="AG68" s="191"/>
      <c r="AH68" s="198"/>
      <c r="AI68" s="184" t="s">
        <v>274</v>
      </c>
      <c r="AJ68" s="191"/>
      <c r="AK68" s="191"/>
      <c r="AL68" s="191"/>
      <c r="AM68" s="198"/>
      <c r="AN68" s="198"/>
      <c r="AO68" s="198"/>
      <c r="AP68" s="198"/>
    </row>
    <row r="69" spans="2:42" ht="16">
      <c r="B69" s="196"/>
      <c r="C69" s="156"/>
      <c r="D69" s="156"/>
      <c r="E69" s="223"/>
      <c r="F69" s="223"/>
      <c r="G69" s="223"/>
      <c r="H69" s="223"/>
      <c r="I69" s="156"/>
      <c r="J69" s="223"/>
      <c r="K69" s="223"/>
      <c r="L69" s="223"/>
      <c r="M69" s="223"/>
      <c r="N69" s="156"/>
      <c r="O69" s="223"/>
      <c r="P69" s="223"/>
      <c r="Q69" s="223"/>
      <c r="R69" s="223"/>
      <c r="S69" s="156"/>
      <c r="T69" s="223"/>
      <c r="U69" s="223"/>
      <c r="V69" s="223"/>
      <c r="W69" s="223"/>
      <c r="X69" s="156"/>
      <c r="Y69" s="223"/>
      <c r="Z69" s="223"/>
      <c r="AA69" s="223"/>
      <c r="AB69" s="223"/>
      <c r="AC69" s="156"/>
      <c r="AD69" s="223"/>
      <c r="AE69" s="223"/>
      <c r="AF69" s="223"/>
      <c r="AG69" s="223"/>
      <c r="AH69" s="156"/>
      <c r="AI69" s="223"/>
      <c r="AJ69" s="223"/>
      <c r="AK69" s="223"/>
      <c r="AL69" s="223"/>
      <c r="AM69" s="156"/>
      <c r="AN69" s="156"/>
      <c r="AO69" s="156"/>
      <c r="AP69" s="156"/>
    </row>
    <row r="70" spans="2:42" ht="16">
      <c r="B70" s="196"/>
      <c r="C70" s="156" t="str">
        <f>TEXT(Forward_Year_1,"yyyy-mm-dd")&amp;" "&amp;C28</f>
        <v>2025-12-31 Revenue:</v>
      </c>
      <c r="D70" s="156"/>
      <c r="E70" s="223"/>
      <c r="F70" s="223"/>
      <c r="G70" s="223"/>
      <c r="H70" s="224">
        <f>+E28</f>
        <v>169</v>
      </c>
      <c r="I70" s="156"/>
      <c r="J70" s="223"/>
      <c r="K70" s="223"/>
      <c r="L70" s="223"/>
      <c r="M70" s="224">
        <f>+J28</f>
        <v>445</v>
      </c>
      <c r="N70" s="156"/>
      <c r="O70" s="223"/>
      <c r="P70" s="223"/>
      <c r="Q70" s="223"/>
      <c r="R70" s="224">
        <f>+O28</f>
        <v>58</v>
      </c>
      <c r="S70" s="156"/>
      <c r="T70" s="223"/>
      <c r="U70" s="223"/>
      <c r="V70" s="223"/>
      <c r="W70" s="224">
        <f>+T28</f>
        <v>17</v>
      </c>
      <c r="X70" s="156"/>
      <c r="Y70" s="223"/>
      <c r="Z70" s="223"/>
      <c r="AA70" s="223"/>
      <c r="AB70" s="224">
        <f>+Y28</f>
        <v>0</v>
      </c>
      <c r="AC70" s="156"/>
      <c r="AD70" s="223"/>
      <c r="AE70" s="223"/>
      <c r="AF70" s="223"/>
      <c r="AG70" s="224">
        <f>+AD28</f>
        <v>3</v>
      </c>
      <c r="AH70" s="224"/>
      <c r="AI70" s="223"/>
      <c r="AJ70" s="223"/>
      <c r="AK70" s="223"/>
      <c r="AL70" s="224">
        <f>+AI28</f>
        <v>0</v>
      </c>
      <c r="AM70" s="224"/>
      <c r="AN70" s="224"/>
      <c r="AO70" s="224"/>
      <c r="AP70" s="224"/>
    </row>
    <row r="71" spans="2:42" ht="16">
      <c r="B71" s="196"/>
      <c r="C71" s="156" t="str">
        <f>TEXT(Forward_Year_1,"yyyy-mm-dd")&amp;" "&amp;C29</f>
        <v>2025-12-31 Gross Profit:</v>
      </c>
      <c r="D71" s="156"/>
      <c r="E71" s="223"/>
      <c r="F71" s="223"/>
      <c r="G71" s="223"/>
      <c r="H71" s="225">
        <f>+E29</f>
        <v>82.81</v>
      </c>
      <c r="I71" s="156"/>
      <c r="J71" s="223"/>
      <c r="K71" s="223"/>
      <c r="L71" s="223"/>
      <c r="M71" s="225">
        <f>+J29</f>
        <v>187</v>
      </c>
      <c r="N71" s="156"/>
      <c r="O71" s="223"/>
      <c r="P71" s="223"/>
      <c r="Q71" s="223"/>
      <c r="R71" s="225">
        <f>+O29</f>
        <v>13</v>
      </c>
      <c r="S71" s="156"/>
      <c r="T71" s="223"/>
      <c r="U71" s="223"/>
      <c r="V71" s="223"/>
      <c r="W71" s="225">
        <f>+T29</f>
        <v>-1</v>
      </c>
      <c r="X71" s="156"/>
      <c r="Y71" s="223"/>
      <c r="Z71" s="223"/>
      <c r="AA71" s="223"/>
      <c r="AB71" s="225">
        <f>+Y29</f>
        <v>0</v>
      </c>
      <c r="AC71" s="156"/>
      <c r="AD71" s="223"/>
      <c r="AE71" s="223"/>
      <c r="AF71" s="223"/>
      <c r="AG71" s="225">
        <f>+AD29</f>
        <v>-1.8900000000000001</v>
      </c>
      <c r="AH71" s="225"/>
      <c r="AI71" s="223"/>
      <c r="AJ71" s="223"/>
      <c r="AK71" s="223"/>
      <c r="AL71" s="225">
        <f>+AI29</f>
        <v>30</v>
      </c>
      <c r="AM71" s="225"/>
      <c r="AN71" s="225"/>
      <c r="AO71" s="225"/>
      <c r="AP71" s="225"/>
    </row>
    <row r="72" spans="2:42" ht="16">
      <c r="B72" s="196"/>
      <c r="C72" s="156" t="str">
        <f>TEXT(Forward_Year_1,"yyyy-mm-dd")&amp;" "&amp;C30</f>
        <v>2025-12-31 Reported Net Income:</v>
      </c>
      <c r="D72" s="156"/>
      <c r="E72" s="223"/>
      <c r="F72" s="223"/>
      <c r="G72" s="223"/>
      <c r="H72" s="225">
        <f>+E30</f>
        <v>-66.950192000000001</v>
      </c>
      <c r="I72" s="156"/>
      <c r="J72" s="223"/>
      <c r="K72" s="223"/>
      <c r="L72" s="223"/>
      <c r="M72" s="225">
        <f>+J30</f>
        <v>57</v>
      </c>
      <c r="N72" s="156"/>
      <c r="O72" s="223"/>
      <c r="P72" s="223"/>
      <c r="Q72" s="223"/>
      <c r="R72" s="225">
        <f>+O30</f>
        <v>-62</v>
      </c>
      <c r="S72" s="156"/>
      <c r="T72" s="223"/>
      <c r="U72" s="223"/>
      <c r="V72" s="223"/>
      <c r="W72" s="225">
        <f>+T30</f>
        <v>-152</v>
      </c>
      <c r="X72" s="156"/>
      <c r="Y72" s="223"/>
      <c r="Z72" s="223"/>
      <c r="AA72" s="223"/>
      <c r="AB72" s="225">
        <f>+Y30</f>
        <v>0</v>
      </c>
      <c r="AC72" s="156"/>
      <c r="AD72" s="223"/>
      <c r="AE72" s="223"/>
      <c r="AF72" s="223"/>
      <c r="AG72" s="225">
        <f>+AD30</f>
        <v>-73</v>
      </c>
      <c r="AH72" s="225"/>
      <c r="AI72" s="223"/>
      <c r="AJ72" s="223"/>
      <c r="AK72" s="223"/>
      <c r="AL72" s="225">
        <f>+AI30</f>
        <v>-35</v>
      </c>
      <c r="AM72" s="225"/>
      <c r="AN72" s="225"/>
      <c r="AO72" s="225"/>
      <c r="AP72" s="225"/>
    </row>
    <row r="73" spans="2:42" ht="16">
      <c r="B73" s="196"/>
      <c r="C73" s="156"/>
      <c r="D73" s="156"/>
      <c r="E73" s="223"/>
      <c r="F73" s="223"/>
      <c r="G73" s="223"/>
      <c r="H73" s="223"/>
      <c r="I73" s="156"/>
      <c r="J73" s="223"/>
      <c r="K73" s="223"/>
      <c r="L73" s="223"/>
      <c r="M73" s="223"/>
      <c r="N73" s="156"/>
      <c r="O73" s="223"/>
      <c r="P73" s="223"/>
      <c r="Q73" s="223"/>
      <c r="R73" s="223"/>
      <c r="S73" s="156"/>
      <c r="T73" s="223"/>
      <c r="U73" s="223"/>
      <c r="V73" s="223"/>
      <c r="W73" s="223"/>
      <c r="X73" s="156"/>
      <c r="Y73" s="223"/>
      <c r="Z73" s="223"/>
      <c r="AA73" s="223"/>
      <c r="AB73" s="223"/>
      <c r="AC73" s="156"/>
      <c r="AD73" s="223"/>
      <c r="AE73" s="223"/>
      <c r="AF73" s="223"/>
      <c r="AG73" s="223"/>
      <c r="AH73" s="156"/>
      <c r="AI73" s="223"/>
      <c r="AJ73" s="223"/>
      <c r="AK73" s="223"/>
      <c r="AL73" s="223"/>
      <c r="AM73" s="156"/>
      <c r="AN73" s="156"/>
      <c r="AO73" s="156"/>
      <c r="AP73" s="156"/>
    </row>
    <row r="74" spans="2:42" ht="16">
      <c r="B74" s="196"/>
      <c r="C74" s="156" t="str">
        <f>TEXT(Forward_Year_2,"yyyy-mm-dd")&amp;" "&amp;C28</f>
        <v>2026-12-31 Revenue:</v>
      </c>
      <c r="D74" s="156"/>
      <c r="E74" s="223"/>
      <c r="F74" s="223"/>
      <c r="G74" s="223"/>
      <c r="H74" s="226">
        <f>+F28</f>
        <v>254.78800000000001</v>
      </c>
      <c r="I74" s="156"/>
      <c r="J74" s="223"/>
      <c r="K74" s="223"/>
      <c r="L74" s="223"/>
      <c r="M74" s="226">
        <f>+K28</f>
        <v>636</v>
      </c>
      <c r="N74" s="156"/>
      <c r="O74" s="223"/>
      <c r="P74" s="223"/>
      <c r="Q74" s="223"/>
      <c r="R74" s="226">
        <f>+P28</f>
        <v>83</v>
      </c>
      <c r="S74" s="156"/>
      <c r="T74" s="223"/>
      <c r="U74" s="223"/>
      <c r="V74" s="223"/>
      <c r="W74" s="226">
        <f>+U28</f>
        <v>28</v>
      </c>
      <c r="X74" s="156"/>
      <c r="Y74" s="223"/>
      <c r="Z74" s="223"/>
      <c r="AA74" s="223"/>
      <c r="AB74" s="226">
        <f>+Z28</f>
        <v>0</v>
      </c>
      <c r="AC74" s="156"/>
      <c r="AD74" s="223"/>
      <c r="AE74" s="223"/>
      <c r="AF74" s="223"/>
      <c r="AG74" s="226">
        <f>+AE28</f>
        <v>15</v>
      </c>
      <c r="AH74" s="226"/>
      <c r="AI74" s="223"/>
      <c r="AJ74" s="223"/>
      <c r="AK74" s="223"/>
      <c r="AL74" s="226">
        <f>+AJ28</f>
        <v>6</v>
      </c>
      <c r="AM74" s="226"/>
      <c r="AN74" s="226"/>
      <c r="AO74" s="226"/>
      <c r="AP74" s="226"/>
    </row>
    <row r="75" spans="2:42" ht="16">
      <c r="B75" s="196"/>
      <c r="C75" s="156" t="str">
        <f>TEXT(Forward_Year_2,"yyyy-mm-dd")&amp;" "&amp;C29</f>
        <v>2026-12-31 Gross Profit:</v>
      </c>
      <c r="D75" s="156"/>
      <c r="E75" s="223"/>
      <c r="F75" s="223"/>
      <c r="G75" s="223"/>
      <c r="H75" s="225">
        <f>+F29</f>
        <v>101.91520000000001</v>
      </c>
      <c r="I75" s="156"/>
      <c r="J75" s="223"/>
      <c r="K75" s="223"/>
      <c r="L75" s="223"/>
      <c r="M75" s="225">
        <f>+K29</f>
        <v>260</v>
      </c>
      <c r="N75" s="156"/>
      <c r="O75" s="223"/>
      <c r="P75" s="223"/>
      <c r="Q75" s="223"/>
      <c r="R75" s="225">
        <f>+P29</f>
        <v>14</v>
      </c>
      <c r="S75" s="156"/>
      <c r="T75" s="223"/>
      <c r="U75" s="223"/>
      <c r="V75" s="223"/>
      <c r="W75" s="225">
        <f>+U29</f>
        <v>0</v>
      </c>
      <c r="X75" s="156"/>
      <c r="Y75" s="223"/>
      <c r="Z75" s="223"/>
      <c r="AA75" s="223"/>
      <c r="AB75" s="225">
        <f>+Z29</f>
        <v>0</v>
      </c>
      <c r="AC75" s="156"/>
      <c r="AD75" s="223"/>
      <c r="AE75" s="223"/>
      <c r="AF75" s="223"/>
      <c r="AG75" s="225">
        <f>+AE29</f>
        <v>3.375</v>
      </c>
      <c r="AH75" s="225"/>
      <c r="AI75" s="223"/>
      <c r="AJ75" s="223"/>
      <c r="AK75" s="223"/>
      <c r="AL75" s="225">
        <f>+AJ29</f>
        <v>0.94799999999999995</v>
      </c>
      <c r="AM75" s="225"/>
      <c r="AN75" s="225"/>
      <c r="AO75" s="225"/>
      <c r="AP75" s="225"/>
    </row>
    <row r="76" spans="2:42" ht="16">
      <c r="B76" s="196"/>
      <c r="C76" s="156" t="str">
        <f>TEXT(Forward_Year_2,"yyyy-mm-dd")&amp;" "&amp;C30</f>
        <v>2026-12-31 Reported Net Income:</v>
      </c>
      <c r="D76" s="156"/>
      <c r="E76" s="223"/>
      <c r="F76" s="223"/>
      <c r="G76" s="223"/>
      <c r="H76" s="225">
        <f>+F30</f>
        <v>-41.035703020569343</v>
      </c>
      <c r="I76" s="156"/>
      <c r="J76" s="223"/>
      <c r="K76" s="223"/>
      <c r="L76" s="223"/>
      <c r="M76" s="225">
        <f>+K30</f>
        <v>90</v>
      </c>
      <c r="N76" s="156"/>
      <c r="O76" s="223"/>
      <c r="P76" s="223"/>
      <c r="Q76" s="223"/>
      <c r="R76" s="225">
        <f>+P30</f>
        <v>-67</v>
      </c>
      <c r="S76" s="156"/>
      <c r="T76" s="223"/>
      <c r="U76" s="223"/>
      <c r="V76" s="223"/>
      <c r="W76" s="225">
        <f>+U30</f>
        <v>-137</v>
      </c>
      <c r="X76" s="156"/>
      <c r="Y76" s="223"/>
      <c r="Z76" s="223"/>
      <c r="AA76" s="223"/>
      <c r="AB76" s="225">
        <f>+Z30</f>
        <v>0</v>
      </c>
      <c r="AC76" s="156"/>
      <c r="AD76" s="223"/>
      <c r="AE76" s="223"/>
      <c r="AF76" s="223"/>
      <c r="AG76" s="225">
        <f>+AE30</f>
        <v>-54</v>
      </c>
      <c r="AH76" s="225"/>
      <c r="AI76" s="223"/>
      <c r="AJ76" s="223"/>
      <c r="AK76" s="223"/>
      <c r="AL76" s="225">
        <f>+AJ30</f>
        <v>-33</v>
      </c>
      <c r="AM76" s="225"/>
      <c r="AN76" s="225"/>
      <c r="AO76" s="225"/>
      <c r="AP76" s="225"/>
    </row>
    <row r="77" spans="2:42" ht="16">
      <c r="B77" s="196"/>
      <c r="C77" s="156"/>
      <c r="D77" s="156"/>
      <c r="E77" s="223"/>
      <c r="F77" s="223"/>
      <c r="G77" s="223"/>
      <c r="H77" s="223"/>
      <c r="I77" s="156"/>
      <c r="J77" s="223"/>
      <c r="K77" s="223"/>
      <c r="L77" s="223"/>
      <c r="M77" s="223"/>
      <c r="N77" s="156"/>
      <c r="O77" s="223"/>
      <c r="P77" s="223"/>
      <c r="Q77" s="223"/>
      <c r="R77" s="223"/>
      <c r="S77" s="156"/>
      <c r="T77" s="223"/>
      <c r="U77" s="223"/>
      <c r="V77" s="223"/>
      <c r="W77" s="223"/>
      <c r="X77" s="156"/>
      <c r="Y77" s="223"/>
      <c r="Z77" s="223"/>
      <c r="AA77" s="223"/>
      <c r="AB77" s="223"/>
      <c r="AC77" s="156"/>
      <c r="AD77" s="223"/>
      <c r="AE77" s="223"/>
      <c r="AF77" s="223"/>
      <c r="AG77" s="223"/>
      <c r="AH77" s="156"/>
      <c r="AI77" s="223"/>
      <c r="AJ77" s="223"/>
      <c r="AK77" s="223"/>
      <c r="AL77" s="223"/>
      <c r="AM77" s="156"/>
      <c r="AN77" s="156"/>
      <c r="AO77" s="156"/>
      <c r="AP77" s="156"/>
    </row>
    <row r="78" spans="2:42" ht="16">
      <c r="B78" s="196"/>
      <c r="C78" s="156" t="str">
        <f>TEXT(Forward_Year_3,"yyyy-mm-dd")&amp;" "&amp;C28</f>
        <v>2027-12-31 Revenue:</v>
      </c>
      <c r="D78" s="156"/>
      <c r="E78" s="223"/>
      <c r="F78" s="223"/>
      <c r="G78" s="223"/>
      <c r="H78" s="225">
        <f>+G28</f>
        <v>365.254164</v>
      </c>
      <c r="I78" s="156"/>
      <c r="J78" s="223"/>
      <c r="K78" s="223"/>
      <c r="L78" s="223"/>
      <c r="M78" s="225">
        <f>+L28</f>
        <v>893</v>
      </c>
      <c r="N78" s="156"/>
      <c r="O78" s="223"/>
      <c r="P78" s="223"/>
      <c r="Q78" s="223"/>
      <c r="R78" s="225">
        <f>+Q28</f>
        <v>126</v>
      </c>
      <c r="S78" s="156"/>
      <c r="T78" s="223"/>
      <c r="U78" s="223"/>
      <c r="V78" s="223"/>
      <c r="W78" s="225">
        <f>+V28</f>
        <v>76</v>
      </c>
      <c r="X78" s="156"/>
      <c r="Y78" s="223"/>
      <c r="Z78" s="223"/>
      <c r="AA78" s="223"/>
      <c r="AB78" s="225">
        <f>+AA28</f>
        <v>0</v>
      </c>
      <c r="AC78" s="156"/>
      <c r="AD78" s="223"/>
      <c r="AE78" s="223"/>
      <c r="AF78" s="223"/>
      <c r="AG78" s="225">
        <f>+AF28</f>
        <v>36</v>
      </c>
      <c r="AH78" s="225"/>
      <c r="AI78" s="223"/>
      <c r="AJ78" s="223"/>
      <c r="AK78" s="223"/>
      <c r="AL78" s="225">
        <f>+AK28</f>
        <v>35</v>
      </c>
      <c r="AM78" s="225"/>
      <c r="AN78" s="225"/>
      <c r="AO78" s="225"/>
      <c r="AP78" s="225"/>
    </row>
    <row r="79" spans="2:42" ht="16">
      <c r="B79" s="196"/>
      <c r="C79" s="156" t="str">
        <f>TEXT(Forward_Year_3,"yyyy-mm-dd")&amp;" "&amp;C29</f>
        <v>2027-12-31 Gross Profit:</v>
      </c>
      <c r="D79" s="156"/>
      <c r="E79" s="223"/>
      <c r="F79" s="223"/>
      <c r="G79" s="223"/>
      <c r="H79" s="225">
        <f>+G29</f>
        <v>146.10166560000002</v>
      </c>
      <c r="I79" s="156"/>
      <c r="J79" s="223"/>
      <c r="K79" s="223"/>
      <c r="L79" s="223"/>
      <c r="M79" s="225">
        <f>+L29</f>
        <v>346</v>
      </c>
      <c r="N79" s="156"/>
      <c r="O79" s="223"/>
      <c r="P79" s="223"/>
      <c r="Q79" s="223"/>
      <c r="R79" s="225">
        <f>+Q29</f>
        <v>28</v>
      </c>
      <c r="S79" s="156"/>
      <c r="T79" s="223"/>
      <c r="U79" s="223"/>
      <c r="V79" s="223"/>
      <c r="W79" s="225">
        <f>+V29</f>
        <v>13</v>
      </c>
      <c r="X79" s="156"/>
      <c r="Y79" s="223"/>
      <c r="Z79" s="223"/>
      <c r="AA79" s="223"/>
      <c r="AB79" s="225">
        <f>+AA29</f>
        <v>0</v>
      </c>
      <c r="AC79" s="156"/>
      <c r="AD79" s="223"/>
      <c r="AE79" s="223"/>
      <c r="AF79" s="223"/>
      <c r="AG79" s="225">
        <f>+AF29</f>
        <v>9.7200000000000006</v>
      </c>
      <c r="AH79" s="225"/>
      <c r="AI79" s="223"/>
      <c r="AJ79" s="223"/>
      <c r="AK79" s="223"/>
      <c r="AL79" s="225">
        <f>+AK29</f>
        <v>8.75</v>
      </c>
      <c r="AM79" s="225"/>
      <c r="AN79" s="225"/>
      <c r="AO79" s="225"/>
      <c r="AP79" s="225"/>
    </row>
    <row r="80" spans="2:42" ht="16">
      <c r="B80" s="196"/>
      <c r="C80" s="156" t="str">
        <f>TEXT(Forward_Year_3,"yyyy-mm-dd")&amp;" "&amp;C30</f>
        <v>2027-12-31 Reported Net Income:</v>
      </c>
      <c r="D80" s="156"/>
      <c r="E80" s="223"/>
      <c r="F80" s="223"/>
      <c r="G80" s="223"/>
      <c r="H80" s="225">
        <f>+G30</f>
        <v>-3.5968136911351811</v>
      </c>
      <c r="I80" s="156"/>
      <c r="J80" s="223"/>
      <c r="K80" s="223"/>
      <c r="L80" s="223"/>
      <c r="M80" s="225">
        <f>+L30</f>
        <v>142</v>
      </c>
      <c r="N80" s="156"/>
      <c r="O80" s="223"/>
      <c r="P80" s="223"/>
      <c r="Q80" s="223"/>
      <c r="R80" s="225">
        <f>+Q30</f>
        <v>-68</v>
      </c>
      <c r="S80" s="156"/>
      <c r="T80" s="223"/>
      <c r="U80" s="223"/>
      <c r="V80" s="223"/>
      <c r="W80" s="225">
        <f>+V30</f>
        <v>-137</v>
      </c>
      <c r="X80" s="156"/>
      <c r="Y80" s="223"/>
      <c r="Z80" s="223"/>
      <c r="AA80" s="223"/>
      <c r="AB80" s="225">
        <f>+AA30</f>
        <v>0</v>
      </c>
      <c r="AC80" s="156"/>
      <c r="AD80" s="223"/>
      <c r="AE80" s="223"/>
      <c r="AF80" s="223"/>
      <c r="AG80" s="225">
        <f>+AF30</f>
        <v>-42</v>
      </c>
      <c r="AH80" s="225"/>
      <c r="AI80" s="223"/>
      <c r="AJ80" s="223"/>
      <c r="AK80" s="223"/>
      <c r="AL80" s="225">
        <f>+AK30</f>
        <v>-27</v>
      </c>
      <c r="AM80" s="225"/>
      <c r="AN80" s="225"/>
      <c r="AO80" s="225"/>
      <c r="AP80" s="225"/>
    </row>
    <row r="81" spans="2:42" ht="16">
      <c r="B81" s="196"/>
      <c r="C81" s="156"/>
      <c r="D81" s="156"/>
      <c r="E81" s="223"/>
      <c r="F81" s="223"/>
      <c r="G81" s="223"/>
      <c r="H81" s="223"/>
      <c r="I81" s="156"/>
      <c r="J81" s="223"/>
      <c r="K81" s="223"/>
      <c r="L81" s="223"/>
      <c r="M81" s="223"/>
      <c r="N81" s="156"/>
      <c r="O81" s="223"/>
      <c r="P81" s="223"/>
      <c r="Q81" s="223"/>
      <c r="R81" s="223"/>
      <c r="S81" s="156"/>
      <c r="T81" s="223"/>
      <c r="U81" s="223"/>
      <c r="V81" s="223"/>
      <c r="W81" s="223"/>
      <c r="X81" s="156"/>
      <c r="Y81" s="223"/>
      <c r="Z81" s="223"/>
      <c r="AA81" s="223"/>
      <c r="AB81" s="223"/>
      <c r="AC81" s="156"/>
      <c r="AD81" s="223"/>
      <c r="AE81" s="223"/>
      <c r="AF81" s="223"/>
      <c r="AG81" s="223"/>
      <c r="AH81" s="156"/>
      <c r="AI81" s="223"/>
      <c r="AJ81" s="223"/>
      <c r="AK81" s="223"/>
      <c r="AL81" s="223"/>
      <c r="AM81" s="156"/>
      <c r="AN81" s="156"/>
      <c r="AO81" s="156"/>
      <c r="AP81" s="156"/>
    </row>
    <row r="82" spans="2:42" ht="16">
      <c r="B82" s="196"/>
      <c r="C82" s="156" t="s">
        <v>275</v>
      </c>
      <c r="D82" s="156"/>
      <c r="E82" s="223"/>
      <c r="F82" s="223"/>
      <c r="G82" s="223"/>
      <c r="H82" s="227">
        <f>IFERROR(+H74/H70-1,"N/A")</f>
        <v>0.50762130177514808</v>
      </c>
      <c r="I82" s="156"/>
      <c r="J82" s="223"/>
      <c r="K82" s="223"/>
      <c r="L82" s="223"/>
      <c r="M82" s="227">
        <f>IFERROR(+M74/M70-1,"N/A")</f>
        <v>0.42921348314606744</v>
      </c>
      <c r="N82" s="156"/>
      <c r="O82" s="223"/>
      <c r="P82" s="223"/>
      <c r="Q82" s="223"/>
      <c r="R82" s="227">
        <f>IFERROR(+R74/R70-1,"N/A")</f>
        <v>0.43103448275862077</v>
      </c>
      <c r="S82" s="156"/>
      <c r="T82" s="223"/>
      <c r="U82" s="223"/>
      <c r="V82" s="223"/>
      <c r="W82" s="227">
        <f>IFERROR(+W74/W70-1,"N/A")</f>
        <v>0.64705882352941169</v>
      </c>
      <c r="X82" s="156"/>
      <c r="Y82" s="223"/>
      <c r="Z82" s="223"/>
      <c r="AA82" s="223"/>
      <c r="AB82" s="227" t="str">
        <f>IFERROR(+AB74/AB70-1,"N/A")</f>
        <v>N/A</v>
      </c>
      <c r="AC82" s="156"/>
      <c r="AD82" s="223"/>
      <c r="AE82" s="223"/>
      <c r="AF82" s="223"/>
      <c r="AG82" s="227">
        <f>IFERROR(+AG74/AG70-1,"N/A")</f>
        <v>4</v>
      </c>
      <c r="AH82" s="227"/>
      <c r="AI82" s="223"/>
      <c r="AJ82" s="223"/>
      <c r="AK82" s="223"/>
      <c r="AL82" s="227" t="str">
        <f>IFERROR(+AL74/AL70-1,"N/A")</f>
        <v>N/A</v>
      </c>
      <c r="AM82" s="227"/>
      <c r="AN82" s="227"/>
      <c r="AO82" s="227"/>
      <c r="AP82" s="227"/>
    </row>
    <row r="83" spans="2:42" ht="16">
      <c r="B83" s="196"/>
      <c r="C83" s="156" t="s">
        <v>276</v>
      </c>
      <c r="D83" s="156"/>
      <c r="E83" s="223"/>
      <c r="F83" s="223"/>
      <c r="G83" s="223"/>
      <c r="H83" s="227">
        <f>IFERROR(+H75/H71-1,"N/A")</f>
        <v>0.23071126675522291</v>
      </c>
      <c r="I83" s="156"/>
      <c r="J83" s="223"/>
      <c r="K83" s="223"/>
      <c r="L83" s="223"/>
      <c r="M83" s="227">
        <f>IFERROR(+M75/M71-1,"N/A")</f>
        <v>0.39037433155080214</v>
      </c>
      <c r="N83" s="156"/>
      <c r="O83" s="223"/>
      <c r="P83" s="223"/>
      <c r="Q83" s="223"/>
      <c r="R83" s="227">
        <f>IFERROR(+R75/R71-1,"N/A")</f>
        <v>7.6923076923076872E-2</v>
      </c>
      <c r="S83" s="156"/>
      <c r="T83" s="223"/>
      <c r="U83" s="223"/>
      <c r="V83" s="223"/>
      <c r="W83" s="227">
        <f>IFERROR(+W75/W71-1,"N/A")</f>
        <v>-1</v>
      </c>
      <c r="X83" s="156"/>
      <c r="Y83" s="223"/>
      <c r="Z83" s="223"/>
      <c r="AA83" s="223"/>
      <c r="AB83" s="227" t="str">
        <f>IFERROR(+AB75/AB71-1,"N/A")</f>
        <v>N/A</v>
      </c>
      <c r="AC83" s="156"/>
      <c r="AD83" s="223"/>
      <c r="AE83" s="223"/>
      <c r="AF83" s="223"/>
      <c r="AG83" s="227">
        <f>IFERROR(+AG75/AG71-1,"N/A")</f>
        <v>-2.7857142857142856</v>
      </c>
      <c r="AH83" s="227"/>
      <c r="AI83" s="223"/>
      <c r="AJ83" s="223"/>
      <c r="AK83" s="223"/>
      <c r="AL83" s="227">
        <f>IFERROR(+AL75/AL71-1,"N/A")</f>
        <v>-0.96840000000000004</v>
      </c>
      <c r="AM83" s="227"/>
      <c r="AN83" s="227"/>
      <c r="AO83" s="227"/>
      <c r="AP83" s="227"/>
    </row>
    <row r="84" spans="2:42" ht="16">
      <c r="B84" s="196"/>
      <c r="C84" s="156"/>
      <c r="D84" s="156"/>
      <c r="E84" s="223"/>
      <c r="F84" s="223"/>
      <c r="G84" s="223"/>
      <c r="H84" s="223"/>
      <c r="I84" s="156"/>
      <c r="J84" s="223"/>
      <c r="K84" s="223"/>
      <c r="L84" s="223"/>
      <c r="M84" s="223"/>
      <c r="N84" s="156"/>
      <c r="O84" s="223"/>
      <c r="P84" s="223"/>
      <c r="Q84" s="223"/>
      <c r="R84" s="223"/>
      <c r="S84" s="156"/>
      <c r="T84" s="223"/>
      <c r="U84" s="223"/>
      <c r="V84" s="223"/>
      <c r="W84" s="223"/>
      <c r="X84" s="156"/>
      <c r="Y84" s="223"/>
      <c r="Z84" s="223"/>
      <c r="AA84" s="223"/>
      <c r="AB84" s="223"/>
      <c r="AC84" s="156"/>
      <c r="AD84" s="223"/>
      <c r="AE84" s="223"/>
      <c r="AF84" s="223"/>
      <c r="AG84" s="223"/>
      <c r="AH84" s="156"/>
      <c r="AI84" s="223"/>
      <c r="AJ84" s="223"/>
      <c r="AK84" s="223"/>
      <c r="AL84" s="223"/>
      <c r="AM84" s="156"/>
      <c r="AN84" s="156"/>
      <c r="AO84" s="156"/>
      <c r="AP84" s="156"/>
    </row>
    <row r="85" spans="2:42" ht="16">
      <c r="B85" s="196"/>
      <c r="C85" s="156" t="s">
        <v>277</v>
      </c>
      <c r="D85" s="156"/>
      <c r="E85" s="223"/>
      <c r="F85" s="223"/>
      <c r="G85" s="223"/>
      <c r="H85" s="227">
        <f>IFERROR(+H11/H8,"N/A")</f>
        <v>0.3641731397557178</v>
      </c>
      <c r="I85" s="156"/>
      <c r="J85" s="223"/>
      <c r="K85" s="223"/>
      <c r="L85" s="223"/>
      <c r="M85" s="227">
        <f>IFERROR(+M11/M8,"N/A")</f>
        <v>0.41428571428571431</v>
      </c>
      <c r="N85" s="156"/>
      <c r="O85" s="223"/>
      <c r="P85" s="223"/>
      <c r="Q85" s="223"/>
      <c r="R85" s="227">
        <f>IFERROR(+R11/R8,"N/A")</f>
        <v>0.23489946740431858</v>
      </c>
      <c r="S85" s="156"/>
      <c r="T85" s="223"/>
      <c r="U85" s="223"/>
      <c r="V85" s="223"/>
      <c r="W85" s="227">
        <f>IFERROR(+W11/W8,"N/A")</f>
        <v>-0.13197835554968984</v>
      </c>
      <c r="X85" s="156"/>
      <c r="Y85" s="223"/>
      <c r="Z85" s="223"/>
      <c r="AA85" s="223"/>
      <c r="AB85" s="227">
        <f>IFERROR(+AB11/AB8,"N/A")</f>
        <v>-0.14900356341559981</v>
      </c>
      <c r="AC85" s="156"/>
      <c r="AD85" s="223"/>
      <c r="AE85" s="223"/>
      <c r="AF85" s="223"/>
      <c r="AG85" s="227">
        <f>IFERROR(+AG11/AG8,"N/A")</f>
        <v>-1.4036418816388467</v>
      </c>
      <c r="AH85" s="227"/>
      <c r="AI85" s="223"/>
      <c r="AJ85" s="223"/>
      <c r="AK85" s="223"/>
      <c r="AL85" s="227">
        <f>IFERROR(+AL11/AL8,"N/A")</f>
        <v>0.37912087912087938</v>
      </c>
      <c r="AM85" s="227"/>
      <c r="AN85" s="227"/>
      <c r="AO85" s="227"/>
      <c r="AP85" s="227"/>
    </row>
    <row r="86" spans="2:42" ht="16">
      <c r="B86" s="196"/>
      <c r="C86" s="156" t="str">
        <f>TEXT(Forward_Year_1,"yyyy-mm-dd")&amp;" EBITDA Margin:"</f>
        <v>2025-12-31 EBITDA Margin:</v>
      </c>
      <c r="D86" s="156"/>
      <c r="E86" s="223"/>
      <c r="F86" s="223"/>
      <c r="G86" s="223"/>
      <c r="H86" s="227">
        <f>IFERROR(+H71/H70,"N/A")</f>
        <v>0.49</v>
      </c>
      <c r="I86" s="156"/>
      <c r="J86" s="223"/>
      <c r="K86" s="223"/>
      <c r="L86" s="223"/>
      <c r="M86" s="227">
        <f>IFERROR(+M71/M70,"N/A")</f>
        <v>0.42022471910112358</v>
      </c>
      <c r="N86" s="156"/>
      <c r="O86" s="223"/>
      <c r="P86" s="223"/>
      <c r="Q86" s="223"/>
      <c r="R86" s="227">
        <f>IFERROR(+R71/R70,"N/A")</f>
        <v>0.22413793103448276</v>
      </c>
      <c r="S86" s="156"/>
      <c r="T86" s="223"/>
      <c r="U86" s="223"/>
      <c r="V86" s="223"/>
      <c r="W86" s="227">
        <f>IFERROR(+W71/W70,"N/A")</f>
        <v>-5.8823529411764705E-2</v>
      </c>
      <c r="X86" s="156"/>
      <c r="Y86" s="223"/>
      <c r="Z86" s="223"/>
      <c r="AA86" s="223"/>
      <c r="AB86" s="227" t="str">
        <f>IFERROR(+AB71/AB70,"N/A")</f>
        <v>N/A</v>
      </c>
      <c r="AC86" s="156"/>
      <c r="AD86" s="223"/>
      <c r="AE86" s="223"/>
      <c r="AF86" s="223"/>
      <c r="AG86" s="227">
        <f>IFERROR(+AG71/AG70,"N/A")</f>
        <v>-0.63</v>
      </c>
      <c r="AH86" s="227"/>
      <c r="AI86" s="223"/>
      <c r="AJ86" s="223"/>
      <c r="AK86" s="223"/>
      <c r="AL86" s="227" t="str">
        <f>IFERROR(+AL71/AL70,"N/A")</f>
        <v>N/A</v>
      </c>
      <c r="AM86" s="227"/>
      <c r="AN86" s="227"/>
      <c r="AO86" s="227"/>
      <c r="AP86" s="227"/>
    </row>
    <row r="87" spans="2:42" ht="16">
      <c r="B87" s="196"/>
      <c r="C87" s="156" t="str">
        <f>TEXT(Forward_Year_2,"yyyy-mm-dd")&amp;" EBITDA Margin:"</f>
        <v>2026-12-31 EBITDA Margin:</v>
      </c>
      <c r="D87" s="156"/>
      <c r="E87" s="223"/>
      <c r="F87" s="223"/>
      <c r="G87" s="223"/>
      <c r="H87" s="227">
        <f>IFERROR(+H75/H74,"N/A")</f>
        <v>0.4</v>
      </c>
      <c r="I87" s="156"/>
      <c r="J87" s="223"/>
      <c r="K87" s="223"/>
      <c r="L87" s="223"/>
      <c r="M87" s="227">
        <f>IFERROR(+M75/M74,"N/A")</f>
        <v>0.4088050314465409</v>
      </c>
      <c r="N87" s="156"/>
      <c r="O87" s="223"/>
      <c r="P87" s="223"/>
      <c r="Q87" s="223"/>
      <c r="R87" s="227">
        <f>IFERROR(+R75/R74,"N/A")</f>
        <v>0.16867469879518071</v>
      </c>
      <c r="S87" s="156"/>
      <c r="T87" s="223"/>
      <c r="U87" s="223"/>
      <c r="V87" s="223"/>
      <c r="W87" s="227">
        <f>IFERROR(+W75/W74,"N/A")</f>
        <v>0</v>
      </c>
      <c r="X87" s="156"/>
      <c r="Y87" s="223"/>
      <c r="Z87" s="223"/>
      <c r="AA87" s="223"/>
      <c r="AB87" s="227" t="str">
        <f>IFERROR(+AB75/AB74,"N/A")</f>
        <v>N/A</v>
      </c>
      <c r="AC87" s="156"/>
      <c r="AD87" s="223"/>
      <c r="AE87" s="223"/>
      <c r="AF87" s="223"/>
      <c r="AG87" s="227">
        <f>IFERROR(+AG75/AG74,"N/A")</f>
        <v>0.22500000000000001</v>
      </c>
      <c r="AH87" s="227"/>
      <c r="AI87" s="223"/>
      <c r="AJ87" s="223"/>
      <c r="AK87" s="223"/>
      <c r="AL87" s="227">
        <f>IFERROR(+AL75/AL74,"N/A")</f>
        <v>0.158</v>
      </c>
      <c r="AM87" s="227"/>
      <c r="AN87" s="227"/>
      <c r="AO87" s="227"/>
      <c r="AP87" s="227"/>
    </row>
    <row r="88" spans="2:42" ht="16">
      <c r="B88" s="196"/>
      <c r="C88" s="156"/>
      <c r="D88" s="156"/>
      <c r="E88" s="223"/>
      <c r="F88" s="223"/>
      <c r="G88" s="223"/>
      <c r="H88" s="223"/>
      <c r="I88" s="156"/>
      <c r="J88" s="223"/>
      <c r="K88" s="223"/>
      <c r="L88" s="223"/>
      <c r="M88" s="223"/>
      <c r="N88" s="156"/>
      <c r="O88" s="223"/>
      <c r="P88" s="223"/>
      <c r="Q88" s="223"/>
      <c r="R88" s="223"/>
      <c r="S88" s="156"/>
      <c r="T88" s="223"/>
      <c r="U88" s="223"/>
      <c r="V88" s="223"/>
      <c r="W88" s="223"/>
      <c r="X88" s="156"/>
      <c r="Y88" s="223"/>
      <c r="Z88" s="223"/>
      <c r="AA88" s="223"/>
      <c r="AB88" s="223"/>
      <c r="AC88" s="156"/>
      <c r="AD88" s="223"/>
      <c r="AE88" s="223"/>
      <c r="AF88" s="223"/>
      <c r="AG88" s="223"/>
      <c r="AH88" s="156"/>
      <c r="AI88" s="223"/>
      <c r="AJ88" s="223"/>
      <c r="AK88" s="223"/>
      <c r="AL88" s="223"/>
      <c r="AM88" s="156"/>
      <c r="AN88" s="156"/>
      <c r="AO88" s="156"/>
      <c r="AP88" s="156"/>
    </row>
    <row r="89" spans="2:42" ht="16">
      <c r="B89" s="196"/>
      <c r="C89" s="156" t="str">
        <f>TEXT(E63,"mm/dd/yyyy")&amp;" "&amp;C64</f>
        <v>LTM EV / Revenue:</v>
      </c>
      <c r="D89" s="156"/>
      <c r="E89" s="223"/>
      <c r="F89" s="223"/>
      <c r="G89" s="223"/>
      <c r="H89" s="222">
        <f>+E64</f>
        <v>15.13725610400795</v>
      </c>
      <c r="I89" s="156"/>
      <c r="J89" s="223"/>
      <c r="K89" s="223"/>
      <c r="L89" s="223"/>
      <c r="M89" s="222">
        <f>+J64</f>
        <v>8.0049350649350632</v>
      </c>
      <c r="N89" s="156"/>
      <c r="O89" s="223"/>
      <c r="P89" s="223"/>
      <c r="Q89" s="223"/>
      <c r="R89" s="222">
        <f>+O64</f>
        <v>3.6638388175550145</v>
      </c>
      <c r="S89" s="156"/>
      <c r="T89" s="223"/>
      <c r="U89" s="223"/>
      <c r="V89" s="223"/>
      <c r="W89" s="222">
        <f>+T64</f>
        <v>57.691189124983495</v>
      </c>
      <c r="X89" s="156"/>
      <c r="Y89" s="223"/>
      <c r="Z89" s="223"/>
      <c r="AA89" s="223"/>
      <c r="AB89" s="222">
        <f>+Y64</f>
        <v>5.9904066121156117</v>
      </c>
      <c r="AC89" s="156"/>
      <c r="AD89" s="223"/>
      <c r="AE89" s="223"/>
      <c r="AF89" s="223"/>
      <c r="AG89" s="222">
        <f>+AD64</f>
        <v>84.757247723823966</v>
      </c>
      <c r="AH89" s="222"/>
      <c r="AI89" s="223"/>
      <c r="AJ89" s="223"/>
      <c r="AK89" s="223"/>
      <c r="AL89" s="222" t="str">
        <f>+AI64</f>
        <v>NM</v>
      </c>
      <c r="AM89" s="222"/>
      <c r="AN89" s="222"/>
      <c r="AO89" s="222"/>
      <c r="AP89" s="222"/>
    </row>
    <row r="90" spans="2:42" ht="16">
      <c r="B90" s="196"/>
      <c r="C90" s="156" t="str">
        <f>TEXT(E63,"mm/dd/yyyy")&amp;" "&amp;C65</f>
        <v>LTM EV / Gross Profit:</v>
      </c>
      <c r="D90" s="156"/>
      <c r="E90" s="223"/>
      <c r="F90" s="223"/>
      <c r="G90" s="223"/>
      <c r="H90" s="222">
        <f>+E65</f>
        <v>41.566097143138585</v>
      </c>
      <c r="I90" s="156"/>
      <c r="J90" s="223"/>
      <c r="K90" s="223"/>
      <c r="L90" s="223"/>
      <c r="M90" s="222">
        <f>+J65</f>
        <v>19.322257053291533</v>
      </c>
      <c r="N90" s="156"/>
      <c r="O90" s="223"/>
      <c r="P90" s="223"/>
      <c r="Q90" s="223"/>
      <c r="R90" s="222">
        <f>+O65</f>
        <v>15.597476052377186</v>
      </c>
      <c r="S90" s="156"/>
      <c r="T90" s="223"/>
      <c r="U90" s="223"/>
      <c r="V90" s="223"/>
      <c r="W90" s="222" t="str">
        <f>+T65</f>
        <v>NM</v>
      </c>
      <c r="X90" s="156"/>
      <c r="Y90" s="223"/>
      <c r="Z90" s="223"/>
      <c r="AA90" s="223"/>
      <c r="AB90" s="222" t="str">
        <f>+Y65</f>
        <v>NM</v>
      </c>
      <c r="AC90" s="156"/>
      <c r="AD90" s="223"/>
      <c r="AE90" s="223"/>
      <c r="AF90" s="223"/>
      <c r="AG90" s="222" t="str">
        <f>+AD65</f>
        <v>NM</v>
      </c>
      <c r="AH90" s="222"/>
      <c r="AI90" s="223"/>
      <c r="AJ90" s="223"/>
      <c r="AK90" s="223"/>
      <c r="AL90" s="222" t="str">
        <f>+AI65</f>
        <v>NM</v>
      </c>
      <c r="AM90" s="222"/>
      <c r="AN90" s="222"/>
      <c r="AO90" s="222"/>
      <c r="AP90" s="222"/>
    </row>
    <row r="91" spans="2:42" ht="16">
      <c r="B91" s="196"/>
      <c r="C91" s="156" t="str">
        <f>TEXT(E63,"mm/dd/yyyy")&amp;" "&amp;C66</f>
        <v>LTM P / E:</v>
      </c>
      <c r="D91" s="156"/>
      <c r="E91" s="223"/>
      <c r="F91" s="223"/>
      <c r="G91" s="223"/>
      <c r="H91" s="222" t="str">
        <f>+E66</f>
        <v>NM</v>
      </c>
      <c r="I91" s="156"/>
      <c r="J91" s="223"/>
      <c r="K91" s="223"/>
      <c r="L91" s="223"/>
      <c r="M91" s="222">
        <f>+J66</f>
        <v>66.569536423841058</v>
      </c>
      <c r="N91" s="156"/>
      <c r="O91" s="223"/>
      <c r="P91" s="223"/>
      <c r="Q91" s="223"/>
      <c r="R91" s="222" t="str">
        <f>+O66</f>
        <v>NM</v>
      </c>
      <c r="S91" s="156"/>
      <c r="T91" s="223"/>
      <c r="U91" s="223"/>
      <c r="V91" s="223"/>
      <c r="W91" s="222" t="str">
        <f>+T66</f>
        <v>NM</v>
      </c>
      <c r="X91" s="156"/>
      <c r="Y91" s="223"/>
      <c r="Z91" s="223"/>
      <c r="AA91" s="223"/>
      <c r="AB91" s="222" t="str">
        <f>+Y66</f>
        <v>NM</v>
      </c>
      <c r="AC91" s="156"/>
      <c r="AD91" s="223"/>
      <c r="AE91" s="223"/>
      <c r="AF91" s="223"/>
      <c r="AG91" s="222" t="str">
        <f>+AD66</f>
        <v>NM</v>
      </c>
      <c r="AH91" s="222"/>
      <c r="AI91" s="223"/>
      <c r="AJ91" s="223"/>
      <c r="AK91" s="223"/>
      <c r="AL91" s="222" t="str">
        <f>+AI66</f>
        <v>NM</v>
      </c>
      <c r="AM91" s="222"/>
      <c r="AN91" s="222"/>
      <c r="AO91" s="222"/>
      <c r="AP91" s="222"/>
    </row>
    <row r="92" spans="2:42" ht="16">
      <c r="B92" s="196"/>
      <c r="C92" s="156"/>
      <c r="D92" s="156"/>
      <c r="E92" s="223"/>
      <c r="F92" s="223"/>
      <c r="G92" s="223"/>
      <c r="H92" s="223"/>
      <c r="I92" s="156"/>
      <c r="J92" s="223"/>
      <c r="K92" s="223"/>
      <c r="L92" s="223"/>
      <c r="M92" s="223"/>
      <c r="N92" s="156"/>
      <c r="O92" s="223"/>
      <c r="P92" s="223"/>
      <c r="Q92" s="223"/>
      <c r="R92" s="223"/>
      <c r="S92" s="156"/>
      <c r="T92" s="223"/>
      <c r="U92" s="223"/>
      <c r="V92" s="223"/>
      <c r="W92" s="223"/>
      <c r="X92" s="156"/>
      <c r="Y92" s="223"/>
      <c r="Z92" s="223"/>
      <c r="AA92" s="223"/>
      <c r="AB92" s="223"/>
      <c r="AC92" s="156"/>
      <c r="AD92" s="223"/>
      <c r="AE92" s="223"/>
      <c r="AF92" s="223"/>
      <c r="AG92" s="223"/>
      <c r="AH92" s="156"/>
      <c r="AI92" s="223"/>
      <c r="AJ92" s="223"/>
      <c r="AK92" s="223"/>
      <c r="AL92" s="223"/>
      <c r="AM92" s="156"/>
      <c r="AN92" s="156"/>
      <c r="AO92" s="156"/>
      <c r="AP92" s="156"/>
    </row>
    <row r="93" spans="2:42" ht="16">
      <c r="B93" s="196"/>
      <c r="C93" s="156" t="str">
        <f>TEXT(Forward_Year_1,"yyyy-mm-dd")&amp;" "&amp;C64</f>
        <v>2025-12-31 EV / Revenue:</v>
      </c>
      <c r="D93" s="156"/>
      <c r="E93" s="223"/>
      <c r="F93" s="223"/>
      <c r="G93" s="223"/>
      <c r="H93" s="222">
        <f>+F64</f>
        <v>9.9512679905999253</v>
      </c>
      <c r="I93" s="156"/>
      <c r="J93" s="223"/>
      <c r="K93" s="223"/>
      <c r="L93" s="223"/>
      <c r="M93" s="222">
        <f>+K64</f>
        <v>6.9256179775280895</v>
      </c>
      <c r="N93" s="156"/>
      <c r="O93" s="223"/>
      <c r="P93" s="223"/>
      <c r="Q93" s="223"/>
      <c r="R93" s="222">
        <f>+P64</f>
        <v>3.0600634482758617</v>
      </c>
      <c r="S93" s="156"/>
      <c r="T93" s="223"/>
      <c r="U93" s="223"/>
      <c r="V93" s="223"/>
      <c r="W93" s="222">
        <f>+U64</f>
        <v>51.426604705882347</v>
      </c>
      <c r="X93" s="156"/>
      <c r="Y93" s="223"/>
      <c r="Z93" s="223"/>
      <c r="AA93" s="223"/>
      <c r="AB93" s="222" t="str">
        <f>+Z64</f>
        <v>N/A</v>
      </c>
      <c r="AC93" s="156"/>
      <c r="AD93" s="223"/>
      <c r="AE93" s="223"/>
      <c r="AF93" s="223"/>
      <c r="AG93" s="222">
        <f>+AE64</f>
        <v>74.473368333333326</v>
      </c>
      <c r="AH93" s="222"/>
      <c r="AI93" s="223"/>
      <c r="AJ93" s="223"/>
      <c r="AK93" s="223"/>
      <c r="AL93" s="222" t="str">
        <f>+AJ64</f>
        <v>N/A</v>
      </c>
      <c r="AM93" s="222"/>
      <c r="AN93" s="222"/>
      <c r="AO93" s="222"/>
      <c r="AP93" s="222"/>
    </row>
    <row r="94" spans="2:42" ht="16">
      <c r="B94" s="196"/>
      <c r="C94" s="156" t="str">
        <f>TEXT(Forward_Year_1,"yyyy-mm-dd")&amp;" "&amp;C65</f>
        <v>2025-12-31 EV / Gross Profit:</v>
      </c>
      <c r="D94" s="156"/>
      <c r="E94" s="223"/>
      <c r="F94" s="223"/>
      <c r="G94" s="223"/>
      <c r="H94" s="222">
        <f>+F65</f>
        <v>20.308710184897805</v>
      </c>
      <c r="I94" s="156"/>
      <c r="J94" s="223"/>
      <c r="K94" s="223"/>
      <c r="L94" s="223"/>
      <c r="M94" s="222">
        <f>+K65</f>
        <v>16.480748663101604</v>
      </c>
      <c r="N94" s="156"/>
      <c r="O94" s="223"/>
      <c r="P94" s="223"/>
      <c r="Q94" s="223"/>
      <c r="R94" s="222">
        <f>+P65</f>
        <v>13.652590769230768</v>
      </c>
      <c r="S94" s="156"/>
      <c r="T94" s="223"/>
      <c r="U94" s="223"/>
      <c r="V94" s="223"/>
      <c r="W94" s="222" t="str">
        <f>+U65</f>
        <v>NM</v>
      </c>
      <c r="X94" s="156"/>
      <c r="Y94" s="223"/>
      <c r="Z94" s="223"/>
      <c r="AA94" s="223"/>
      <c r="AB94" s="222" t="str">
        <f>+Z65</f>
        <v>N/A</v>
      </c>
      <c r="AC94" s="156"/>
      <c r="AD94" s="223"/>
      <c r="AE94" s="223"/>
      <c r="AF94" s="223"/>
      <c r="AG94" s="222" t="str">
        <f>+AE65</f>
        <v>NM</v>
      </c>
      <c r="AH94" s="222"/>
      <c r="AI94" s="223"/>
      <c r="AJ94" s="223"/>
      <c r="AK94" s="223"/>
      <c r="AL94" s="222">
        <f>+AJ65</f>
        <v>7.447336833333333</v>
      </c>
      <c r="AM94" s="222"/>
      <c r="AN94" s="222"/>
      <c r="AO94" s="222"/>
      <c r="AP94" s="222"/>
    </row>
    <row r="95" spans="2:42" ht="16">
      <c r="B95" s="196"/>
      <c r="C95" s="156" t="str">
        <f>TEXT(Forward_Year_1,"yyyy-mm-dd")&amp;" "&amp;C66</f>
        <v>2025-12-31 P / E:</v>
      </c>
      <c r="D95" s="156"/>
      <c r="E95" s="223"/>
      <c r="F95" s="223"/>
      <c r="G95" s="223"/>
      <c r="H95" s="222" t="str">
        <f>+F66</f>
        <v>NM</v>
      </c>
      <c r="I95" s="156"/>
      <c r="J95" s="223"/>
      <c r="K95" s="223"/>
      <c r="L95" s="223"/>
      <c r="M95" s="222">
        <f>+K66</f>
        <v>70.540350877192978</v>
      </c>
      <c r="N95" s="156"/>
      <c r="O95" s="223"/>
      <c r="P95" s="223"/>
      <c r="Q95" s="223"/>
      <c r="R95" s="222" t="str">
        <f>+P66</f>
        <v>NM</v>
      </c>
      <c r="S95" s="156"/>
      <c r="T95" s="223"/>
      <c r="U95" s="223"/>
      <c r="V95" s="223"/>
      <c r="W95" s="222" t="str">
        <f>+U66</f>
        <v>NM</v>
      </c>
      <c r="X95" s="156"/>
      <c r="Y95" s="223"/>
      <c r="Z95" s="223"/>
      <c r="AA95" s="223"/>
      <c r="AB95" s="222" t="str">
        <f>+Z66</f>
        <v>N/A</v>
      </c>
      <c r="AC95" s="156"/>
      <c r="AD95" s="223"/>
      <c r="AE95" s="223"/>
      <c r="AF95" s="223"/>
      <c r="AG95" s="222" t="str">
        <f>+AE66</f>
        <v>NM</v>
      </c>
      <c r="AH95" s="222"/>
      <c r="AI95" s="223"/>
      <c r="AJ95" s="223"/>
      <c r="AK95" s="223"/>
      <c r="AL95" s="222" t="str">
        <f>+AJ66</f>
        <v>NM</v>
      </c>
      <c r="AM95" s="222"/>
      <c r="AN95" s="222"/>
      <c r="AO95" s="222"/>
      <c r="AP95" s="222"/>
    </row>
    <row r="96" spans="2:42" ht="16">
      <c r="B96" s="196"/>
      <c r="C96" s="156"/>
      <c r="D96" s="156"/>
      <c r="E96" s="223"/>
      <c r="F96" s="223"/>
      <c r="G96" s="223"/>
      <c r="H96" s="223"/>
      <c r="I96" s="156"/>
      <c r="J96" s="223"/>
      <c r="K96" s="223"/>
      <c r="L96" s="223"/>
      <c r="M96" s="223"/>
      <c r="N96" s="156"/>
      <c r="O96" s="223"/>
      <c r="P96" s="223"/>
      <c r="Q96" s="223"/>
      <c r="R96" s="223"/>
      <c r="S96" s="156"/>
      <c r="T96" s="223"/>
      <c r="U96" s="223"/>
      <c r="V96" s="223"/>
      <c r="W96" s="223"/>
      <c r="X96" s="156"/>
      <c r="Y96" s="223"/>
      <c r="Z96" s="223"/>
      <c r="AA96" s="223"/>
      <c r="AB96" s="223"/>
      <c r="AC96" s="156"/>
      <c r="AD96" s="223"/>
      <c r="AE96" s="223"/>
      <c r="AF96" s="223"/>
      <c r="AG96" s="223"/>
      <c r="AH96" s="156"/>
      <c r="AI96" s="223"/>
      <c r="AJ96" s="223"/>
      <c r="AK96" s="223"/>
      <c r="AL96" s="223"/>
      <c r="AM96" s="156"/>
      <c r="AN96" s="156"/>
      <c r="AO96" s="156"/>
      <c r="AP96" s="156"/>
    </row>
    <row r="97" spans="2:42" ht="16">
      <c r="B97" s="196"/>
      <c r="C97" s="156" t="str">
        <f>TEXT(Forward_Year_2,"yyyy-mm-dd")&amp;" "&amp;C64</f>
        <v>2026-12-31 EV / Revenue:</v>
      </c>
      <c r="D97" s="156"/>
      <c r="E97" s="223"/>
      <c r="F97" s="223"/>
      <c r="G97" s="223"/>
      <c r="H97" s="222">
        <f>+G64</f>
        <v>6.6006416723369519</v>
      </c>
      <c r="I97" s="156"/>
      <c r="J97" s="223"/>
      <c r="K97" s="223"/>
      <c r="L97" s="223"/>
      <c r="M97" s="222">
        <f>+L64</f>
        <v>4.8457547169811317</v>
      </c>
      <c r="N97" s="156"/>
      <c r="O97" s="223"/>
      <c r="P97" s="223"/>
      <c r="Q97" s="223"/>
      <c r="R97" s="222">
        <f>+Q64</f>
        <v>2.1383575903614456</v>
      </c>
      <c r="S97" s="156"/>
      <c r="T97" s="223"/>
      <c r="U97" s="223"/>
      <c r="V97" s="223"/>
      <c r="W97" s="222">
        <f>+V64</f>
        <v>31.223295714285712</v>
      </c>
      <c r="X97" s="156"/>
      <c r="Y97" s="223"/>
      <c r="Z97" s="223"/>
      <c r="AA97" s="223"/>
      <c r="AB97" s="222" t="str">
        <f>+AA64</f>
        <v>N/A</v>
      </c>
      <c r="AC97" s="156"/>
      <c r="AD97" s="223"/>
      <c r="AE97" s="223"/>
      <c r="AF97" s="223"/>
      <c r="AG97" s="222">
        <f>+AF64</f>
        <v>14.894673666666666</v>
      </c>
      <c r="AH97" s="222"/>
      <c r="AI97" s="223"/>
      <c r="AJ97" s="223"/>
      <c r="AK97" s="223"/>
      <c r="AL97" s="222">
        <f>+AK64</f>
        <v>37.236684166666663</v>
      </c>
      <c r="AM97" s="222"/>
      <c r="AN97" s="222"/>
      <c r="AO97" s="222"/>
      <c r="AP97" s="222"/>
    </row>
    <row r="98" spans="2:42" ht="16">
      <c r="B98" s="196"/>
      <c r="C98" s="156" t="str">
        <f>TEXT(Forward_Year_2,"yyyy-mm-dd")&amp;" "&amp;C65</f>
        <v>2026-12-31 EV / Gross Profit:</v>
      </c>
      <c r="D98" s="156"/>
      <c r="E98" s="223"/>
      <c r="F98" s="223"/>
      <c r="G98" s="223"/>
      <c r="H98" s="222">
        <f>+G65</f>
        <v>16.501604180842378</v>
      </c>
      <c r="I98" s="156"/>
      <c r="J98" s="223"/>
      <c r="K98" s="223"/>
      <c r="L98" s="223"/>
      <c r="M98" s="222">
        <f>+L65</f>
        <v>11.853461538461538</v>
      </c>
      <c r="N98" s="156"/>
      <c r="O98" s="223"/>
      <c r="P98" s="223"/>
      <c r="Q98" s="223"/>
      <c r="R98" s="222">
        <f>+Q65</f>
        <v>12.677405714285714</v>
      </c>
      <c r="S98" s="156"/>
      <c r="T98" s="223"/>
      <c r="U98" s="223"/>
      <c r="V98" s="223"/>
      <c r="W98" s="222" t="str">
        <f>+V65</f>
        <v>N/A</v>
      </c>
      <c r="X98" s="156"/>
      <c r="Y98" s="223"/>
      <c r="Z98" s="223"/>
      <c r="AA98" s="223"/>
      <c r="AB98" s="222" t="str">
        <f>+AA65</f>
        <v>N/A</v>
      </c>
      <c r="AC98" s="156"/>
      <c r="AD98" s="223"/>
      <c r="AE98" s="223"/>
      <c r="AF98" s="223"/>
      <c r="AG98" s="222">
        <f>+AF65</f>
        <v>66.198549629629625</v>
      </c>
      <c r="AH98" s="222"/>
      <c r="AI98" s="223"/>
      <c r="AJ98" s="223"/>
      <c r="AK98" s="223"/>
      <c r="AL98" s="222" t="str">
        <f>+AK65</f>
        <v>NM</v>
      </c>
      <c r="AM98" s="222"/>
      <c r="AN98" s="222"/>
      <c r="AO98" s="222"/>
      <c r="AP98" s="222"/>
    </row>
    <row r="99" spans="2:42" ht="16">
      <c r="B99" s="196"/>
      <c r="C99" s="156" t="str">
        <f>TEXT(Forward_Year_2,"yyyy-mm-dd")&amp;" "&amp;C66</f>
        <v>2026-12-31 P / E:</v>
      </c>
      <c r="D99" s="156"/>
      <c r="E99" s="223"/>
      <c r="F99" s="223"/>
      <c r="G99" s="223"/>
      <c r="H99" s="222" t="str">
        <f>+G66</f>
        <v>NM</v>
      </c>
      <c r="I99" s="156"/>
      <c r="J99" s="223"/>
      <c r="K99" s="223"/>
      <c r="L99" s="223"/>
      <c r="M99" s="222">
        <f>+L66</f>
        <v>44.675555555555555</v>
      </c>
      <c r="N99" s="156"/>
      <c r="O99" s="223"/>
      <c r="P99" s="223"/>
      <c r="Q99" s="223"/>
      <c r="R99" s="222" t="str">
        <f>+Q66</f>
        <v>NM</v>
      </c>
      <c r="S99" s="156"/>
      <c r="T99" s="223"/>
      <c r="U99" s="223"/>
      <c r="V99" s="223"/>
      <c r="W99" s="222" t="str">
        <f>+V66</f>
        <v>NM</v>
      </c>
      <c r="X99" s="156"/>
      <c r="Y99" s="223"/>
      <c r="Z99" s="223"/>
      <c r="AA99" s="223"/>
      <c r="AB99" s="222" t="str">
        <f>+AA66</f>
        <v>N/A</v>
      </c>
      <c r="AC99" s="156"/>
      <c r="AD99" s="223"/>
      <c r="AE99" s="223"/>
      <c r="AF99" s="223"/>
      <c r="AG99" s="222" t="str">
        <f>+AF66</f>
        <v>NM</v>
      </c>
      <c r="AH99" s="222"/>
      <c r="AI99" s="223"/>
      <c r="AJ99" s="223"/>
      <c r="AK99" s="223"/>
      <c r="AL99" s="222" t="str">
        <f>+AK66</f>
        <v>NM</v>
      </c>
      <c r="AM99" s="222"/>
      <c r="AN99" s="222"/>
      <c r="AO99" s="222"/>
      <c r="AP99" s="222"/>
    </row>
    <row r="100" spans="2:42" ht="16">
      <c r="B100" s="19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</row>
    <row r="101" spans="2:42" ht="16">
      <c r="B101" s="196"/>
      <c r="C101" s="228" t="s">
        <v>278</v>
      </c>
      <c r="D101" s="156"/>
      <c r="E101" s="229"/>
      <c r="F101" s="156"/>
      <c r="G101" s="156"/>
      <c r="H101" s="230"/>
      <c r="I101" s="156"/>
      <c r="J101" s="229"/>
      <c r="K101" s="156"/>
      <c r="L101" s="156"/>
      <c r="M101" s="230"/>
      <c r="N101" s="156"/>
      <c r="O101" s="229"/>
      <c r="P101" s="156"/>
      <c r="Q101" s="156"/>
      <c r="R101" s="230"/>
      <c r="S101" s="156"/>
      <c r="T101" s="229"/>
      <c r="U101" s="156"/>
      <c r="V101" s="156"/>
      <c r="W101" s="230"/>
      <c r="X101" s="156"/>
      <c r="Y101" s="229"/>
      <c r="Z101" s="156"/>
      <c r="AA101" s="156"/>
      <c r="AB101" s="230"/>
      <c r="AC101" s="156"/>
      <c r="AD101" s="229"/>
      <c r="AE101" s="156"/>
      <c r="AF101" s="156"/>
      <c r="AG101" s="230"/>
      <c r="AH101" s="231"/>
      <c r="AI101" s="229"/>
      <c r="AJ101" s="156"/>
      <c r="AK101" s="156"/>
      <c r="AL101" s="230"/>
      <c r="AM101" s="231"/>
      <c r="AN101" s="231"/>
      <c r="AO101" s="231"/>
      <c r="AP101" s="231"/>
    </row>
  </sheetData>
  <mergeCells count="2">
    <mergeCell ref="AD5:AG5"/>
    <mergeCell ref="AI5:AL5"/>
  </mergeCells>
  <hyperlinks>
    <hyperlink ref="G8" r:id="rId1" tooltip="Revenue_x000a_ FY: 2024_x000a_ Period End Date: Jun-30-2024_x000a_ Filing Date: Aug-29-2024_x000a_ Period Type: Annual_x000a_ Value: 14,905.4, Currency: USD, Millions" display="javascript:void(0);" xr:uid="{EEF24C9B-DE75-4629-82E7-7D74F603E08C}"/>
    <hyperlink ref="G11" r:id="rId2" tooltip="Revenue_x000a_ FY: 2024_x000a_ Period End Date: Jun-30-2024_x000a_ Filing Date: Aug-29-2024_x000a_ Period Type: Annual_x000a_ Value: 14,905.4, Currency: USD, Millions" display="javascript:void(0);" xr:uid="{2A1FFDAA-55A6-4B7A-B689-0CDCB4D79790}"/>
  </hyperlinks>
  <pageMargins left="0.7" right="0.7" top="0.75" bottom="0.75" header="0.3" footer="0.3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2706-DAA7-4914-A41E-93FC07A1F90D}">
  <dimension ref="B2:P27"/>
  <sheetViews>
    <sheetView showGridLines="0" topLeftCell="A13" workbookViewId="0">
      <selection activeCell="B13" sqref="B13"/>
    </sheetView>
  </sheetViews>
  <sheetFormatPr defaultRowHeight="14.5"/>
  <cols>
    <col min="2" max="2" width="33.7265625" customWidth="1"/>
    <col min="3" max="3" width="44" customWidth="1"/>
    <col min="4" max="4" width="12.26953125" bestFit="1" customWidth="1"/>
    <col min="5" max="5" width="15.453125" bestFit="1" customWidth="1"/>
    <col min="6" max="7" width="14.26953125" bestFit="1" customWidth="1"/>
    <col min="8" max="8" width="9.7265625" bestFit="1" customWidth="1"/>
    <col min="9" max="9" width="7.7265625" bestFit="1" customWidth="1"/>
    <col min="10" max="13" width="10" bestFit="1" customWidth="1"/>
    <col min="14" max="15" width="8.81640625" bestFit="1" customWidth="1"/>
    <col min="16" max="16" width="8.54296875" bestFit="1" customWidth="1"/>
  </cols>
  <sheetData>
    <row r="2" spans="2:16" ht="21">
      <c r="B2" s="234" t="s">
        <v>357</v>
      </c>
      <c r="C2" s="235"/>
      <c r="D2" s="235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</row>
    <row r="3" spans="2:16" ht="18.5">
      <c r="B3" s="237" t="s">
        <v>358</v>
      </c>
      <c r="C3" s="235"/>
      <c r="D3" s="235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</row>
    <row r="4" spans="2:16" ht="16">
      <c r="B4" s="238" t="s">
        <v>294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</row>
    <row r="5" spans="2:16" ht="16">
      <c r="B5" s="236"/>
      <c r="C5" s="236"/>
      <c r="D5" s="236"/>
      <c r="E5" s="236"/>
      <c r="F5" s="239"/>
      <c r="G5" s="236"/>
      <c r="H5" s="236"/>
      <c r="I5" s="236"/>
      <c r="J5" s="236"/>
      <c r="K5" s="236"/>
      <c r="L5" s="236"/>
      <c r="M5" s="236"/>
      <c r="N5" s="236"/>
      <c r="O5" s="236"/>
      <c r="P5" s="236"/>
    </row>
    <row r="6" spans="2:16" ht="16">
      <c r="B6" s="240" t="str">
        <f>Company_Name&amp;" - Comparable M&amp;A Transactions"</f>
        <v>Ouster, Inc. - Comparable M&amp;A Transactions</v>
      </c>
      <c r="C6" s="240"/>
      <c r="D6" s="240"/>
      <c r="E6" s="241"/>
      <c r="F6" s="242" t="s">
        <v>295</v>
      </c>
      <c r="G6" s="243"/>
      <c r="H6" s="242" t="s">
        <v>296</v>
      </c>
      <c r="I6" s="242"/>
      <c r="J6" s="244"/>
      <c r="K6" s="242" t="s">
        <v>297</v>
      </c>
      <c r="L6" s="242"/>
      <c r="M6" s="242"/>
      <c r="N6" s="242" t="s">
        <v>298</v>
      </c>
      <c r="O6" s="242"/>
      <c r="P6" s="242"/>
    </row>
    <row r="7" spans="2:16" ht="16">
      <c r="B7" s="240"/>
      <c r="C7" s="240"/>
      <c r="D7" s="240"/>
      <c r="E7" s="241" t="s">
        <v>299</v>
      </c>
      <c r="F7" s="242"/>
      <c r="G7" s="243"/>
      <c r="H7" s="241" t="s">
        <v>300</v>
      </c>
      <c r="I7" s="241" t="s">
        <v>300</v>
      </c>
      <c r="J7" s="241"/>
      <c r="K7" s="242"/>
      <c r="L7" s="242"/>
      <c r="M7" s="242"/>
      <c r="N7" s="241"/>
      <c r="O7" s="241"/>
      <c r="P7" s="241"/>
    </row>
    <row r="8" spans="2:16" ht="16">
      <c r="B8" s="245"/>
      <c r="C8" s="245"/>
      <c r="D8" s="241"/>
      <c r="E8" s="241" t="s">
        <v>301</v>
      </c>
      <c r="F8" s="241" t="s">
        <v>240</v>
      </c>
      <c r="G8" s="241" t="s">
        <v>240</v>
      </c>
      <c r="H8" s="241" t="s">
        <v>240</v>
      </c>
      <c r="I8" s="241" t="s">
        <v>240</v>
      </c>
      <c r="J8" s="241" t="s">
        <v>302</v>
      </c>
      <c r="K8" s="241" t="s">
        <v>303</v>
      </c>
      <c r="L8" s="241" t="s">
        <v>304</v>
      </c>
      <c r="M8" s="241" t="s">
        <v>305</v>
      </c>
      <c r="N8" s="241" t="s">
        <v>303</v>
      </c>
      <c r="O8" s="241" t="s">
        <v>304</v>
      </c>
      <c r="P8" s="241" t="s">
        <v>305</v>
      </c>
    </row>
    <row r="9" spans="2:16" ht="16">
      <c r="B9" s="246" t="s">
        <v>306</v>
      </c>
      <c r="C9" s="246" t="s">
        <v>307</v>
      </c>
      <c r="D9" s="246" t="s">
        <v>308</v>
      </c>
      <c r="E9" s="246" t="s">
        <v>309</v>
      </c>
      <c r="F9" s="246" t="s">
        <v>0</v>
      </c>
      <c r="G9" s="246" t="s">
        <v>230</v>
      </c>
      <c r="H9" s="246" t="s">
        <v>0</v>
      </c>
      <c r="I9" s="246" t="s">
        <v>230</v>
      </c>
      <c r="J9" s="246" t="s">
        <v>310</v>
      </c>
      <c r="K9" s="246" t="s">
        <v>311</v>
      </c>
      <c r="L9" s="246" t="s">
        <v>311</v>
      </c>
      <c r="M9" s="246" t="s">
        <v>311</v>
      </c>
      <c r="N9" s="246" t="s">
        <v>311</v>
      </c>
      <c r="O9" s="246" t="s">
        <v>311</v>
      </c>
      <c r="P9" s="246" t="s">
        <v>311</v>
      </c>
    </row>
    <row r="10" spans="2:16" ht="16">
      <c r="B10" s="247"/>
      <c r="C10" s="248"/>
      <c r="D10" s="249"/>
      <c r="E10" s="250"/>
      <c r="F10" s="251"/>
      <c r="G10" s="251"/>
      <c r="H10" s="252"/>
      <c r="I10" s="252"/>
      <c r="J10" s="253"/>
      <c r="K10" s="253"/>
      <c r="L10" s="253"/>
      <c r="M10" s="253"/>
      <c r="N10" s="254"/>
      <c r="O10" s="254"/>
      <c r="P10" s="254"/>
    </row>
    <row r="11" spans="2:16" ht="16">
      <c r="B11" s="255" t="s">
        <v>317</v>
      </c>
      <c r="C11" s="256" t="s">
        <v>318</v>
      </c>
      <c r="D11" s="249">
        <v>45495</v>
      </c>
      <c r="E11" s="257">
        <v>313.42</v>
      </c>
      <c r="F11" s="251">
        <v>135.25</v>
      </c>
      <c r="G11" s="258">
        <v>25.06</v>
      </c>
      <c r="H11" s="252">
        <f t="shared" ref="H11:I13" si="0">IFERROR(IF(OR(+$E11/F11&lt;0,+$E11/F11&gt;=100),"NM",+$E11/F11),"N/A")</f>
        <v>2.3173382624768948</v>
      </c>
      <c r="I11" s="252">
        <f t="shared" si="0"/>
        <v>12.506783719074223</v>
      </c>
      <c r="J11" s="253">
        <v>52.12</v>
      </c>
      <c r="K11" s="253">
        <v>34.39</v>
      </c>
      <c r="L11" s="253">
        <v>36.46</v>
      </c>
      <c r="M11" s="253">
        <v>38.53</v>
      </c>
      <c r="N11" s="254">
        <f t="shared" ref="N11:P13" si="1">IFERROR($J11/K11-1,"N/A")</f>
        <v>0.51555684792090717</v>
      </c>
      <c r="O11" s="254">
        <f t="shared" si="1"/>
        <v>0.42951179374657156</v>
      </c>
      <c r="P11" s="254">
        <f t="shared" si="1"/>
        <v>0.3527121723332467</v>
      </c>
    </row>
    <row r="12" spans="2:16" ht="16">
      <c r="B12" s="238" t="s">
        <v>319</v>
      </c>
      <c r="C12" s="256" t="s">
        <v>320</v>
      </c>
      <c r="D12" s="249">
        <v>44894</v>
      </c>
      <c r="E12" s="257">
        <v>1872.19</v>
      </c>
      <c r="F12" s="257">
        <v>552.46</v>
      </c>
      <c r="G12" s="257">
        <v>36</v>
      </c>
      <c r="H12" s="252">
        <f t="shared" si="0"/>
        <v>3.3888245302827351</v>
      </c>
      <c r="I12" s="252">
        <f t="shared" si="0"/>
        <v>52.005277777777778</v>
      </c>
      <c r="J12" s="253">
        <v>115.81</v>
      </c>
      <c r="K12" s="253">
        <v>132.15</v>
      </c>
      <c r="L12" s="253">
        <v>122.22</v>
      </c>
      <c r="M12" s="253">
        <v>118.71</v>
      </c>
      <c r="N12" s="254">
        <f t="shared" si="1"/>
        <v>-0.12364737041241014</v>
      </c>
      <c r="O12" s="254">
        <f t="shared" si="1"/>
        <v>-5.2446408116511134E-2</v>
      </c>
      <c r="P12" s="254">
        <f t="shared" si="1"/>
        <v>-2.4429281442169937E-2</v>
      </c>
    </row>
    <row r="13" spans="2:16" ht="16">
      <c r="B13" s="238" t="s">
        <v>322</v>
      </c>
      <c r="C13" s="256" t="s">
        <v>321</v>
      </c>
      <c r="D13" s="249">
        <v>43677</v>
      </c>
      <c r="E13" s="257">
        <v>51.7</v>
      </c>
      <c r="F13" s="257">
        <v>159.74</v>
      </c>
      <c r="G13" s="257">
        <v>4.96</v>
      </c>
      <c r="H13" s="252">
        <f t="shared" si="0"/>
        <v>0.32365093276574436</v>
      </c>
      <c r="I13" s="252">
        <f t="shared" si="0"/>
        <v>10.423387096774194</v>
      </c>
      <c r="J13" s="253">
        <v>10.06</v>
      </c>
      <c r="K13" s="253">
        <v>11.26</v>
      </c>
      <c r="L13" s="253">
        <v>11.73</v>
      </c>
      <c r="M13" s="253">
        <v>11.11</v>
      </c>
      <c r="N13" s="254">
        <f t="shared" si="1"/>
        <v>-0.10657193605683835</v>
      </c>
      <c r="O13" s="254">
        <f t="shared" si="1"/>
        <v>-0.14236999147485074</v>
      </c>
      <c r="P13" s="254">
        <f t="shared" si="1"/>
        <v>-9.4509450945094442E-2</v>
      </c>
    </row>
    <row r="14" spans="2:16" ht="16">
      <c r="B14" s="255"/>
      <c r="C14" s="256"/>
      <c r="D14" s="249"/>
      <c r="E14" s="257"/>
      <c r="F14" s="257"/>
      <c r="G14" s="257"/>
      <c r="H14" s="252"/>
      <c r="I14" s="252"/>
      <c r="J14" s="253"/>
      <c r="K14" s="253"/>
      <c r="L14" s="253"/>
      <c r="M14" s="253"/>
      <c r="N14" s="254"/>
      <c r="O14" s="254"/>
      <c r="P14" s="254"/>
    </row>
    <row r="15" spans="2:16" ht="16">
      <c r="B15" s="255"/>
      <c r="C15" s="256"/>
      <c r="D15" s="249"/>
      <c r="E15" s="257"/>
      <c r="F15" s="257"/>
      <c r="G15" s="250"/>
      <c r="H15" s="252"/>
      <c r="I15" s="252"/>
      <c r="J15" s="253"/>
      <c r="K15" s="259"/>
      <c r="L15" s="259"/>
      <c r="M15" s="259"/>
      <c r="N15" s="254"/>
      <c r="O15" s="254"/>
      <c r="P15" s="254"/>
    </row>
    <row r="16" spans="2:16" ht="16">
      <c r="B16" s="255"/>
      <c r="C16" s="255"/>
      <c r="D16" s="249"/>
      <c r="E16" s="250"/>
      <c r="F16" s="250"/>
      <c r="G16" s="250"/>
      <c r="H16" s="252"/>
      <c r="I16" s="252"/>
      <c r="J16" s="259"/>
      <c r="K16" s="259"/>
      <c r="L16" s="259"/>
      <c r="M16" s="259"/>
      <c r="N16" s="254"/>
      <c r="O16" s="254"/>
      <c r="P16" s="254"/>
    </row>
    <row r="17" spans="2:16" ht="16">
      <c r="B17" s="260"/>
      <c r="C17" s="260"/>
      <c r="D17" s="261"/>
      <c r="E17" s="262"/>
      <c r="F17" s="262"/>
      <c r="G17" s="262"/>
      <c r="H17" s="263"/>
      <c r="I17" s="263"/>
      <c r="J17" s="263"/>
      <c r="K17" s="263"/>
      <c r="L17" s="263"/>
      <c r="M17" s="263"/>
      <c r="N17" s="263"/>
      <c r="O17" s="263"/>
      <c r="P17" s="263"/>
    </row>
    <row r="18" spans="2:16" ht="16">
      <c r="B18" s="264" t="s">
        <v>312</v>
      </c>
      <c r="C18" s="265"/>
      <c r="D18" s="266"/>
      <c r="E18" s="267">
        <f>MAX(E11:E16)</f>
        <v>1872.19</v>
      </c>
      <c r="F18" s="267">
        <f t="shared" ref="F18:P18" si="2">MAX(F11:F16)</f>
        <v>552.46</v>
      </c>
      <c r="G18" s="267">
        <f t="shared" si="2"/>
        <v>36</v>
      </c>
      <c r="H18" s="268">
        <f t="shared" si="2"/>
        <v>3.3888245302827351</v>
      </c>
      <c r="I18" s="268">
        <f t="shared" si="2"/>
        <v>52.005277777777778</v>
      </c>
      <c r="J18" s="269"/>
      <c r="K18" s="269"/>
      <c r="L18" s="269"/>
      <c r="M18" s="269"/>
      <c r="N18" s="270">
        <f t="shared" si="2"/>
        <v>0.51555684792090717</v>
      </c>
      <c r="O18" s="270">
        <f t="shared" si="2"/>
        <v>0.42951179374657156</v>
      </c>
      <c r="P18" s="271">
        <f t="shared" si="2"/>
        <v>0.3527121723332467</v>
      </c>
    </row>
    <row r="19" spans="2:16" ht="16">
      <c r="B19" s="272" t="s">
        <v>313</v>
      </c>
      <c r="C19" s="273"/>
      <c r="D19" s="274"/>
      <c r="E19" s="275">
        <f>QUARTILE(E11:E16,3)</f>
        <v>1092.8050000000001</v>
      </c>
      <c r="F19" s="275">
        <f t="shared" ref="F19:P19" si="3">QUARTILE(F11:F16,3)</f>
        <v>356.1</v>
      </c>
      <c r="G19" s="275">
        <f t="shared" si="3"/>
        <v>30.53</v>
      </c>
      <c r="H19" s="276">
        <f t="shared" si="3"/>
        <v>2.8530813963798147</v>
      </c>
      <c r="I19" s="276">
        <f t="shared" si="3"/>
        <v>32.256030748425999</v>
      </c>
      <c r="J19" s="277"/>
      <c r="K19" s="277"/>
      <c r="L19" s="277"/>
      <c r="M19" s="277"/>
      <c r="N19" s="278">
        <f t="shared" si="3"/>
        <v>0.20449245593203441</v>
      </c>
      <c r="O19" s="278">
        <f t="shared" si="3"/>
        <v>0.18853269281503021</v>
      </c>
      <c r="P19" s="279">
        <f t="shared" si="3"/>
        <v>0.16414144544553838</v>
      </c>
    </row>
    <row r="20" spans="2:16" ht="16">
      <c r="B20" s="280" t="s">
        <v>314</v>
      </c>
      <c r="C20" s="281"/>
      <c r="D20" s="282"/>
      <c r="E20" s="283">
        <f>MEDIAN(E11:E16)</f>
        <v>313.42</v>
      </c>
      <c r="F20" s="283">
        <f t="shared" ref="F20:P20" si="4">MEDIAN(F11:F16)</f>
        <v>159.74</v>
      </c>
      <c r="G20" s="283">
        <f t="shared" si="4"/>
        <v>25.06</v>
      </c>
      <c r="H20" s="284">
        <f t="shared" si="4"/>
        <v>2.3173382624768948</v>
      </c>
      <c r="I20" s="284">
        <f t="shared" si="4"/>
        <v>12.506783719074223</v>
      </c>
      <c r="J20" s="284"/>
      <c r="K20" s="284"/>
      <c r="L20" s="284"/>
      <c r="M20" s="284"/>
      <c r="N20" s="285">
        <f t="shared" si="4"/>
        <v>-0.10657193605683835</v>
      </c>
      <c r="O20" s="285">
        <f t="shared" si="4"/>
        <v>-5.2446408116511134E-2</v>
      </c>
      <c r="P20" s="286">
        <f t="shared" si="4"/>
        <v>-2.4429281442169937E-2</v>
      </c>
    </row>
    <row r="21" spans="2:16" ht="16">
      <c r="B21" s="272" t="s">
        <v>315</v>
      </c>
      <c r="C21" s="273"/>
      <c r="D21" s="274"/>
      <c r="E21" s="275">
        <f>QUARTILE(E11:E16,1)</f>
        <v>182.56</v>
      </c>
      <c r="F21" s="275">
        <f t="shared" ref="F21:P21" si="5">QUARTILE(F11:F16,1)</f>
        <v>147.495</v>
      </c>
      <c r="G21" s="275">
        <f t="shared" si="5"/>
        <v>15.009999999999998</v>
      </c>
      <c r="H21" s="276">
        <f t="shared" si="5"/>
        <v>1.3204945976213196</v>
      </c>
      <c r="I21" s="276">
        <f t="shared" si="5"/>
        <v>11.465085407924208</v>
      </c>
      <c r="J21" s="277"/>
      <c r="K21" s="277"/>
      <c r="L21" s="277"/>
      <c r="M21" s="277"/>
      <c r="N21" s="278">
        <f t="shared" si="5"/>
        <v>-0.11510965323462424</v>
      </c>
      <c r="O21" s="278">
        <f t="shared" si="5"/>
        <v>-9.7408199795680939E-2</v>
      </c>
      <c r="P21" s="279">
        <f t="shared" si="5"/>
        <v>-5.9469366193632189E-2</v>
      </c>
    </row>
    <row r="22" spans="2:16" ht="16">
      <c r="B22" s="287" t="s">
        <v>316</v>
      </c>
      <c r="C22" s="288"/>
      <c r="D22" s="289"/>
      <c r="E22" s="290">
        <f>MIN(E11:E16)</f>
        <v>51.7</v>
      </c>
      <c r="F22" s="290">
        <f t="shared" ref="F22:P22" si="6">MIN(F11:F16)</f>
        <v>135.25</v>
      </c>
      <c r="G22" s="290">
        <f t="shared" si="6"/>
        <v>4.96</v>
      </c>
      <c r="H22" s="291">
        <f t="shared" si="6"/>
        <v>0.32365093276574436</v>
      </c>
      <c r="I22" s="291">
        <f t="shared" si="6"/>
        <v>10.423387096774194</v>
      </c>
      <c r="J22" s="292"/>
      <c r="K22" s="292"/>
      <c r="L22" s="292"/>
      <c r="M22" s="292"/>
      <c r="N22" s="293">
        <f t="shared" si="6"/>
        <v>-0.12364737041241014</v>
      </c>
      <c r="O22" s="293">
        <f t="shared" si="6"/>
        <v>-0.14236999147485074</v>
      </c>
      <c r="P22" s="294">
        <f t="shared" si="6"/>
        <v>-9.4509450945094442E-2</v>
      </c>
    </row>
    <row r="25" spans="2:16">
      <c r="E25" s="295"/>
    </row>
    <row r="26" spans="2:16">
      <c r="E26" s="295"/>
    </row>
    <row r="27" spans="2:16">
      <c r="E2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885D-FA4D-481A-A843-A4BBE33CC214}">
  <dimension ref="B2:P63"/>
  <sheetViews>
    <sheetView showGridLines="0" topLeftCell="B43" workbookViewId="0">
      <selection activeCell="F63" sqref="D53:F63"/>
    </sheetView>
  </sheetViews>
  <sheetFormatPr defaultRowHeight="14.5"/>
  <cols>
    <col min="2" max="2" width="27.6328125" bestFit="1" customWidth="1"/>
    <col min="3" max="3" width="4.36328125" customWidth="1"/>
    <col min="4" max="4" width="11" customWidth="1"/>
    <col min="5" max="5" width="15.36328125" bestFit="1" customWidth="1"/>
    <col min="6" max="15" width="9.1796875" bestFit="1" customWidth="1"/>
    <col min="16" max="16" width="9.81640625" bestFit="1" customWidth="1"/>
  </cols>
  <sheetData>
    <row r="2" spans="2:16" ht="16">
      <c r="B2" s="330" t="s">
        <v>398</v>
      </c>
      <c r="C2" s="330"/>
      <c r="D2" s="330"/>
      <c r="E2" s="330"/>
      <c r="F2" s="331" t="s">
        <v>368</v>
      </c>
      <c r="G2" s="332"/>
      <c r="H2" s="331" t="s">
        <v>399</v>
      </c>
      <c r="I2" s="332"/>
      <c r="J2" s="332"/>
      <c r="K2" s="331" t="s">
        <v>399</v>
      </c>
      <c r="L2" s="332"/>
      <c r="M2" s="332"/>
      <c r="N2" s="333"/>
      <c r="O2" s="333"/>
      <c r="P2" s="333"/>
    </row>
    <row r="3" spans="2:16" ht="16">
      <c r="B3" s="333"/>
      <c r="C3" s="333"/>
      <c r="D3" s="334"/>
      <c r="E3" s="334"/>
      <c r="F3" s="334" t="s">
        <v>372</v>
      </c>
      <c r="G3" s="334" t="s">
        <v>301</v>
      </c>
      <c r="H3" s="331" t="s">
        <v>0</v>
      </c>
      <c r="I3" s="332"/>
      <c r="J3" s="332"/>
      <c r="K3" s="331" t="s">
        <v>230</v>
      </c>
      <c r="L3" s="335"/>
      <c r="M3" s="335"/>
      <c r="N3" s="331" t="s">
        <v>400</v>
      </c>
      <c r="O3" s="331"/>
      <c r="P3" s="331"/>
    </row>
    <row r="4" spans="2:16" ht="16">
      <c r="B4" s="336" t="s">
        <v>381</v>
      </c>
      <c r="C4" s="336" t="s">
        <v>382</v>
      </c>
      <c r="D4" s="330" t="s">
        <v>401</v>
      </c>
      <c r="E4" s="337"/>
      <c r="F4" s="337" t="s">
        <v>309</v>
      </c>
      <c r="G4" s="337" t="s">
        <v>309</v>
      </c>
      <c r="H4" s="385" t="s">
        <v>240</v>
      </c>
      <c r="I4" s="303">
        <v>46022</v>
      </c>
      <c r="J4" s="303">
        <v>46387</v>
      </c>
      <c r="K4" s="385" t="s">
        <v>240</v>
      </c>
      <c r="L4" s="303">
        <v>46022</v>
      </c>
      <c r="M4" s="303">
        <v>46387</v>
      </c>
      <c r="N4" s="385" t="s">
        <v>240</v>
      </c>
      <c r="O4" s="303">
        <v>46022</v>
      </c>
      <c r="P4" s="303">
        <v>46387</v>
      </c>
    </row>
    <row r="5" spans="2:16" ht="16">
      <c r="B5" s="238" t="s">
        <v>285</v>
      </c>
      <c r="C5" s="166" t="s">
        <v>279</v>
      </c>
      <c r="D5" s="462">
        <v>25.13</v>
      </c>
      <c r="E5" s="238"/>
      <c r="F5" s="386">
        <v>4020.7999999999997</v>
      </c>
      <c r="G5" s="386">
        <v>3081.8999999999996</v>
      </c>
      <c r="H5" s="387">
        <v>8.0049350649350632</v>
      </c>
      <c r="I5" s="387">
        <v>6.9256179775280895</v>
      </c>
      <c r="J5" s="387">
        <v>4.8457547169811317</v>
      </c>
      <c r="K5" s="387">
        <v>19.322257053291533</v>
      </c>
      <c r="L5" s="387">
        <v>16.480748663101604</v>
      </c>
      <c r="M5" s="387">
        <v>11.853461538461538</v>
      </c>
      <c r="N5" s="387">
        <v>66.569536423841058</v>
      </c>
      <c r="O5" s="387">
        <v>70.540350877192978</v>
      </c>
      <c r="P5" s="387">
        <v>44.675555555555555</v>
      </c>
    </row>
    <row r="6" spans="2:16" ht="16">
      <c r="B6" s="238" t="s">
        <v>286</v>
      </c>
      <c r="C6" s="221" t="s">
        <v>280</v>
      </c>
      <c r="D6" s="462">
        <v>1.04</v>
      </c>
      <c r="E6" s="238"/>
      <c r="F6" s="386">
        <v>216.88368</v>
      </c>
      <c r="G6" s="386">
        <v>177.48367999999999</v>
      </c>
      <c r="H6" s="387">
        <v>3.6638388175550145</v>
      </c>
      <c r="I6" s="387">
        <v>3.0600634482758617</v>
      </c>
      <c r="J6" s="387">
        <v>2.1383575903614456</v>
      </c>
      <c r="K6" s="387">
        <v>15.597476052377186</v>
      </c>
      <c r="L6" s="387">
        <v>13.652590769230768</v>
      </c>
      <c r="M6" s="387">
        <v>12.677405714285714</v>
      </c>
      <c r="N6" s="387" t="s">
        <v>461</v>
      </c>
      <c r="O6" s="387" t="s">
        <v>461</v>
      </c>
      <c r="P6" s="387" t="s">
        <v>461</v>
      </c>
    </row>
    <row r="7" spans="2:16" ht="16">
      <c r="B7" s="238" t="s">
        <v>287</v>
      </c>
      <c r="C7" s="405" t="s">
        <v>281</v>
      </c>
      <c r="D7" s="462">
        <v>14.34</v>
      </c>
      <c r="E7" s="238"/>
      <c r="F7" s="386">
        <v>916.92827999999997</v>
      </c>
      <c r="G7" s="386">
        <v>874.25227999999993</v>
      </c>
      <c r="H7" s="387">
        <v>57.691189124983495</v>
      </c>
      <c r="I7" s="387">
        <v>51.426604705882347</v>
      </c>
      <c r="J7" s="387">
        <v>31.223295714285712</v>
      </c>
      <c r="K7" s="387" t="s">
        <v>461</v>
      </c>
      <c r="L7" s="387" t="s">
        <v>461</v>
      </c>
      <c r="M7" s="387" t="s">
        <v>236</v>
      </c>
      <c r="N7" s="387" t="s">
        <v>461</v>
      </c>
      <c r="O7" s="387" t="s">
        <v>461</v>
      </c>
      <c r="P7" s="387" t="s">
        <v>461</v>
      </c>
    </row>
    <row r="8" spans="2:16" ht="16">
      <c r="B8" s="238" t="s">
        <v>288</v>
      </c>
      <c r="C8" s="406" t="s">
        <v>284</v>
      </c>
      <c r="D8" s="462">
        <v>0.08</v>
      </c>
      <c r="E8" s="238"/>
      <c r="F8" s="386">
        <v>11.193109</v>
      </c>
      <c r="G8" s="386">
        <v>453.89310899999998</v>
      </c>
      <c r="H8" s="387">
        <v>5.9904066121156117</v>
      </c>
      <c r="I8" s="387" t="s">
        <v>236</v>
      </c>
      <c r="J8" s="387" t="s">
        <v>236</v>
      </c>
      <c r="K8" s="387" t="s">
        <v>461</v>
      </c>
      <c r="L8" s="387" t="s">
        <v>236</v>
      </c>
      <c r="M8" s="387" t="s">
        <v>236</v>
      </c>
      <c r="N8" s="387" t="s">
        <v>461</v>
      </c>
      <c r="O8" s="387" t="s">
        <v>236</v>
      </c>
      <c r="P8" s="387" t="s">
        <v>236</v>
      </c>
    </row>
    <row r="9" spans="2:16" ht="16">
      <c r="B9" s="238" t="s">
        <v>289</v>
      </c>
      <c r="C9" s="406" t="s">
        <v>282</v>
      </c>
      <c r="D9" s="462">
        <v>0.85</v>
      </c>
      <c r="E9" s="238"/>
      <c r="F9" s="386">
        <v>276.42010499999998</v>
      </c>
      <c r="G9" s="386">
        <v>223.42010499999998</v>
      </c>
      <c r="H9" s="387">
        <v>84.757247723823966</v>
      </c>
      <c r="I9" s="387">
        <v>74.473368333333326</v>
      </c>
      <c r="J9" s="387">
        <v>14.894673666666666</v>
      </c>
      <c r="K9" s="387" t="s">
        <v>461</v>
      </c>
      <c r="L9" s="387" t="s">
        <v>461</v>
      </c>
      <c r="M9" s="387">
        <v>66.198549629629625</v>
      </c>
      <c r="N9" s="387" t="s">
        <v>461</v>
      </c>
      <c r="O9" s="387" t="s">
        <v>461</v>
      </c>
      <c r="P9" s="387" t="s">
        <v>461</v>
      </c>
    </row>
    <row r="10" spans="2:16" ht="16">
      <c r="B10" s="238" t="s">
        <v>290</v>
      </c>
      <c r="C10" s="405" t="s">
        <v>283</v>
      </c>
      <c r="D10" s="462">
        <v>1.85</v>
      </c>
      <c r="E10" s="238"/>
      <c r="F10" s="386">
        <v>83.35175000000001</v>
      </c>
      <c r="G10" s="386">
        <v>-0.15724999999999056</v>
      </c>
      <c r="H10" s="387" t="s">
        <v>461</v>
      </c>
      <c r="I10" s="387" t="s">
        <v>236</v>
      </c>
      <c r="J10" s="387">
        <v>37.236684166666663</v>
      </c>
      <c r="K10" s="387" t="s">
        <v>461</v>
      </c>
      <c r="L10" s="387">
        <v>7.447336833333333</v>
      </c>
      <c r="M10" s="387" t="s">
        <v>461</v>
      </c>
      <c r="N10" s="387" t="s">
        <v>461</v>
      </c>
      <c r="O10" s="387" t="s">
        <v>461</v>
      </c>
      <c r="P10" s="387" t="s">
        <v>461</v>
      </c>
    </row>
    <row r="11" spans="2:16" ht="16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2:16" ht="16">
      <c r="B12" s="342" t="s">
        <v>312</v>
      </c>
      <c r="C12" s="343"/>
      <c r="D12" s="344"/>
      <c r="E12" s="344"/>
      <c r="F12" s="345">
        <v>4020.7999999999997</v>
      </c>
      <c r="G12" s="345">
        <v>3081.8999999999996</v>
      </c>
      <c r="H12" s="389">
        <v>84.757247723823966</v>
      </c>
      <c r="I12" s="389">
        <v>74.473368333333326</v>
      </c>
      <c r="J12" s="389">
        <v>37.236684166666663</v>
      </c>
      <c r="K12" s="389">
        <v>19.322257053291533</v>
      </c>
      <c r="L12" s="389">
        <v>16.480748663101604</v>
      </c>
      <c r="M12" s="389">
        <v>66.198549629629625</v>
      </c>
      <c r="N12" s="389">
        <v>66.569536423841058</v>
      </c>
      <c r="O12" s="389">
        <v>70.540350877192978</v>
      </c>
      <c r="P12" s="390">
        <v>44.675555555555555</v>
      </c>
    </row>
    <row r="13" spans="2:16" ht="16">
      <c r="B13" s="348" t="s">
        <v>313</v>
      </c>
      <c r="C13" s="21"/>
      <c r="D13" s="349"/>
      <c r="E13" s="349"/>
      <c r="F13" s="350">
        <v>756.80123624999987</v>
      </c>
      <c r="G13" s="350">
        <v>769.16248724999991</v>
      </c>
      <c r="H13" s="112">
        <v>57.691189124983495</v>
      </c>
      <c r="I13" s="112">
        <v>57.188295612745094</v>
      </c>
      <c r="J13" s="112">
        <v>31.223295714285712</v>
      </c>
      <c r="K13" s="112">
        <v>18.391061803062946</v>
      </c>
      <c r="L13" s="112">
        <v>15.066669716166185</v>
      </c>
      <c r="M13" s="112">
        <v>39.437977671957668</v>
      </c>
      <c r="N13" s="112">
        <v>66.569536423841058</v>
      </c>
      <c r="O13" s="112">
        <v>70.540350877192978</v>
      </c>
      <c r="P13" s="391">
        <v>44.675555555555555</v>
      </c>
    </row>
    <row r="14" spans="2:16" ht="16">
      <c r="B14" s="392" t="s">
        <v>314</v>
      </c>
      <c r="C14" s="393"/>
      <c r="D14" s="394"/>
      <c r="E14" s="394"/>
      <c r="F14" s="395">
        <v>246.65189249999997</v>
      </c>
      <c r="G14" s="395">
        <v>338.65660700000001</v>
      </c>
      <c r="H14" s="397">
        <v>8.0049350649350632</v>
      </c>
      <c r="I14" s="397">
        <v>29.176111341705216</v>
      </c>
      <c r="J14" s="397">
        <v>14.894673666666666</v>
      </c>
      <c r="K14" s="397">
        <v>17.45986655283436</v>
      </c>
      <c r="L14" s="397">
        <v>13.652590769230768</v>
      </c>
      <c r="M14" s="397">
        <v>12.677405714285714</v>
      </c>
      <c r="N14" s="397">
        <v>66.569536423841058</v>
      </c>
      <c r="O14" s="397">
        <v>70.540350877192978</v>
      </c>
      <c r="P14" s="398">
        <v>44.675555555555555</v>
      </c>
    </row>
    <row r="15" spans="2:16" ht="16">
      <c r="B15" s="348" t="s">
        <v>315</v>
      </c>
      <c r="C15" s="145"/>
      <c r="D15" s="349"/>
      <c r="E15" s="349"/>
      <c r="F15" s="350">
        <v>116.73473250000001</v>
      </c>
      <c r="G15" s="350">
        <v>188.96778624999999</v>
      </c>
      <c r="H15" s="112">
        <v>5.9904066121156117</v>
      </c>
      <c r="I15" s="112">
        <v>5.9592293452150322</v>
      </c>
      <c r="J15" s="112">
        <v>4.8457547169811317</v>
      </c>
      <c r="K15" s="112">
        <v>16.528671302605773</v>
      </c>
      <c r="L15" s="112">
        <v>10.54996380128205</v>
      </c>
      <c r="M15" s="112">
        <v>12.265433626373625</v>
      </c>
      <c r="N15" s="112">
        <v>66.569536423841058</v>
      </c>
      <c r="O15" s="112">
        <v>70.540350877192978</v>
      </c>
      <c r="P15" s="391">
        <v>44.675555555555555</v>
      </c>
    </row>
    <row r="16" spans="2:16" ht="16">
      <c r="B16" s="360" t="s">
        <v>316</v>
      </c>
      <c r="C16" s="361"/>
      <c r="D16" s="362"/>
      <c r="E16" s="362"/>
      <c r="F16" s="363">
        <v>11.193109</v>
      </c>
      <c r="G16" s="363">
        <v>-0.15724999999999056</v>
      </c>
      <c r="H16" s="399">
        <v>3.6638388175550145</v>
      </c>
      <c r="I16" s="399">
        <v>3.0600634482758617</v>
      </c>
      <c r="J16" s="399">
        <v>2.1383575903614456</v>
      </c>
      <c r="K16" s="399">
        <v>15.597476052377186</v>
      </c>
      <c r="L16" s="399">
        <v>7.447336833333333</v>
      </c>
      <c r="M16" s="399">
        <v>11.853461538461538</v>
      </c>
      <c r="N16" s="399">
        <v>66.569536423841058</v>
      </c>
      <c r="O16" s="399">
        <v>70.540350877192978</v>
      </c>
      <c r="P16" s="400">
        <v>44.675555555555555</v>
      </c>
    </row>
    <row r="17" spans="2:16" ht="16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2:16" ht="16">
      <c r="B18" s="401" t="s">
        <v>133</v>
      </c>
      <c r="C18" s="368" t="s">
        <v>134</v>
      </c>
      <c r="D18" s="402"/>
      <c r="E18" s="402"/>
      <c r="F18" s="371">
        <v>1119.2968800000001</v>
      </c>
      <c r="G18" s="371">
        <v>1040.6457770543143</v>
      </c>
      <c r="H18" s="403">
        <v>9.3666643599455846</v>
      </c>
      <c r="I18" s="403">
        <v>6.4597685241004035</v>
      </c>
      <c r="J18" s="403">
        <v>4.5995144680595992</v>
      </c>
      <c r="K18" s="403">
        <v>25.720360283102181</v>
      </c>
      <c r="L18" s="403">
        <v>16.149421310251007</v>
      </c>
      <c r="M18" s="403">
        <v>11.498786170148994</v>
      </c>
      <c r="N18" s="403" t="s">
        <v>461</v>
      </c>
      <c r="O18" s="403" t="s">
        <v>461</v>
      </c>
      <c r="P18" s="404" t="s">
        <v>461</v>
      </c>
    </row>
    <row r="25" spans="2:16">
      <c r="D25" s="466" t="s">
        <v>462</v>
      </c>
      <c r="E25" s="466"/>
      <c r="F25" s="466"/>
    </row>
    <row r="26" spans="2:16">
      <c r="D26" s="466"/>
      <c r="E26" s="466" t="s">
        <v>463</v>
      </c>
      <c r="F26" s="466" t="s">
        <v>464</v>
      </c>
    </row>
    <row r="27" spans="2:16" ht="16">
      <c r="D27" s="525" t="s">
        <v>192</v>
      </c>
      <c r="E27" s="463">
        <v>62.723987590977451</v>
      </c>
      <c r="F27" s="463">
        <v>63.1986640844937</v>
      </c>
      <c r="H27" s="3"/>
      <c r="I27" s="3"/>
    </row>
    <row r="28" spans="2:16" ht="16">
      <c r="D28" s="465"/>
      <c r="E28" s="467">
        <v>1.9783469891252352</v>
      </c>
      <c r="F28" s="467">
        <v>2.00088623383161</v>
      </c>
      <c r="H28" s="3"/>
      <c r="I28" s="3"/>
    </row>
    <row r="29" spans="2:16" ht="16">
      <c r="D29" s="525" t="s">
        <v>186</v>
      </c>
      <c r="E29" s="463">
        <v>35.951374075039269</v>
      </c>
      <c r="F29" s="463">
        <v>34.183860081093698</v>
      </c>
      <c r="H29" s="3"/>
      <c r="I29" s="3"/>
    </row>
    <row r="30" spans="2:16" ht="16">
      <c r="D30" s="465"/>
      <c r="E30" s="467">
        <v>0.7070927860892342</v>
      </c>
      <c r="F30" s="467">
        <v>0.62316524601584522</v>
      </c>
      <c r="H30" s="3"/>
      <c r="I30" s="3"/>
    </row>
    <row r="31" spans="2:16" ht="16">
      <c r="D31" s="525" t="s">
        <v>193</v>
      </c>
      <c r="E31" s="463">
        <v>17.583537324087676</v>
      </c>
      <c r="F31" s="463">
        <v>16.134862617920973</v>
      </c>
      <c r="H31" s="3"/>
      <c r="I31" s="3"/>
    </row>
    <row r="32" spans="2:16" ht="16">
      <c r="D32" s="79"/>
      <c r="E32" s="467">
        <v>-0.16507420113543791</v>
      </c>
      <c r="F32" s="467">
        <v>-0.23386217388789299</v>
      </c>
      <c r="H32" s="3"/>
      <c r="I32" s="3"/>
    </row>
    <row r="33" spans="3:16">
      <c r="D33" s="525" t="s">
        <v>314</v>
      </c>
      <c r="F33" s="471">
        <f>MEDIAN(E27:F27,E29:F29,E31:F31)</f>
        <v>35.067617078066483</v>
      </c>
    </row>
    <row r="37" spans="3:16" ht="16">
      <c r="C37" s="4"/>
      <c r="D37" s="4"/>
      <c r="E37" s="4"/>
      <c r="F37" s="4"/>
      <c r="G37" s="5"/>
      <c r="H37" s="5"/>
      <c r="I37" s="6" t="s">
        <v>110</v>
      </c>
      <c r="J37" s="6"/>
      <c r="K37" s="5"/>
      <c r="L37" s="7"/>
      <c r="M37" s="5"/>
      <c r="N37" s="5"/>
      <c r="O37" s="6" t="s">
        <v>111</v>
      </c>
      <c r="P37" s="5"/>
    </row>
    <row r="38" spans="3:16" ht="16">
      <c r="C38" s="8" t="s">
        <v>465</v>
      </c>
      <c r="D38" s="4"/>
      <c r="E38" s="4"/>
      <c r="F38" s="9" t="s">
        <v>112</v>
      </c>
      <c r="G38" s="11">
        <v>44561</v>
      </c>
      <c r="H38" s="11">
        <v>44926</v>
      </c>
      <c r="I38" s="11">
        <v>45291</v>
      </c>
      <c r="J38" s="11">
        <v>45657</v>
      </c>
      <c r="K38" s="42">
        <v>46022</v>
      </c>
      <c r="L38" s="12">
        <v>46387</v>
      </c>
      <c r="M38" s="11">
        <v>46752</v>
      </c>
      <c r="N38" s="11">
        <v>47118</v>
      </c>
      <c r="O38" s="11">
        <v>47483</v>
      </c>
      <c r="P38" s="11">
        <v>47848</v>
      </c>
    </row>
    <row r="40" spans="3:16" ht="16">
      <c r="D40" s="28" t="s">
        <v>148</v>
      </c>
      <c r="E40" s="3"/>
      <c r="F40" s="49" t="s">
        <v>155</v>
      </c>
      <c r="G40" s="27">
        <v>0</v>
      </c>
      <c r="H40" s="27">
        <v>461681</v>
      </c>
      <c r="I40" s="27">
        <v>595299</v>
      </c>
      <c r="J40" s="27">
        <v>667823</v>
      </c>
      <c r="K40" s="27">
        <v>701611</v>
      </c>
      <c r="L40" s="27">
        <v>786932.61199999996</v>
      </c>
      <c r="M40" s="27">
        <v>840254.65485271567</v>
      </c>
      <c r="N40" s="27">
        <v>864318.74180275109</v>
      </c>
      <c r="O40" s="27">
        <v>837911.90261254739</v>
      </c>
      <c r="P40" s="27">
        <v>762956.30987384589</v>
      </c>
    </row>
    <row r="41" spans="3:16" ht="16">
      <c r="D41" s="28" t="s">
        <v>142</v>
      </c>
      <c r="E41" s="3"/>
      <c r="F41" s="49" t="s">
        <v>155</v>
      </c>
      <c r="G41" s="27">
        <v>461681</v>
      </c>
      <c r="H41" s="27">
        <v>133618</v>
      </c>
      <c r="I41" s="27">
        <v>72524</v>
      </c>
      <c r="J41" s="27">
        <v>33788</v>
      </c>
      <c r="K41" s="57">
        <v>85321.611999999994</v>
      </c>
      <c r="L41" s="57">
        <v>53322.042852715713</v>
      </c>
      <c r="M41" s="57">
        <v>24064.086950035442</v>
      </c>
      <c r="N41" s="57">
        <v>0</v>
      </c>
      <c r="O41" s="57">
        <v>0</v>
      </c>
      <c r="P41" s="57">
        <v>0</v>
      </c>
    </row>
    <row r="42" spans="3:16" ht="16">
      <c r="D42" s="28" t="s">
        <v>143</v>
      </c>
      <c r="E42" s="3"/>
      <c r="F42" s="49" t="s">
        <v>155</v>
      </c>
      <c r="G42" s="35">
        <v>0</v>
      </c>
      <c r="H42" s="35">
        <v>0</v>
      </c>
      <c r="I42" s="35">
        <v>0</v>
      </c>
      <c r="J42" s="35">
        <v>0</v>
      </c>
      <c r="K42" s="56">
        <v>0</v>
      </c>
      <c r="L42" s="56">
        <v>0</v>
      </c>
      <c r="M42" s="56">
        <v>0</v>
      </c>
      <c r="N42" s="56">
        <v>-26406.839190203675</v>
      </c>
      <c r="O42" s="56">
        <v>-74955.592738701511</v>
      </c>
      <c r="P42" s="56">
        <v>-131312.95087063147</v>
      </c>
    </row>
    <row r="43" spans="3:16" ht="16">
      <c r="D43" s="31" t="s">
        <v>144</v>
      </c>
      <c r="E43" s="3"/>
      <c r="F43" s="76" t="s">
        <v>155</v>
      </c>
      <c r="G43" s="36">
        <v>461681</v>
      </c>
      <c r="H43" s="36">
        <v>595299</v>
      </c>
      <c r="I43" s="36">
        <v>667823</v>
      </c>
      <c r="J43" s="36">
        <v>701611</v>
      </c>
      <c r="K43" s="36">
        <v>786932.61199999996</v>
      </c>
      <c r="L43" s="36">
        <v>840254.65485271567</v>
      </c>
      <c r="M43" s="36">
        <v>864318.74180275109</v>
      </c>
      <c r="N43" s="36">
        <v>837911.90261254739</v>
      </c>
      <c r="O43" s="36">
        <v>762956.30987384589</v>
      </c>
      <c r="P43" s="36">
        <v>631643.3590032144</v>
      </c>
    </row>
    <row r="44" spans="3:16" ht="16">
      <c r="D44" s="3"/>
      <c r="E44" s="3"/>
      <c r="F44" s="3"/>
      <c r="G44" s="27"/>
      <c r="H44" s="27"/>
      <c r="I44" s="27"/>
      <c r="J44" s="27"/>
      <c r="K44" s="3"/>
      <c r="L44" s="26"/>
      <c r="M44" s="26"/>
      <c r="N44" s="26"/>
      <c r="O44" s="3"/>
      <c r="P44" s="3"/>
    </row>
    <row r="45" spans="3:16" ht="16">
      <c r="D45" s="3" t="s">
        <v>145</v>
      </c>
      <c r="E45" s="3"/>
      <c r="F45" s="49" t="s">
        <v>155</v>
      </c>
      <c r="G45" s="27" t="s">
        <v>141</v>
      </c>
      <c r="H45" s="27" t="s">
        <v>141</v>
      </c>
      <c r="I45" s="27" t="s">
        <v>141</v>
      </c>
      <c r="J45" s="27">
        <v>-33788</v>
      </c>
      <c r="K45" s="57">
        <v>-1262.5</v>
      </c>
      <c r="L45" s="57">
        <v>-1319.375</v>
      </c>
      <c r="M45" s="57">
        <v>-1376.96875</v>
      </c>
      <c r="N45" s="57">
        <v>24958.378252703675</v>
      </c>
      <c r="O45" s="57">
        <v>73603.766566826511</v>
      </c>
      <c r="P45" s="57">
        <v>129938.79315578772</v>
      </c>
    </row>
    <row r="46" spans="3:16" ht="16">
      <c r="D46" s="3" t="s">
        <v>146</v>
      </c>
      <c r="E46" s="3"/>
      <c r="F46" s="49" t="s">
        <v>155</v>
      </c>
      <c r="G46" s="27" t="s">
        <v>141</v>
      </c>
      <c r="H46" s="27" t="s">
        <v>141</v>
      </c>
      <c r="I46" s="27" t="s">
        <v>141</v>
      </c>
      <c r="J46" s="27" t="s">
        <v>141</v>
      </c>
      <c r="K46" s="57">
        <v>0</v>
      </c>
      <c r="L46" s="57">
        <v>0</v>
      </c>
      <c r="M46" s="57">
        <v>0</v>
      </c>
      <c r="N46" s="57">
        <v>5241.2594330677712</v>
      </c>
      <c r="O46" s="57">
        <v>15456.790979033567</v>
      </c>
      <c r="P46" s="57">
        <v>27287.146562715421</v>
      </c>
    </row>
    <row r="47" spans="3:16" ht="16">
      <c r="D47" s="3" t="s">
        <v>147</v>
      </c>
      <c r="E47" s="3"/>
      <c r="F47" s="49" t="s">
        <v>125</v>
      </c>
      <c r="G47" s="83">
        <v>0.8</v>
      </c>
      <c r="H47" s="83">
        <v>0.8</v>
      </c>
      <c r="I47" s="83">
        <v>0.8</v>
      </c>
      <c r="J47" s="83">
        <v>0.8</v>
      </c>
      <c r="K47" s="83">
        <v>0.8</v>
      </c>
      <c r="L47" s="83">
        <v>0.8</v>
      </c>
      <c r="M47" s="83">
        <v>0.8</v>
      </c>
      <c r="N47" s="83">
        <v>0.8</v>
      </c>
      <c r="O47" s="83">
        <v>0.8</v>
      </c>
      <c r="P47" s="83">
        <v>0.8</v>
      </c>
    </row>
    <row r="53" spans="4:6" ht="16">
      <c r="D53" s="539" t="s">
        <v>496</v>
      </c>
      <c r="E53" s="540"/>
      <c r="F53" s="540"/>
    </row>
    <row r="54" spans="4:6" ht="16">
      <c r="D54" s="145" t="s">
        <v>497</v>
      </c>
      <c r="F54" s="526">
        <v>46076</v>
      </c>
    </row>
    <row r="55" spans="4:6" ht="16">
      <c r="D55" s="527" t="s">
        <v>498</v>
      </c>
      <c r="E55" s="528"/>
      <c r="F55" s="529">
        <v>21.06</v>
      </c>
    </row>
    <row r="56" spans="4:6" ht="16">
      <c r="D56" s="145" t="s">
        <v>310</v>
      </c>
      <c r="E56" s="21"/>
      <c r="F56" s="530">
        <v>22.86</v>
      </c>
    </row>
    <row r="57" spans="4:6" ht="16">
      <c r="D57" s="527" t="s">
        <v>499</v>
      </c>
      <c r="E57" s="528"/>
      <c r="F57" s="529">
        <v>35.07</v>
      </c>
    </row>
    <row r="58" spans="4:6" ht="16">
      <c r="D58" s="145" t="s">
        <v>500</v>
      </c>
      <c r="E58" s="21"/>
      <c r="F58" s="531" t="s">
        <v>506</v>
      </c>
    </row>
    <row r="59" spans="4:6" ht="16">
      <c r="D59" s="527" t="s">
        <v>501</v>
      </c>
      <c r="E59" s="528"/>
      <c r="F59" s="532">
        <f>Diluted</f>
        <v>52.56</v>
      </c>
    </row>
    <row r="60" spans="4:6" ht="16">
      <c r="D60" s="145" t="s">
        <v>502</v>
      </c>
      <c r="E60" s="21"/>
      <c r="F60" s="533">
        <v>1120</v>
      </c>
    </row>
    <row r="61" spans="4:6" ht="16">
      <c r="D61" s="527" t="s">
        <v>503</v>
      </c>
      <c r="E61" s="528"/>
      <c r="F61" s="529">
        <v>4.18</v>
      </c>
    </row>
    <row r="62" spans="4:6" ht="16">
      <c r="D62" s="145" t="s">
        <v>504</v>
      </c>
      <c r="E62" s="145"/>
      <c r="F62" s="530">
        <f>191000/(Diluted*1000)</f>
        <v>3.6339421613394216</v>
      </c>
    </row>
    <row r="63" spans="4:6" ht="16">
      <c r="D63" s="527" t="s">
        <v>505</v>
      </c>
      <c r="E63" s="528"/>
      <c r="F63" s="53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25</vt:i4>
      </vt:variant>
    </vt:vector>
  </HeadingPairs>
  <TitlesOfParts>
    <vt:vector size="37" baseType="lpstr">
      <vt:lpstr>Cover</vt:lpstr>
      <vt:lpstr>Summary</vt:lpstr>
      <vt:lpstr>Graphs</vt:lpstr>
      <vt:lpstr>Q</vt:lpstr>
      <vt:lpstr>Model</vt:lpstr>
      <vt:lpstr>Drivers</vt:lpstr>
      <vt:lpstr>DCF</vt:lpstr>
      <vt:lpstr>WACC</vt:lpstr>
      <vt:lpstr>PubComps</vt:lpstr>
      <vt:lpstr>PubComps_Data</vt:lpstr>
      <vt:lpstr>MAComps</vt:lpstr>
      <vt:lpstr>PPT</vt:lpstr>
      <vt:lpstr>Bundle</vt:lpstr>
      <vt:lpstr>COGS</vt:lpstr>
      <vt:lpstr>Company_Name</vt:lpstr>
      <vt:lpstr>Cost_of_Debt</vt:lpstr>
      <vt:lpstr>Cost_of_Preferred</vt:lpstr>
      <vt:lpstr>Diluted</vt:lpstr>
      <vt:lpstr>Discount_Rate</vt:lpstr>
      <vt:lpstr>Equity_Risk_Premium</vt:lpstr>
      <vt:lpstr>Forward_Year_1</vt:lpstr>
      <vt:lpstr>Forward_Year_2</vt:lpstr>
      <vt:lpstr>Forward_Year_3</vt:lpstr>
      <vt:lpstr>Hist_Year</vt:lpstr>
      <vt:lpstr>LTM</vt:lpstr>
      <vt:lpstr>Pub_Comps_Params</vt:lpstr>
      <vt:lpstr>Pub_Comps_Range</vt:lpstr>
      <vt:lpstr>Pub_Comps_Tickers</vt:lpstr>
      <vt:lpstr>Risk_Free_Rate</vt:lpstr>
      <vt:lpstr>Scenario</vt:lpstr>
      <vt:lpstr>Share_Price</vt:lpstr>
      <vt:lpstr>Tax_Rate</vt:lpstr>
      <vt:lpstr>Terminal_Growth_Rate</vt:lpstr>
      <vt:lpstr>Ticker</vt:lpstr>
      <vt:lpstr>Units</vt:lpstr>
      <vt:lpstr>Uplift</vt:lpstr>
      <vt:lpstr>Valuation_Date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Rentrop</dc:creator>
  <cp:lastModifiedBy>glenn Rentrop</cp:lastModifiedBy>
  <dcterms:created xsi:type="dcterms:W3CDTF">2026-01-22T23:25:52Z</dcterms:created>
  <dcterms:modified xsi:type="dcterms:W3CDTF">2026-03-05T22:26:53Z</dcterms:modified>
</cp:coreProperties>
</file>